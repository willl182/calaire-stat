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fileSharing userName="POSGRADO ACMA" reservationPassword="C410"/>
  <workbookPr/>
  <mc:AlternateContent xmlns:mc="http://schemas.openxmlformats.org/markup-compatibility/2006">
    <mc:Choice Requires="x15">
      <x15ac:absPath xmlns:x15ac="http://schemas.microsoft.com/office/spreadsheetml/2010/11/ac" url="\\168.176.124.240\Lab_Calibración\2-REGISTROS\5-Control Calidad\Pruebas R&amp;r\2022-2023\"/>
    </mc:Choice>
  </mc:AlternateContent>
  <bookViews>
    <workbookView xWindow="0" yWindow="0" windowWidth="28800" windowHeight="12030" tabRatio="583" activeTab="11"/>
  </bookViews>
  <sheets>
    <sheet name="Plantilla" sheetId="5" r:id="rId1"/>
    <sheet name="45ppb" sheetId="6" r:id="rId2"/>
    <sheet name="90ppb" sheetId="7" r:id="rId3"/>
    <sheet name="135ppb" sheetId="8" r:id="rId4"/>
    <sheet name="180ppb" sheetId="10" r:id="rId5"/>
    <sheet name="225ppb" sheetId="2" r:id="rId6"/>
    <sheet name="270ppb" sheetId="3" r:id="rId7"/>
    <sheet name="315ppb" sheetId="11" r:id="rId8"/>
    <sheet name="360ppb" sheetId="13" r:id="rId9"/>
    <sheet name="405ppb" sheetId="4" r:id="rId10"/>
    <sheet name="455ppb" sheetId="12" r:id="rId11"/>
    <sheet name="BASE DE DATOS" sheetId="1" r:id="rId12"/>
  </sheets>
  <externalReferences>
    <externalReference r:id="rId13"/>
  </externalReferences>
  <definedNames>
    <definedName name="ERT" localSheetId="8" hidden="1">[1]!XLSTAT_PDFFisher('360ppb'!IU,1,22)</definedName>
    <definedName name="ERT" hidden="1">[1]!XLSTAT_PDFFisher([0]!IU,1,22)</definedName>
    <definedName name="IU" localSheetId="8" hidden="1">0.0001+(ROW(OFFSET(#REF!,0,0,500,1))-1)*0.0159224162909219</definedName>
    <definedName name="IU" hidden="1">0.0001+(ROW(OFFSET(#REF!,0,0,500,1))-1)*0.0159224162909219</definedName>
    <definedName name="k" localSheetId="3" hidden="1">#N/A</definedName>
    <definedName name="k" localSheetId="4" hidden="1">#N/A</definedName>
    <definedName name="k" localSheetId="8" hidden="1">#N/A</definedName>
    <definedName name="k" localSheetId="2" hidden="1">#N/A</definedName>
    <definedName name="k" hidden="1">[1]!XLSTAT_PDFFisher('45ppb'!xdata5,1,22)</definedName>
    <definedName name="KJASHJKAHS" localSheetId="8" hidden="1">[1]!XLSTAT_PDFFisher('360ppb'!xlstatbox3,1,22)</definedName>
    <definedName name="KJASHJKAHS" hidden="1">[1]!XLSTAT_PDFFisher([0]!xlstatbox3,1,22)</definedName>
    <definedName name="lp" localSheetId="4" hidden="1">#N/A</definedName>
    <definedName name="lp" localSheetId="8" hidden="1">#N/A</definedName>
    <definedName name="lp" hidden="1">[1]!XLSTAT_PDFFisher('135ppb'!xdata5,1,22)</definedName>
    <definedName name="OI" hidden="1">#N/A</definedName>
    <definedName name="sd" localSheetId="4" hidden="1">[1]!XLSTAT_PDFFisher([0]!xlstatbox3,1,22)</definedName>
    <definedName name="sd" localSheetId="8" hidden="1">[1]!XLSTAT_PDFFisher('360ppb'!xlstatbox3,1,22)</definedName>
    <definedName name="sd" hidden="1">[1]!XLSTAT_PDFFisher([0]!xlstatbox3,1,22)</definedName>
    <definedName name="xbase1" localSheetId="3" hidden="1">(ROW(OFFSET(#REF!,0,0,502,1)))</definedName>
    <definedName name="xbase1" localSheetId="4" hidden="1">(ROW(OFFSET(#REF!,0,0,502,1)))</definedName>
    <definedName name="xbase1" localSheetId="8" hidden="1">(ROW(OFFSET(#REF!,0,0,502,1)))</definedName>
    <definedName name="xbase1" localSheetId="1" hidden="1">(ROW(OFFSET(#REF!,0,0,502,1)))</definedName>
    <definedName name="xbase1" localSheetId="2" hidden="1">(ROW(OFFSET(#REF!,0,0,502,1)))</definedName>
    <definedName name="xbase1" localSheetId="11" hidden="1">(ROW(OFFSET(#REF!,0,0,502,1)))</definedName>
    <definedName name="xbase1" hidden="1">(ROW(OFFSET(#REF!,0,0,502,1)))</definedName>
    <definedName name="xdata2" localSheetId="3" hidden="1">4.30094950177766+2*INT('135ppb'!xbase1/2-1/2)*0.0072888724547848</definedName>
    <definedName name="xdata2" localSheetId="4" hidden="1">4.30094950177766+2*INT('180ppb'!xbase1/2-1/2)*0.0072888724547848</definedName>
    <definedName name="xdata2" localSheetId="8" hidden="1">4.30094950177766+2*INT('360ppb'!xbase1/2-1/2)*0.0072888724547848</definedName>
    <definedName name="xdata2" localSheetId="1" hidden="1">4.30094950177766+2*INT('45ppb'!xbase1/2-1/2)*0.0072888724547848</definedName>
    <definedName name="xdata2" localSheetId="2" hidden="1">4.30094950177766+2*INT('90ppb'!xbase1/2-1/2)*0.0072888724547848</definedName>
    <definedName name="xdata2" localSheetId="11" hidden="1">4.30094950177766+2*INT('BASE DE DATOS'!xbase1/2-1/2)*0.0072888724547848</definedName>
    <definedName name="xdata2" localSheetId="0" hidden="1">4.30094950177766+2*INT([0]!xbase1/2-1/2)*0.0072888724547848</definedName>
    <definedName name="xdata2" hidden="1">4.30094950177766+2*INT([0]!xbase1/2-1/2)*0.0072888724547848</definedName>
    <definedName name="xdata5" localSheetId="3" hidden="1">0.0001+(ROW(OFFSET(#REF!,0,0,500,1))-1)*0.0159224162909219</definedName>
    <definedName name="xdata5" localSheetId="4" hidden="1">0.0001+(ROW(OFFSET(#REF!,0,0,500,1))-1)*0.0159224162909219</definedName>
    <definedName name="xdata5" localSheetId="8" hidden="1">0.0001+(ROW(OFFSET(#REF!,0,0,500,1))-1)*0.0159224162909219</definedName>
    <definedName name="xdata5" localSheetId="1" hidden="1">0.0001+(ROW(OFFSET(#REF!,0,0,500,1))-1)*0.0159224162909219</definedName>
    <definedName name="xdata5" localSheetId="2" hidden="1">0.0001+(ROW(OFFSET(#REF!,0,0,500,1))-1)*0.0159224162909219</definedName>
    <definedName name="xdata5" localSheetId="11" hidden="1">0.0001+(ROW(OFFSET(#REF!,0,0,500,1))-1)*0.0159224162909219</definedName>
    <definedName name="xdata5" hidden="1">0.0001+(ROW(OFFSET(#REF!,0,0,500,1))-1)*0.0159224162909219</definedName>
    <definedName name="xlstatbox3" localSheetId="3" hidden="1">IF(-1^(INT('135ppb'!xbase1/2)+2)&gt;0,4.30094950177766+2*INT('135ppb'!xbase1/2-1/2)*0.0072888724547848,50)</definedName>
    <definedName name="xlstatbox3" localSheetId="4" hidden="1">IF(-1^(INT('180ppb'!xbase1/2)+2)&gt;0,4.30094950177766+2*INT('180ppb'!xbase1/2-1/2)*0.0072888724547848,50)</definedName>
    <definedName name="xlstatbox3" localSheetId="8" hidden="1">IF(-1^(INT('360ppb'!xbase1/2)+2)&gt;0,4.30094950177766+2*INT('360ppb'!xbase1/2-1/2)*0.0072888724547848,50)</definedName>
    <definedName name="xlstatbox3" localSheetId="1" hidden="1">IF(-1^(INT('45ppb'!xbase1/2)+2)&gt;0,4.30094950177766+2*INT('45ppb'!xbase1/2-1/2)*0.0072888724547848,50)</definedName>
    <definedName name="xlstatbox3" localSheetId="2" hidden="1">IF(-1^(INT('90ppb'!xbase1/2)+2)&gt;0,4.30094950177766+2*INT('90ppb'!xbase1/2-1/2)*0.0072888724547848,50)</definedName>
    <definedName name="xlstatbox3" localSheetId="11" hidden="1">IF(-1^(INT('BASE DE DATOS'!xbase1/2)+2)&gt;0,4.30094950177766+2*INT('BASE DE DATOS'!xbase1/2-1/2)*0.0072888724547848,50)</definedName>
    <definedName name="xlstatbox3" localSheetId="0" hidden="1">IF(-1^(INT([0]!xbase1/2)+2)&gt;0,4.30094950177766+2*INT([0]!xbase1/2-1/2)*0.0072888724547848,50)</definedName>
    <definedName name="xlstatbox3" hidden="1">IF(-1^(INT([0]!xbase1/2)+2)&gt;0,4.30094950177766+2*INT([0]!xbase1/2-1/2)*0.0072888724547848,50)</definedName>
    <definedName name="ydata4" localSheetId="3" hidden="1">[1]!XLSTAT_PDFFisher('135ppb'!xlstatbox3,1,22)</definedName>
    <definedName name="ydata4" localSheetId="4" hidden="1">[1]!XLSTAT_PDFFisher('180ppb'!xlstatbox3,1,22)</definedName>
    <definedName name="ydata4" localSheetId="8" hidden="1">[1]!XLSTAT_PDFFisher('360ppb'!xlstatbox3,1,22)</definedName>
    <definedName name="ydata4" localSheetId="1" hidden="1">[1]!XLSTAT_PDFFisher('45ppb'!xlstatbox3,1,22)</definedName>
    <definedName name="ydata4" localSheetId="2" hidden="1">[1]!XLSTAT_PDFFisher('90ppb'!xlstatbox3,1,22)</definedName>
    <definedName name="ydata4" localSheetId="11" hidden="1">[1]!XLSTAT_PDFFisher('BASE DE DATOS'!xlstatbox3,1,22)</definedName>
    <definedName name="ydata4" localSheetId="0" hidden="1">[1]!XLSTAT_PDFFisher(Plantilla!xlstatbox3,1,22)</definedName>
    <definedName name="ydata4" hidden="1">[1]!XLSTAT_PDFFisher([0]!xlstatbox3,1,22)</definedName>
    <definedName name="ydata6" localSheetId="3" hidden="1">[1]!XLSTAT_PDFFisher('135ppb'!xdata5,1,22)</definedName>
    <definedName name="ydata6" localSheetId="4" hidden="1">[1]!XLSTAT_PDFFisher('180ppb'!xdata5,1,22)</definedName>
    <definedName name="ydata6" localSheetId="8" hidden="1">[1]!XLSTAT_PDFFisher('360ppb'!xdata5,1,22)</definedName>
    <definedName name="ydata6" localSheetId="1" hidden="1">[1]!XLSTAT_PDFFisher('45ppb'!xdata5,1,22)</definedName>
    <definedName name="ydata6" localSheetId="2" hidden="1">[1]!XLSTAT_PDFFisher('90ppb'!xdata5,1,22)</definedName>
    <definedName name="ydata6" localSheetId="11" hidden="1">[1]!XLSTAT_PDFFisher('BASE DE DATOS'!xdata5,1,22)</definedName>
    <definedName name="ydata6" localSheetId="0" hidden="1">[1]!XLSTAT_PDFFisher([0]!xdata5,1,22)</definedName>
    <definedName name="ydata6" hidden="1">[1]!XLSTAT_PDFFisher([0]!xdata5,1,22)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7" i="12" l="1"/>
  <c r="J16" i="12"/>
  <c r="J13" i="12"/>
  <c r="N11" i="12"/>
  <c r="J10" i="12"/>
  <c r="J10" i="2"/>
  <c r="J17" i="2" s="1"/>
  <c r="J10" i="10"/>
  <c r="N8" i="7"/>
  <c r="N7" i="7"/>
  <c r="L8" i="7"/>
  <c r="L7" i="7"/>
  <c r="J8" i="7"/>
  <c r="J7" i="7"/>
  <c r="L8" i="4"/>
  <c r="L7" i="4"/>
  <c r="J8" i="4"/>
  <c r="J7" i="4"/>
  <c r="L8" i="13"/>
  <c r="N8" i="13"/>
  <c r="N7" i="13"/>
  <c r="J8" i="13"/>
  <c r="J7" i="13"/>
  <c r="L7" i="13"/>
  <c r="K14" i="13"/>
  <c r="N9" i="13"/>
  <c r="J10" i="11"/>
  <c r="N8" i="11"/>
  <c r="N7" i="11"/>
  <c r="L8" i="11"/>
  <c r="L7" i="11"/>
  <c r="J8" i="11"/>
  <c r="J7" i="11"/>
  <c r="N8" i="3"/>
  <c r="N7" i="3"/>
  <c r="L8" i="3"/>
  <c r="L7" i="3"/>
  <c r="J8" i="3"/>
  <c r="J7" i="3"/>
  <c r="J7" i="2"/>
  <c r="N8" i="2"/>
  <c r="N7" i="2"/>
  <c r="L8" i="2"/>
  <c r="L7" i="2"/>
  <c r="J8" i="2"/>
  <c r="L8" i="10"/>
  <c r="L7" i="10"/>
  <c r="J8" i="10"/>
  <c r="J7" i="10"/>
  <c r="N7" i="10"/>
  <c r="N7" i="8"/>
  <c r="N8" i="6"/>
  <c r="N7" i="6"/>
  <c r="N8" i="8"/>
  <c r="N9" i="10"/>
  <c r="N8" i="10"/>
  <c r="L8" i="8"/>
  <c r="L7" i="8"/>
  <c r="J8" i="8"/>
  <c r="J7" i="8"/>
  <c r="L8" i="12"/>
  <c r="L7" i="12"/>
  <c r="J8" i="12"/>
  <c r="J7" i="12"/>
  <c r="J8" i="6"/>
  <c r="J7" i="6"/>
  <c r="N11" i="2" l="1"/>
  <c r="J10" i="13"/>
  <c r="N11" i="13"/>
  <c r="J13" i="13"/>
  <c r="J16" i="13" s="1"/>
  <c r="F89" i="1"/>
  <c r="G89" i="1"/>
  <c r="H89" i="1"/>
  <c r="I89" i="1"/>
  <c r="J89" i="1"/>
  <c r="L16" i="13" l="1"/>
  <c r="N16" i="13"/>
  <c r="J17" i="13"/>
  <c r="E89" i="1"/>
  <c r="K89" i="1"/>
  <c r="L89" i="1"/>
  <c r="M89" i="1"/>
  <c r="N89" i="1"/>
  <c r="O89" i="1"/>
  <c r="P89" i="1"/>
  <c r="Q89" i="1"/>
  <c r="R89" i="1"/>
  <c r="S89" i="1"/>
  <c r="T89" i="1"/>
  <c r="U89" i="1"/>
  <c r="V89" i="1"/>
  <c r="W89" i="1"/>
  <c r="D89" i="1"/>
  <c r="J10" i="7"/>
  <c r="N9" i="7" l="1"/>
  <c r="E138" i="1"/>
  <c r="E137" i="1"/>
  <c r="W137" i="1"/>
  <c r="J13" i="7"/>
  <c r="J16" i="7" s="1"/>
  <c r="N8" i="12"/>
  <c r="N7" i="12"/>
  <c r="N8" i="4"/>
  <c r="N7" i="4"/>
  <c r="J5" i="2"/>
  <c r="J5" i="10"/>
  <c r="J13" i="8"/>
  <c r="J16" i="8" s="1"/>
  <c r="J4" i="8"/>
  <c r="J10" i="4" l="1"/>
  <c r="N9" i="11"/>
  <c r="J10" i="3"/>
  <c r="N9" i="4"/>
  <c r="N9" i="12"/>
  <c r="J17" i="7"/>
  <c r="J4" i="7"/>
  <c r="F138" i="1" l="1"/>
  <c r="G138" i="1"/>
  <c r="H138" i="1"/>
  <c r="I138" i="1"/>
  <c r="J138" i="1"/>
  <c r="K138" i="1"/>
  <c r="L138" i="1"/>
  <c r="M138" i="1"/>
  <c r="N138" i="1"/>
  <c r="O138" i="1"/>
  <c r="P138" i="1"/>
  <c r="Q138" i="1"/>
  <c r="R138" i="1"/>
  <c r="S138" i="1"/>
  <c r="T138" i="1"/>
  <c r="U138" i="1"/>
  <c r="V138" i="1"/>
  <c r="W138" i="1"/>
  <c r="D138" i="1"/>
  <c r="D137" i="1"/>
  <c r="N11" i="4" l="1"/>
  <c r="J13" i="4"/>
  <c r="J16" i="4" s="1"/>
  <c r="N16" i="12" l="1"/>
  <c r="L16" i="12"/>
  <c r="N16" i="4"/>
  <c r="L16" i="4"/>
  <c r="J17" i="4"/>
  <c r="K14" i="11" l="1"/>
  <c r="K14" i="10"/>
  <c r="J13" i="2" l="1"/>
  <c r="J16" i="2" s="1"/>
  <c r="N16" i="2" s="1"/>
  <c r="N11" i="11"/>
  <c r="J13" i="11"/>
  <c r="N9" i="3"/>
  <c r="J13" i="3"/>
  <c r="J16" i="3" s="1"/>
  <c r="N9" i="2"/>
  <c r="J13" i="10"/>
  <c r="J16" i="10" s="1"/>
  <c r="N16" i="10" s="1"/>
  <c r="F137" i="1"/>
  <c r="G137" i="1"/>
  <c r="H137" i="1"/>
  <c r="I137" i="1"/>
  <c r="J137" i="1"/>
  <c r="K137" i="1"/>
  <c r="L137" i="1"/>
  <c r="M137" i="1"/>
  <c r="N137" i="1"/>
  <c r="O137" i="1"/>
  <c r="P137" i="1"/>
  <c r="Q137" i="1"/>
  <c r="R137" i="1"/>
  <c r="S137" i="1"/>
  <c r="T137" i="1"/>
  <c r="U137" i="1"/>
  <c r="V137" i="1"/>
  <c r="E136" i="1"/>
  <c r="F136" i="1"/>
  <c r="G136" i="1"/>
  <c r="H136" i="1"/>
  <c r="I136" i="1"/>
  <c r="J136" i="1"/>
  <c r="K136" i="1"/>
  <c r="L136" i="1"/>
  <c r="M136" i="1"/>
  <c r="N136" i="1"/>
  <c r="O136" i="1"/>
  <c r="P136" i="1"/>
  <c r="Q136" i="1"/>
  <c r="R136" i="1"/>
  <c r="S136" i="1"/>
  <c r="T136" i="1"/>
  <c r="U136" i="1"/>
  <c r="V136" i="1"/>
  <c r="W136" i="1"/>
  <c r="X136" i="1"/>
  <c r="D135" i="1"/>
  <c r="D136" i="1"/>
  <c r="E135" i="1"/>
  <c r="F135" i="1"/>
  <c r="G135" i="1"/>
  <c r="H135" i="1"/>
  <c r="I135" i="1"/>
  <c r="J135" i="1"/>
  <c r="K135" i="1"/>
  <c r="L135" i="1"/>
  <c r="M135" i="1"/>
  <c r="N135" i="1"/>
  <c r="O135" i="1"/>
  <c r="P135" i="1"/>
  <c r="Q135" i="1"/>
  <c r="R135" i="1"/>
  <c r="S135" i="1"/>
  <c r="T135" i="1"/>
  <c r="U135" i="1"/>
  <c r="V135" i="1"/>
  <c r="W135" i="1"/>
  <c r="D134" i="1"/>
  <c r="E134" i="1"/>
  <c r="F134" i="1"/>
  <c r="G134" i="1"/>
  <c r="H134" i="1"/>
  <c r="I134" i="1"/>
  <c r="J134" i="1"/>
  <c r="K134" i="1"/>
  <c r="L134" i="1"/>
  <c r="M134" i="1"/>
  <c r="N134" i="1"/>
  <c r="O134" i="1"/>
  <c r="P134" i="1"/>
  <c r="Q134" i="1"/>
  <c r="R134" i="1"/>
  <c r="S134" i="1"/>
  <c r="T134" i="1"/>
  <c r="U134" i="1"/>
  <c r="V134" i="1"/>
  <c r="W134" i="1"/>
  <c r="E133" i="1"/>
  <c r="F133" i="1"/>
  <c r="G133" i="1"/>
  <c r="H133" i="1"/>
  <c r="I133" i="1"/>
  <c r="J133" i="1"/>
  <c r="K133" i="1"/>
  <c r="L133" i="1"/>
  <c r="M133" i="1"/>
  <c r="N133" i="1"/>
  <c r="O133" i="1"/>
  <c r="P133" i="1"/>
  <c r="Q133" i="1"/>
  <c r="R133" i="1"/>
  <c r="S133" i="1"/>
  <c r="T133" i="1"/>
  <c r="U133" i="1"/>
  <c r="V133" i="1"/>
  <c r="W133" i="1"/>
  <c r="X133" i="1"/>
  <c r="D133" i="1"/>
  <c r="J16" i="11" l="1"/>
  <c r="N16" i="11" s="1"/>
  <c r="J17" i="11"/>
  <c r="L16" i="2"/>
  <c r="J17" i="10"/>
  <c r="J17" i="3"/>
  <c r="N11" i="3"/>
  <c r="N16" i="3"/>
  <c r="L16" i="3"/>
  <c r="N11" i="10"/>
  <c r="L16" i="10"/>
  <c r="K14" i="8"/>
  <c r="K14" i="7"/>
  <c r="L8" i="6"/>
  <c r="L7" i="6"/>
  <c r="N8" i="5"/>
  <c r="L8" i="5"/>
  <c r="J8" i="5"/>
  <c r="N7" i="5"/>
  <c r="L7" i="5"/>
  <c r="J7" i="5"/>
  <c r="L16" i="11" l="1"/>
  <c r="J13" i="6"/>
  <c r="J16" i="6" s="1"/>
  <c r="L16" i="6" s="1"/>
  <c r="J10" i="6"/>
  <c r="N9" i="6"/>
  <c r="N9" i="8"/>
  <c r="J10" i="8"/>
  <c r="N11" i="8" s="1"/>
  <c r="L16" i="7"/>
  <c r="J10" i="5"/>
  <c r="N11" i="5" s="1"/>
  <c r="J13" i="5"/>
  <c r="N9" i="5"/>
  <c r="J17" i="6" l="1"/>
  <c r="N11" i="6"/>
  <c r="N16" i="6"/>
  <c r="N16" i="7"/>
  <c r="N16" i="8"/>
  <c r="L16" i="8"/>
  <c r="J17" i="8"/>
  <c r="N11" i="7"/>
  <c r="J17" i="5"/>
  <c r="J16" i="5"/>
  <c r="N16" i="5" s="1"/>
  <c r="L16" i="5" l="1"/>
</calcChain>
</file>

<file path=xl/sharedStrings.xml><?xml version="1.0" encoding="utf-8"?>
<sst xmlns="http://schemas.openxmlformats.org/spreadsheetml/2006/main" count="586" uniqueCount="118">
  <si>
    <t xml:space="preserve">PATRÓN </t>
  </si>
  <si>
    <t>SRP 55</t>
  </si>
  <si>
    <t>EQUIPOS BAJOP PRUEBA</t>
  </si>
  <si>
    <t>NIVEL 2 49c</t>
  </si>
  <si>
    <t>OBJETO DE ANALISIS</t>
  </si>
  <si>
    <r>
      <t xml:space="preserve">Los errores </t>
    </r>
    <r>
      <rPr>
        <b/>
        <sz val="12"/>
        <color theme="1"/>
        <rFont val="Calibri"/>
        <family val="2"/>
        <scheme val="minor"/>
      </rPr>
      <t>(E)</t>
    </r>
    <r>
      <rPr>
        <sz val="11"/>
        <color theme="1"/>
        <rFont val="Calibri"/>
        <family val="2"/>
        <scheme val="minor"/>
      </rPr>
      <t xml:space="preserve">que se presentan durante las calibraciones para el Ingeniero1 e Ingeniero 2. Estos errores corresponden a la diferencia entre lo registrado por el SRP y el NIVEL 2. No se toma en el analisis los errores del día 0. </t>
    </r>
  </si>
  <si>
    <t>PRUEBAS ANALIZADAS</t>
  </si>
  <si>
    <t>ANALISTA 1 (A1)</t>
  </si>
  <si>
    <t>TBH</t>
  </si>
  <si>
    <t>ANALISTA 2 (A2)</t>
  </si>
  <si>
    <t>JGL</t>
  </si>
  <si>
    <t>142-Interno-06-Level2-TBH-RR</t>
  </si>
  <si>
    <t>143-Interno-10-Level2-JGL-RR</t>
  </si>
  <si>
    <t>* ppb equibale a nmol/mol, sistema internacional de unicades. Se usa la unidad ppb p</t>
  </si>
  <si>
    <t>45ppb</t>
  </si>
  <si>
    <t>90ppb</t>
  </si>
  <si>
    <t>135ppb</t>
  </si>
  <si>
    <t>180ppb</t>
  </si>
  <si>
    <t>225ppb</t>
  </si>
  <si>
    <t>270ppb</t>
  </si>
  <si>
    <t>315ppb</t>
  </si>
  <si>
    <t>360ppb</t>
  </si>
  <si>
    <t>405ppb</t>
  </si>
  <si>
    <t>455ppb</t>
  </si>
  <si>
    <t>A1 E2</t>
  </si>
  <si>
    <t>A2 E2</t>
  </si>
  <si>
    <t>A1 E3</t>
  </si>
  <si>
    <t>A2 E3</t>
  </si>
  <si>
    <t>A1 E4</t>
  </si>
  <si>
    <t>A2 E4</t>
  </si>
  <si>
    <t>A1 E5</t>
  </si>
  <si>
    <t>A2 E5</t>
  </si>
  <si>
    <t>A1 E6</t>
  </si>
  <si>
    <t>A2 E6</t>
  </si>
  <si>
    <t>A1 E7</t>
  </si>
  <si>
    <t>A2 E7</t>
  </si>
  <si>
    <t>A1 E8</t>
  </si>
  <si>
    <t>A2 E8</t>
  </si>
  <si>
    <t>A1 E9</t>
  </si>
  <si>
    <t>A2 E9</t>
  </si>
  <si>
    <t>A1 E10</t>
  </si>
  <si>
    <t>A2 E10</t>
  </si>
  <si>
    <t>A1 E11</t>
  </si>
  <si>
    <t>A2 E11</t>
  </si>
  <si>
    <t>DIA 1</t>
  </si>
  <si>
    <t>DIA 2</t>
  </si>
  <si>
    <t>DIA 3</t>
  </si>
  <si>
    <t>DIA 4</t>
  </si>
  <si>
    <t>DIA 5</t>
  </si>
  <si>
    <t>DIA 6</t>
  </si>
  <si>
    <t>142-Interno-06-Level2-TBH-RR
143-Interno-10-Level2-JGL-RR</t>
  </si>
  <si>
    <t>CALIBRACION  1</t>
  </si>
  <si>
    <t>CALIBRACION  2</t>
  </si>
  <si>
    <t>166-Interno-11-Level2-TBH-RR</t>
  </si>
  <si>
    <t>169-Interno-14-Level2-JGL-RR</t>
  </si>
  <si>
    <t>166-Interno-11-Level2-TBH-RR
169-Interno-14-Level2-JGL-RR</t>
  </si>
  <si>
    <t>Prueba t para dos muestras suponiendo varianzas iguales</t>
  </si>
  <si>
    <t>Media</t>
  </si>
  <si>
    <t>Varianza</t>
  </si>
  <si>
    <t>Observaciones</t>
  </si>
  <si>
    <t>Varianza agrupada</t>
  </si>
  <si>
    <t>Diferencia hipotética de las medias</t>
  </si>
  <si>
    <t>Grados de libertad</t>
  </si>
  <si>
    <t>Estadístico t</t>
  </si>
  <si>
    <t>P(T&lt;=t) una cola</t>
  </si>
  <si>
    <t>Valor crítico de t (una cola)</t>
  </si>
  <si>
    <t>P(T&lt;=t) dos colas</t>
  </si>
  <si>
    <t>Valor crítico de t (dos colas)</t>
  </si>
  <si>
    <r>
      <rPr>
        <b/>
        <sz val="14"/>
        <color rgb="FFFF0000"/>
        <rFont val="Gill Sans"/>
      </rPr>
      <t xml:space="preserve">PRUEBA DE HIPÓTESIS 
</t>
    </r>
    <r>
      <rPr>
        <b/>
        <sz val="20"/>
        <color rgb="FF0070C0"/>
        <rFont val="Gill Sans MT"/>
        <family val="2"/>
      </rPr>
      <t>t de Student</t>
    </r>
  </si>
  <si>
    <t>Analista 1</t>
  </si>
  <si>
    <t>Analista 2</t>
  </si>
  <si>
    <t>dia</t>
  </si>
  <si>
    <t>Estadístico de prueba</t>
  </si>
  <si>
    <t>=</t>
  </si>
  <si>
    <r>
      <rPr>
        <sz val="11"/>
        <color theme="1"/>
        <rFont val="Gill Sans"/>
      </rPr>
      <t>n</t>
    </r>
    <r>
      <rPr>
        <vertAlign val="subscript"/>
        <sz val="11"/>
        <color theme="1"/>
        <rFont val="Gill Sans MT"/>
        <family val="2"/>
      </rPr>
      <t>1</t>
    </r>
    <r>
      <rPr>
        <sz val="11"/>
        <color theme="1"/>
        <rFont val="Gill Sans MT"/>
        <family val="2"/>
      </rPr>
      <t>=</t>
    </r>
  </si>
  <si>
    <r>
      <rPr>
        <sz val="11"/>
        <color theme="1"/>
        <rFont val="Gill Sans"/>
      </rPr>
      <t>n</t>
    </r>
    <r>
      <rPr>
        <vertAlign val="subscript"/>
        <sz val="11"/>
        <color theme="1"/>
        <rFont val="Gill Sans MT"/>
        <family val="2"/>
      </rPr>
      <t>2</t>
    </r>
    <r>
      <rPr>
        <sz val="11"/>
        <color theme="1"/>
        <rFont val="Gill Sans MT"/>
        <family val="2"/>
      </rPr>
      <t>=</t>
    </r>
  </si>
  <si>
    <r>
      <rPr>
        <b/>
        <sz val="12"/>
        <color theme="1"/>
        <rFont val="Gill Sans MT"/>
        <family val="2"/>
      </rPr>
      <t>t</t>
    </r>
    <r>
      <rPr>
        <sz val="11"/>
        <color theme="1"/>
        <rFont val="Gill Sans MT"/>
        <family val="2"/>
      </rPr>
      <t xml:space="preserve"> =</t>
    </r>
  </si>
  <si>
    <t>Valor crítico:</t>
  </si>
  <si>
    <r>
      <rPr>
        <sz val="11"/>
        <color theme="1"/>
        <rFont val="Gill Sans"/>
      </rPr>
      <t>gl = (n</t>
    </r>
    <r>
      <rPr>
        <vertAlign val="subscript"/>
        <sz val="11"/>
        <color theme="1"/>
        <rFont val="Gill Sans MT"/>
        <family val="2"/>
      </rPr>
      <t>1</t>
    </r>
    <r>
      <rPr>
        <sz val="11"/>
        <color theme="1"/>
        <rFont val="Gill Sans MT"/>
        <family val="2"/>
      </rPr>
      <t>+n</t>
    </r>
    <r>
      <rPr>
        <vertAlign val="subscript"/>
        <sz val="11"/>
        <color theme="1"/>
        <rFont val="Gill Sans MT"/>
        <family val="2"/>
      </rPr>
      <t>2</t>
    </r>
    <r>
      <rPr>
        <sz val="11"/>
        <color theme="1"/>
        <rFont val="Gill Sans MT"/>
        <family val="2"/>
      </rPr>
      <t>-2) =</t>
    </r>
  </si>
  <si>
    <r>
      <rPr>
        <sz val="11"/>
        <color theme="1"/>
        <rFont val="Calibri"/>
        <family val="2"/>
      </rPr>
      <t>α</t>
    </r>
    <r>
      <rPr>
        <sz val="9"/>
        <color theme="1"/>
        <rFont val="Gill Sans MT"/>
        <family val="2"/>
      </rPr>
      <t xml:space="preserve"> =</t>
    </r>
  </si>
  <si>
    <t>p-valor =</t>
  </si>
  <si>
    <t>Decisión:</t>
  </si>
  <si>
    <t>no exite diferencias significativas para la medias de los errores entre los dos analistas, ya que el p valor es mayor que el alpha de 0,05</t>
  </si>
  <si>
    <t>cumple cuando el p-valor &gt; α y el Estadístico t, está dentro de la región de aceptación (+/- valor critico)</t>
  </si>
  <si>
    <t>45 nmol/mol</t>
  </si>
  <si>
    <t>90 nmol/mol</t>
  </si>
  <si>
    <t>135 nmol/mol</t>
  </si>
  <si>
    <t>HISTORICO DE ERRORES AÑO 2021 - 2022</t>
  </si>
  <si>
    <t>83-Interno-Level2
85-Interno-Level2 JGL</t>
  </si>
  <si>
    <t>116-Interno-01_Level2-TBH
118-Interno-03_Level2-JGL</t>
  </si>
  <si>
    <t>119-Interno-04-Level2-TBH
117-Interno-02_Level2-JGL</t>
  </si>
  <si>
    <t>Promedio Error</t>
  </si>
  <si>
    <t>225 nmol/mol</t>
  </si>
  <si>
    <t>180 nmol/mol</t>
  </si>
  <si>
    <t>270 nmol/mol</t>
  </si>
  <si>
    <t>315 nmol/mol</t>
  </si>
  <si>
    <t>455 nmol/mol</t>
  </si>
  <si>
    <t>405 nmol/mol</t>
  </si>
  <si>
    <t>Variable 1</t>
  </si>
  <si>
    <t>Variable 2</t>
  </si>
  <si>
    <t>VALORES ABSOLUTOS</t>
  </si>
  <si>
    <t>CALIBRACIÓN 3</t>
  </si>
  <si>
    <t>171-Interno-15-Level2-TBH</t>
  </si>
  <si>
    <t>173-Interno-16-Level2-JGL-RR</t>
  </si>
  <si>
    <r>
      <t>2 calibraciones realizadas por cada analista, en los</t>
    </r>
    <r>
      <rPr>
        <b/>
        <sz val="12"/>
        <color rgb="FFFF0000"/>
        <rFont val="Calibri"/>
        <family val="2"/>
        <scheme val="minor"/>
      </rPr>
      <t xml:space="preserve"> MISMOS</t>
    </r>
    <r>
      <rPr>
        <b/>
        <sz val="12"/>
        <color theme="1"/>
        <rFont val="Calibri"/>
        <family val="2"/>
        <scheme val="minor"/>
      </rPr>
      <t xml:space="preserve"> puntos de concentración, para un total de 4 calibraciones con 10 puntos de concentración (desde 45 ppb a 455 ppb)
Las pruebas 171 y 173, se realizaron en días diferentes, buscado simularlas en los mismos horarios del día (en la mañana), en las que las condiciones ambientales son mas estables.</t>
    </r>
  </si>
  <si>
    <t>171-Interno-15-Level2-TBH
173-Interno-16-Level2-JGL-RR</t>
  </si>
  <si>
    <t>Prueba t para dos muestras suponiendo varianzas desiguales</t>
  </si>
  <si>
    <t>CALIBRACIÓN 1</t>
  </si>
  <si>
    <t>83-Interno-Level2</t>
  </si>
  <si>
    <t>85-Interno-Level2 JGL</t>
  </si>
  <si>
    <t xml:space="preserve">CALIBRACION  2 </t>
  </si>
  <si>
    <t>116-Interno-01_Level2-TBH</t>
  </si>
  <si>
    <t>ANALISTA 1 (A2)</t>
  </si>
  <si>
    <t>118-Interno-03_Level2-JGL</t>
  </si>
  <si>
    <t xml:space="preserve">no exite diferencias significativas para la medias de los errores entre los dos analistas, ya que el p valor es mayor que el alpha </t>
  </si>
  <si>
    <t>CONDICIONES AMBIENTALES</t>
  </si>
  <si>
    <t>no exite diferencias significativas para la medias de los errores entre los dos analistas, ya que el p valor es mayor que el alpha</t>
  </si>
  <si>
    <t>360 nmol/mol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</si>
</sst>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yy/mm/dd"/>
    <numFmt numFmtId="165" formatCode="0.0"/>
    <numFmt numFmtId="166" formatCode="0.0000"/>
    <numFmt numFmtId="167" formatCode="0.000"/>
    <numFmt numFmtId="168" formatCode="0.000000"/>
    <numFmt numFmtId="169" formatCode="0.0000000"/>
    <numFmt numFmtId="170" formatCode="yyyy\-mm\-dd"/>
  </numFmts>
  <fonts count="3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</font>
    <font>
      <b/>
      <sz val="12"/>
      <color rgb="FFFF0000"/>
      <name val="Calibri"/>
      <family val="2"/>
      <scheme val="minor"/>
    </font>
    <font>
      <sz val="10"/>
      <color rgb="FF080000"/>
      <name val="Arial"/>
      <family val="2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Arial"/>
      <family val="2"/>
    </font>
    <font>
      <sz val="10"/>
      <name val="Arial"/>
      <family val="2"/>
    </font>
    <font>
      <sz val="11"/>
      <color theme="1"/>
      <name val="Calibri"/>
      <family val="2"/>
    </font>
    <font>
      <sz val="11"/>
      <color theme="1"/>
      <name val="Gill Sans"/>
    </font>
    <font>
      <b/>
      <sz val="14"/>
      <color rgb="FFFF0000"/>
      <name val="Gill Sans"/>
    </font>
    <font>
      <b/>
      <sz val="20"/>
      <color rgb="FF0070C0"/>
      <name val="Gill Sans MT"/>
      <family val="2"/>
    </font>
    <font>
      <sz val="11"/>
      <name val="Calibri"/>
      <family val="2"/>
    </font>
    <font>
      <b/>
      <sz val="11"/>
      <color theme="4"/>
      <name val="Gill Sans"/>
    </font>
    <font>
      <b/>
      <sz val="11"/>
      <color theme="1"/>
      <name val="Gill Sans"/>
    </font>
    <font>
      <i/>
      <sz val="11"/>
      <color theme="1"/>
      <name val="Calibri"/>
      <family val="2"/>
    </font>
    <font>
      <b/>
      <sz val="11"/>
      <color rgb="FFFF0000"/>
      <name val="Gill Sans"/>
    </font>
    <font>
      <vertAlign val="subscript"/>
      <sz val="11"/>
      <color theme="1"/>
      <name val="Gill Sans MT"/>
      <family val="2"/>
    </font>
    <font>
      <sz val="11"/>
      <color theme="1"/>
      <name val="Gill Sans MT"/>
      <family val="2"/>
    </font>
    <font>
      <b/>
      <sz val="12"/>
      <color theme="1"/>
      <name val="Gill Sans"/>
    </font>
    <font>
      <b/>
      <sz val="12"/>
      <color theme="1"/>
      <name val="Gill Sans MT"/>
      <family val="2"/>
    </font>
    <font>
      <b/>
      <sz val="11"/>
      <color rgb="FF00B050"/>
      <name val="Gill Sans"/>
    </font>
    <font>
      <sz val="9"/>
      <color theme="1"/>
      <name val="Gill Sans MT"/>
      <family val="2"/>
    </font>
    <font>
      <sz val="10"/>
      <color theme="1"/>
      <name val="Gill Sans"/>
    </font>
    <font>
      <sz val="11"/>
      <color theme="4"/>
      <name val="Gill Sans"/>
    </font>
    <font>
      <sz val="11"/>
      <color rgb="FF0070C0"/>
      <name val="Gill Sans"/>
    </font>
    <font>
      <sz val="11"/>
      <color theme="1"/>
      <name val="Gill Sans"/>
      <family val="2"/>
    </font>
    <font>
      <sz val="12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u/>
      <sz val="11"/>
      <color rgb="FFFF0000"/>
      <name val="Calibri"/>
      <family val="2"/>
    </font>
    <font>
      <u/>
      <sz val="11"/>
      <color theme="10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D9E2F3"/>
        <bgColor rgb="FFD9E2F3"/>
      </patternFill>
    </fill>
    <fill>
      <patternFill patternType="solid">
        <fgColor rgb="FFFFFF00"/>
        <bgColor rgb="FFFFFF00"/>
      </patternFill>
    </fill>
    <fill>
      <patternFill patternType="solid">
        <fgColor theme="4" tint="0.59999389629810485"/>
        <bgColor rgb="FFFFFF00"/>
      </patternFill>
    </fill>
    <fill>
      <patternFill patternType="solid">
        <fgColor theme="4" tint="0.79998168889431442"/>
        <bgColor rgb="FFD9E2F3"/>
      </patternFill>
    </fill>
    <fill>
      <patternFill patternType="solid">
        <fgColor rgb="FFFEEBF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9">
    <xf numFmtId="0" fontId="0" fillId="0" borderId="0"/>
    <xf numFmtId="0" fontId="6" fillId="0" borderId="0" applyNumberFormat="0" applyFill="0" applyBorder="0" applyAlignment="0" applyProtection="0"/>
    <xf numFmtId="0" fontId="2" fillId="0" borderId="0"/>
    <xf numFmtId="0" fontId="4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/>
    <xf numFmtId="0" fontId="12" fillId="0" borderId="0"/>
    <xf numFmtId="0" fontId="13" fillId="0" borderId="0"/>
    <xf numFmtId="0" fontId="35" fillId="0" borderId="0" applyNumberFormat="0" applyFill="0" applyBorder="0" applyAlignment="0" applyProtection="0"/>
  </cellStyleXfs>
  <cellXfs count="187">
    <xf numFmtId="0" fontId="0" fillId="0" borderId="0" xfId="0"/>
    <xf numFmtId="0" fontId="2" fillId="0" borderId="0" xfId="2"/>
    <xf numFmtId="0" fontId="2" fillId="0" borderId="0" xfId="2" applyAlignment="1">
      <alignment horizontal="center"/>
    </xf>
    <xf numFmtId="0" fontId="2" fillId="0" borderId="0" xfId="2" applyAlignment="1">
      <alignment horizontal="right"/>
    </xf>
    <xf numFmtId="0" fontId="3" fillId="0" borderId="0" xfId="2" applyFont="1"/>
    <xf numFmtId="0" fontId="2" fillId="0" borderId="2" xfId="2" applyBorder="1"/>
    <xf numFmtId="0" fontId="2" fillId="0" borderId="2" xfId="2" applyFont="1" applyBorder="1" applyAlignment="1">
      <alignment horizontal="center"/>
    </xf>
    <xf numFmtId="0" fontId="5" fillId="6" borderId="2" xfId="2" applyFont="1" applyFill="1" applyBorder="1" applyAlignment="1">
      <alignment horizontal="right" vertical="center"/>
    </xf>
    <xf numFmtId="14" fontId="6" fillId="0" borderId="2" xfId="1" applyNumberFormat="1" applyBorder="1" applyAlignment="1">
      <alignment horizontal="center"/>
    </xf>
    <xf numFmtId="0" fontId="2" fillId="0" borderId="0" xfId="2" applyFont="1" applyBorder="1" applyAlignment="1">
      <alignment horizontal="center"/>
    </xf>
    <xf numFmtId="164" fontId="1" fillId="0" borderId="0" xfId="2" applyNumberFormat="1" applyFont="1" applyBorder="1"/>
    <xf numFmtId="0" fontId="2" fillId="0" borderId="0" xfId="2" applyFont="1" applyBorder="1" applyAlignment="1">
      <alignment horizontal="right" vertical="center"/>
    </xf>
    <xf numFmtId="0" fontId="3" fillId="3" borderId="0" xfId="2" applyFont="1" applyFill="1" applyAlignment="1">
      <alignment horizontal="center"/>
    </xf>
    <xf numFmtId="0" fontId="3" fillId="0" borderId="3" xfId="2" applyFont="1" applyBorder="1" applyAlignment="1">
      <alignment horizontal="center"/>
    </xf>
    <xf numFmtId="0" fontId="3" fillId="0" borderId="4" xfId="2" applyFont="1" applyBorder="1" applyAlignment="1">
      <alignment horizontal="center"/>
    </xf>
    <xf numFmtId="0" fontId="3" fillId="0" borderId="5" xfId="2" applyFont="1" applyBorder="1" applyAlignment="1">
      <alignment horizontal="center"/>
    </xf>
    <xf numFmtId="165" fontId="2" fillId="0" borderId="2" xfId="2" applyNumberFormat="1" applyFont="1" applyBorder="1" applyAlignment="1">
      <alignment horizontal="center"/>
    </xf>
    <xf numFmtId="165" fontId="2" fillId="0" borderId="2" xfId="2" applyNumberFormat="1" applyBorder="1" applyAlignment="1">
      <alignment horizontal="center"/>
    </xf>
    <xf numFmtId="165" fontId="8" fillId="7" borderId="2" xfId="2" applyNumberFormat="1" applyFont="1" applyFill="1" applyBorder="1" applyAlignment="1">
      <alignment horizontal="center"/>
    </xf>
    <xf numFmtId="165" fontId="3" fillId="0" borderId="2" xfId="2" applyNumberFormat="1" applyFont="1" applyBorder="1" applyAlignment="1">
      <alignment horizontal="center"/>
    </xf>
    <xf numFmtId="0" fontId="3" fillId="0" borderId="0" xfId="2" applyFont="1" applyBorder="1" applyAlignment="1">
      <alignment horizontal="left" wrapText="1"/>
    </xf>
    <xf numFmtId="0" fontId="2" fillId="7" borderId="0" xfId="2" applyFill="1" applyBorder="1" applyAlignment="1" applyProtection="1">
      <alignment horizontal="center"/>
      <protection locked="0"/>
    </xf>
    <xf numFmtId="2" fontId="2" fillId="0" borderId="0" xfId="2" applyNumberFormat="1" applyBorder="1" applyAlignment="1">
      <alignment horizontal="center"/>
    </xf>
    <xf numFmtId="2" fontId="2" fillId="0" borderId="0" xfId="2" applyNumberFormat="1" applyBorder="1"/>
    <xf numFmtId="165" fontId="2" fillId="0" borderId="0" xfId="2" applyNumberFormat="1" applyAlignment="1">
      <alignment horizontal="center"/>
    </xf>
    <xf numFmtId="0" fontId="5" fillId="4" borderId="2" xfId="2" applyFont="1" applyFill="1" applyBorder="1" applyAlignment="1">
      <alignment horizontal="right" vertical="center"/>
    </xf>
    <xf numFmtId="0" fontId="3" fillId="0" borderId="2" xfId="2" applyFont="1" applyBorder="1" applyAlignment="1">
      <alignment horizontal="center"/>
    </xf>
    <xf numFmtId="0" fontId="3" fillId="0" borderId="6" xfId="2" applyFont="1" applyBorder="1" applyAlignment="1">
      <alignment horizontal="center"/>
    </xf>
    <xf numFmtId="0" fontId="3" fillId="0" borderId="12" xfId="2" applyFont="1" applyBorder="1" applyAlignment="1">
      <alignment horizontal="center"/>
    </xf>
    <xf numFmtId="0" fontId="3" fillId="0" borderId="14" xfId="2" applyFont="1" applyBorder="1" applyAlignment="1">
      <alignment horizontal="center"/>
    </xf>
    <xf numFmtId="165" fontId="2" fillId="0" borderId="6" xfId="2" applyNumberFormat="1" applyBorder="1" applyAlignment="1">
      <alignment horizontal="center"/>
    </xf>
    <xf numFmtId="165" fontId="2" fillId="0" borderId="4" xfId="2" applyNumberFormat="1" applyBorder="1" applyAlignment="1">
      <alignment horizontal="center"/>
    </xf>
    <xf numFmtId="165" fontId="2" fillId="0" borderId="11" xfId="2" applyNumberFormat="1" applyBorder="1" applyAlignment="1">
      <alignment horizontal="center"/>
    </xf>
    <xf numFmtId="0" fontId="3" fillId="0" borderId="15" xfId="2" applyFont="1" applyBorder="1" applyAlignment="1">
      <alignment horizontal="center"/>
    </xf>
    <xf numFmtId="165" fontId="2" fillId="0" borderId="12" xfId="2" applyNumberFormat="1" applyBorder="1" applyAlignment="1">
      <alignment horizontal="center"/>
    </xf>
    <xf numFmtId="165" fontId="2" fillId="0" borderId="13" xfId="2" applyNumberFormat="1" applyBorder="1" applyAlignment="1">
      <alignment horizontal="center"/>
    </xf>
    <xf numFmtId="0" fontId="2" fillId="8" borderId="2" xfId="2" applyFill="1" applyBorder="1"/>
    <xf numFmtId="0" fontId="2" fillId="8" borderId="2" xfId="2" applyFont="1" applyFill="1" applyBorder="1" applyAlignment="1">
      <alignment horizontal="center"/>
    </xf>
    <xf numFmtId="165" fontId="2" fillId="8" borderId="6" xfId="2" applyNumberFormat="1" applyFill="1" applyBorder="1" applyAlignment="1">
      <alignment horizontal="center"/>
    </xf>
    <xf numFmtId="165" fontId="2" fillId="8" borderId="2" xfId="2" applyNumberFormat="1" applyFill="1" applyBorder="1" applyAlignment="1">
      <alignment horizontal="center"/>
    </xf>
    <xf numFmtId="165" fontId="2" fillId="8" borderId="12" xfId="2" applyNumberFormat="1" applyFill="1" applyBorder="1" applyAlignment="1">
      <alignment horizontal="center"/>
    </xf>
    <xf numFmtId="0" fontId="0" fillId="0" borderId="0" xfId="0" applyFill="1" applyBorder="1" applyAlignment="1"/>
    <xf numFmtId="0" fontId="0" fillId="0" borderId="16" xfId="0" applyFill="1" applyBorder="1" applyAlignment="1"/>
    <xf numFmtId="0" fontId="9" fillId="0" borderId="7" xfId="0" applyFont="1" applyFill="1" applyBorder="1" applyAlignment="1">
      <alignment horizontal="center"/>
    </xf>
    <xf numFmtId="0" fontId="14" fillId="0" borderId="0" xfId="7" applyFont="1"/>
    <xf numFmtId="0" fontId="14" fillId="0" borderId="0" xfId="7" applyFont="1" applyAlignment="1">
      <alignment wrapText="1"/>
    </xf>
    <xf numFmtId="0" fontId="13" fillId="0" borderId="0" xfId="7" applyFont="1" applyAlignment="1"/>
    <xf numFmtId="0" fontId="18" fillId="0" borderId="0" xfId="7" applyFont="1" applyAlignment="1">
      <alignment horizontal="center" vertical="center" wrapText="1"/>
    </xf>
    <xf numFmtId="165" fontId="14" fillId="0" borderId="0" xfId="7" applyNumberFormat="1" applyFont="1" applyAlignment="1">
      <alignment horizontal="center"/>
    </xf>
    <xf numFmtId="0" fontId="20" fillId="0" borderId="7" xfId="7" applyFont="1" applyFill="1" applyBorder="1" applyAlignment="1">
      <alignment horizontal="center"/>
    </xf>
    <xf numFmtId="0" fontId="19" fillId="12" borderId="0" xfId="7" applyFont="1" applyFill="1" applyBorder="1" applyAlignment="1">
      <alignment horizontal="center" vertical="center" wrapText="1"/>
    </xf>
    <xf numFmtId="0" fontId="13" fillId="0" borderId="0" xfId="7" applyFill="1" applyBorder="1" applyAlignment="1"/>
    <xf numFmtId="166" fontId="13" fillId="0" borderId="0" xfId="7" applyNumberFormat="1" applyFill="1" applyBorder="1" applyAlignment="1"/>
    <xf numFmtId="0" fontId="14" fillId="12" borderId="0" xfId="7" applyFont="1" applyFill="1" applyBorder="1" applyAlignment="1">
      <alignment horizontal="center"/>
    </xf>
    <xf numFmtId="168" fontId="13" fillId="0" borderId="0" xfId="7" applyNumberFormat="1" applyFill="1" applyBorder="1" applyAlignment="1"/>
    <xf numFmtId="0" fontId="19" fillId="0" borderId="0" xfId="7" applyFont="1" applyAlignment="1">
      <alignment horizontal="right"/>
    </xf>
    <xf numFmtId="166" fontId="21" fillId="13" borderId="0" xfId="7" applyNumberFormat="1" applyFont="1" applyFill="1" applyBorder="1" applyAlignment="1">
      <alignment horizontal="center"/>
    </xf>
    <xf numFmtId="0" fontId="14" fillId="0" borderId="0" xfId="7" applyFont="1" applyAlignment="1">
      <alignment horizontal="right"/>
    </xf>
    <xf numFmtId="1" fontId="21" fillId="13" borderId="0" xfId="7" applyNumberFormat="1" applyFont="1" applyFill="1" applyBorder="1" applyAlignment="1">
      <alignment horizontal="center"/>
    </xf>
    <xf numFmtId="168" fontId="21" fillId="13" borderId="0" xfId="7" applyNumberFormat="1" applyFont="1" applyFill="1" applyBorder="1" applyAlignment="1">
      <alignment horizontal="center"/>
    </xf>
    <xf numFmtId="0" fontId="24" fillId="0" borderId="0" xfId="7" applyFont="1" applyAlignment="1">
      <alignment horizontal="right"/>
    </xf>
    <xf numFmtId="0" fontId="21" fillId="14" borderId="0" xfId="7" applyFont="1" applyFill="1" applyBorder="1"/>
    <xf numFmtId="2" fontId="14" fillId="0" borderId="0" xfId="7" applyNumberFormat="1" applyFont="1"/>
    <xf numFmtId="0" fontId="14" fillId="9" borderId="0" xfId="7" applyFont="1" applyFill="1"/>
    <xf numFmtId="0" fontId="14" fillId="9" borderId="0" xfId="7" applyFont="1" applyFill="1" applyAlignment="1">
      <alignment horizontal="right"/>
    </xf>
    <xf numFmtId="1" fontId="14" fillId="15" borderId="0" xfId="7" applyNumberFormat="1" applyFont="1" applyFill="1" applyBorder="1" applyAlignment="1">
      <alignment horizontal="center"/>
    </xf>
    <xf numFmtId="0" fontId="26" fillId="0" borderId="0" xfId="7" applyFont="1"/>
    <xf numFmtId="0" fontId="14" fillId="15" borderId="0" xfId="7" applyFont="1" applyFill="1" applyBorder="1" applyAlignment="1">
      <alignment horizontal="center"/>
    </xf>
    <xf numFmtId="9" fontId="14" fillId="0" borderId="0" xfId="7" applyNumberFormat="1" applyFont="1" applyAlignment="1">
      <alignment horizontal="center"/>
    </xf>
    <xf numFmtId="0" fontId="13" fillId="0" borderId="16" xfId="7" applyFill="1" applyBorder="1" applyAlignment="1"/>
    <xf numFmtId="168" fontId="13" fillId="0" borderId="16" xfId="7" applyNumberFormat="1" applyFill="1" applyBorder="1" applyAlignment="1"/>
    <xf numFmtId="0" fontId="19" fillId="9" borderId="0" xfId="7" applyFont="1" applyFill="1" applyAlignment="1">
      <alignment horizontal="right"/>
    </xf>
    <xf numFmtId="168" fontId="21" fillId="16" borderId="0" xfId="7" applyNumberFormat="1" applyFont="1" applyFill="1" applyBorder="1" applyAlignment="1">
      <alignment horizontal="center"/>
    </xf>
    <xf numFmtId="0" fontId="28" fillId="0" borderId="0" xfId="7" applyFont="1"/>
    <xf numFmtId="2" fontId="14" fillId="0" borderId="0" xfId="7" applyNumberFormat="1" applyFont="1" applyAlignment="1">
      <alignment horizontal="right"/>
    </xf>
    <xf numFmtId="0" fontId="29" fillId="0" borderId="0" xfId="7" applyFont="1"/>
    <xf numFmtId="0" fontId="30" fillId="0" borderId="0" xfId="7" applyFont="1"/>
    <xf numFmtId="0" fontId="19" fillId="0" borderId="0" xfId="7" applyFont="1"/>
    <xf numFmtId="0" fontId="19" fillId="0" borderId="0" xfId="7" applyFont="1" applyAlignment="1">
      <alignment horizontal="right" vertical="center"/>
    </xf>
    <xf numFmtId="167" fontId="21" fillId="0" borderId="0" xfId="7" applyNumberFormat="1" applyFont="1" applyAlignment="1">
      <alignment horizontal="center" vertical="center"/>
    </xf>
    <xf numFmtId="0" fontId="31" fillId="9" borderId="0" xfId="7" applyFont="1" applyFill="1" applyAlignment="1">
      <alignment horizontal="right"/>
    </xf>
    <xf numFmtId="169" fontId="17" fillId="7" borderId="0" xfId="7" applyNumberFormat="1" applyFont="1" applyFill="1" applyBorder="1" applyAlignment="1"/>
    <xf numFmtId="165" fontId="2" fillId="8" borderId="1" xfId="2" applyNumberFormat="1" applyFill="1" applyBorder="1" applyAlignment="1">
      <alignment horizontal="center"/>
    </xf>
    <xf numFmtId="165" fontId="2" fillId="0" borderId="1" xfId="2" applyNumberFormat="1" applyBorder="1" applyAlignment="1">
      <alignment horizontal="center"/>
    </xf>
    <xf numFmtId="165" fontId="13" fillId="0" borderId="0" xfId="7" applyNumberFormat="1" applyBorder="1" applyAlignment="1">
      <alignment horizontal="center"/>
    </xf>
    <xf numFmtId="0" fontId="14" fillId="0" borderId="0" xfId="7" applyFont="1" applyBorder="1"/>
    <xf numFmtId="0" fontId="5" fillId="3" borderId="2" xfId="2" applyFont="1" applyFill="1" applyBorder="1" applyAlignment="1">
      <alignment vertical="center" wrapText="1"/>
    </xf>
    <xf numFmtId="0" fontId="13" fillId="5" borderId="2" xfId="3" applyFont="1" applyFill="1" applyBorder="1" applyAlignment="1">
      <alignment vertical="center" wrapText="1"/>
    </xf>
    <xf numFmtId="0" fontId="5" fillId="6" borderId="2" xfId="2" applyFont="1" applyFill="1" applyBorder="1" applyAlignment="1">
      <alignment vertical="center" wrapText="1"/>
    </xf>
    <xf numFmtId="0" fontId="2" fillId="0" borderId="0" xfId="2" applyAlignment="1">
      <alignment vertical="center"/>
    </xf>
    <xf numFmtId="0" fontId="2" fillId="0" borderId="0" xfId="2" applyAlignment="1">
      <alignment horizontal="center" vertical="center"/>
    </xf>
    <xf numFmtId="0" fontId="2" fillId="4" borderId="2" xfId="3" applyFont="1" applyFill="1" applyBorder="1" applyAlignment="1">
      <alignment vertical="center" wrapText="1"/>
    </xf>
    <xf numFmtId="165" fontId="2" fillId="7" borderId="0" xfId="2" applyNumberFormat="1" applyFill="1" applyBorder="1" applyAlignment="1">
      <alignment horizontal="center"/>
    </xf>
    <xf numFmtId="0" fontId="2" fillId="7" borderId="0" xfId="2" applyFill="1" applyBorder="1"/>
    <xf numFmtId="0" fontId="5" fillId="7" borderId="0" xfId="2" applyFont="1" applyFill="1" applyBorder="1" applyAlignment="1">
      <alignment horizontal="center" vertical="center" wrapText="1"/>
    </xf>
    <xf numFmtId="0" fontId="3" fillId="7" borderId="0" xfId="2" applyFont="1" applyFill="1" applyBorder="1" applyAlignment="1">
      <alignment horizontal="center"/>
    </xf>
    <xf numFmtId="0" fontId="2" fillId="7" borderId="0" xfId="2" applyFill="1" applyBorder="1" applyAlignment="1">
      <alignment horizontal="center"/>
    </xf>
    <xf numFmtId="0" fontId="5" fillId="10" borderId="1" xfId="2" applyFont="1" applyFill="1" applyBorder="1" applyAlignment="1">
      <alignment vertical="center" wrapText="1"/>
    </xf>
    <xf numFmtId="0" fontId="2" fillId="0" borderId="1" xfId="2" applyBorder="1" applyAlignment="1">
      <alignment vertical="center"/>
    </xf>
    <xf numFmtId="165" fontId="2" fillId="0" borderId="1" xfId="2" applyNumberFormat="1" applyBorder="1" applyAlignment="1">
      <alignment horizontal="center" vertical="center"/>
    </xf>
    <xf numFmtId="165" fontId="32" fillId="0" borderId="1" xfId="2" applyNumberFormat="1" applyFont="1" applyBorder="1" applyAlignment="1">
      <alignment horizontal="center" vertical="center"/>
    </xf>
    <xf numFmtId="0" fontId="5" fillId="17" borderId="2" xfId="2" applyFont="1" applyFill="1" applyBorder="1" applyAlignment="1">
      <alignment vertical="center" wrapText="1"/>
    </xf>
    <xf numFmtId="0" fontId="5" fillId="17" borderId="2" xfId="2" applyFont="1" applyFill="1" applyBorder="1" applyAlignment="1">
      <alignment horizontal="left" vertical="center"/>
    </xf>
    <xf numFmtId="165" fontId="2" fillId="7" borderId="2" xfId="2" applyNumberFormat="1" applyFill="1" applyBorder="1" applyAlignment="1">
      <alignment horizontal="center"/>
    </xf>
    <xf numFmtId="165" fontId="2" fillId="7" borderId="12" xfId="2" applyNumberFormat="1" applyFill="1" applyBorder="1" applyAlignment="1">
      <alignment horizontal="center"/>
    </xf>
    <xf numFmtId="166" fontId="14" fillId="0" borderId="0" xfId="7" applyNumberFormat="1" applyFont="1"/>
    <xf numFmtId="0" fontId="33" fillId="4" borderId="2" xfId="2" applyFont="1" applyFill="1" applyBorder="1" applyAlignment="1">
      <alignment horizontal="right" vertical="center"/>
    </xf>
    <xf numFmtId="0" fontId="32" fillId="8" borderId="2" xfId="2" applyFont="1" applyFill="1" applyBorder="1"/>
    <xf numFmtId="0" fontId="32" fillId="8" borderId="2" xfId="2" applyFont="1" applyFill="1" applyBorder="1" applyAlignment="1">
      <alignment horizontal="center"/>
    </xf>
    <xf numFmtId="0" fontId="32" fillId="0" borderId="2" xfId="2" applyFont="1" applyBorder="1"/>
    <xf numFmtId="0" fontId="32" fillId="0" borderId="2" xfId="2" applyFont="1" applyBorder="1" applyAlignment="1">
      <alignment horizontal="center"/>
    </xf>
    <xf numFmtId="2" fontId="2" fillId="0" borderId="0" xfId="2" applyNumberFormat="1" applyAlignment="1">
      <alignment horizontal="center"/>
    </xf>
    <xf numFmtId="165" fontId="2" fillId="0" borderId="0" xfId="2" applyNumberFormat="1"/>
    <xf numFmtId="2" fontId="2" fillId="18" borderId="0" xfId="2" applyNumberFormat="1" applyFill="1"/>
    <xf numFmtId="2" fontId="2" fillId="19" borderId="0" xfId="2" applyNumberFormat="1" applyFill="1"/>
    <xf numFmtId="0" fontId="2" fillId="0" borderId="0" xfId="2"/>
    <xf numFmtId="0" fontId="2" fillId="0" borderId="0" xfId="2" applyAlignment="1">
      <alignment horizontal="center"/>
    </xf>
    <xf numFmtId="0" fontId="2" fillId="3" borderId="2" xfId="2" applyFill="1" applyBorder="1" applyAlignment="1">
      <alignment horizontal="center" vertical="center"/>
    </xf>
    <xf numFmtId="0" fontId="2" fillId="0" borderId="2" xfId="2" applyBorder="1"/>
    <xf numFmtId="0" fontId="2" fillId="0" borderId="2" xfId="2" applyFont="1" applyBorder="1" applyAlignment="1">
      <alignment horizontal="center"/>
    </xf>
    <xf numFmtId="170" fontId="4" fillId="0" borderId="2" xfId="3" applyNumberFormat="1" applyBorder="1" applyAlignment="1">
      <alignment horizontal="center"/>
    </xf>
    <xf numFmtId="170" fontId="4" fillId="0" borderId="2" xfId="3" applyNumberFormat="1" applyBorder="1"/>
    <xf numFmtId="0" fontId="13" fillId="5" borderId="2" xfId="3" applyFont="1" applyFill="1" applyBorder="1" applyAlignment="1">
      <alignment horizontal="center" vertical="center"/>
    </xf>
    <xf numFmtId="0" fontId="2" fillId="5" borderId="2" xfId="3" applyFont="1" applyFill="1" applyBorder="1" applyAlignment="1">
      <alignment horizontal="center" vertical="center"/>
    </xf>
    <xf numFmtId="0" fontId="3" fillId="0" borderId="5" xfId="2" applyFont="1" applyBorder="1" applyAlignment="1">
      <alignment horizontal="center"/>
    </xf>
    <xf numFmtId="165" fontId="2" fillId="0" borderId="2" xfId="2" applyNumberFormat="1" applyBorder="1" applyAlignment="1">
      <alignment horizontal="center"/>
    </xf>
    <xf numFmtId="0" fontId="3" fillId="0" borderId="1" xfId="2" applyFont="1" applyBorder="1" applyAlignment="1">
      <alignment horizontal="center"/>
    </xf>
    <xf numFmtId="0" fontId="2" fillId="7" borderId="0" xfId="2" applyFill="1" applyBorder="1" applyAlignment="1">
      <alignment horizontal="center"/>
    </xf>
    <xf numFmtId="0" fontId="3" fillId="7" borderId="0" xfId="2" applyFont="1" applyFill="1" applyBorder="1" applyAlignment="1">
      <alignment horizontal="center"/>
    </xf>
    <xf numFmtId="165" fontId="2" fillId="7" borderId="0" xfId="2" applyNumberFormat="1" applyFill="1" applyBorder="1" applyAlignment="1">
      <alignment horizontal="center"/>
    </xf>
    <xf numFmtId="0" fontId="2" fillId="7" borderId="0" xfId="2" applyFill="1" applyBorder="1"/>
    <xf numFmtId="14" fontId="4" fillId="0" borderId="2" xfId="3" applyNumberFormat="1" applyBorder="1" applyAlignment="1">
      <alignment horizontal="center"/>
    </xf>
    <xf numFmtId="0" fontId="2" fillId="7" borderId="0" xfId="2" applyFill="1" applyBorder="1" applyAlignment="1">
      <alignment horizontal="center" vertical="center"/>
    </xf>
    <xf numFmtId="0" fontId="2" fillId="7" borderId="0" xfId="2" applyFont="1" applyFill="1" applyBorder="1" applyAlignment="1">
      <alignment horizontal="center"/>
    </xf>
    <xf numFmtId="170" fontId="4" fillId="7" borderId="0" xfId="3" applyNumberFormat="1" applyFill="1" applyBorder="1"/>
    <xf numFmtId="0" fontId="2" fillId="7" borderId="0" xfId="3" applyFont="1" applyFill="1" applyBorder="1" applyAlignment="1">
      <alignment horizontal="center" vertical="center"/>
    </xf>
    <xf numFmtId="14" fontId="35" fillId="7" borderId="0" xfId="8" applyNumberFormat="1" applyFill="1" applyBorder="1" applyAlignment="1">
      <alignment horizontal="center"/>
    </xf>
    <xf numFmtId="0" fontId="5" fillId="7" borderId="0" xfId="2" applyFont="1" applyFill="1" applyBorder="1" applyAlignment="1">
      <alignment horizontal="right" vertical="center"/>
    </xf>
    <xf numFmtId="0" fontId="3" fillId="9" borderId="3" xfId="2" applyFont="1" applyFill="1" applyBorder="1" applyAlignment="1">
      <alignment horizontal="center"/>
    </xf>
    <xf numFmtId="165" fontId="2" fillId="9" borderId="2" xfId="2" applyNumberFormat="1" applyFont="1" applyFill="1" applyBorder="1" applyAlignment="1">
      <alignment horizontal="center"/>
    </xf>
    <xf numFmtId="165" fontId="2" fillId="9" borderId="2" xfId="2" applyNumberFormat="1" applyFill="1" applyBorder="1" applyAlignment="1">
      <alignment horizontal="center"/>
    </xf>
    <xf numFmtId="165" fontId="2" fillId="9" borderId="6" xfId="2" applyNumberFormat="1" applyFill="1" applyBorder="1" applyAlignment="1">
      <alignment horizontal="center"/>
    </xf>
    <xf numFmtId="165" fontId="2" fillId="9" borderId="12" xfId="2" applyNumberFormat="1" applyFill="1" applyBorder="1" applyAlignment="1">
      <alignment horizontal="center"/>
    </xf>
    <xf numFmtId="0" fontId="3" fillId="10" borderId="4" xfId="2" applyFont="1" applyFill="1" applyBorder="1" applyAlignment="1">
      <alignment horizontal="center"/>
    </xf>
    <xf numFmtId="165" fontId="2" fillId="10" borderId="2" xfId="2" applyNumberFormat="1" applyFill="1" applyBorder="1" applyAlignment="1">
      <alignment horizontal="center"/>
    </xf>
    <xf numFmtId="165" fontId="2" fillId="10" borderId="6" xfId="2" applyNumberFormat="1" applyFill="1" applyBorder="1" applyAlignment="1">
      <alignment horizontal="center"/>
    </xf>
    <xf numFmtId="165" fontId="2" fillId="10" borderId="12" xfId="2" applyNumberFormat="1" applyFill="1" applyBorder="1" applyAlignment="1">
      <alignment horizontal="center"/>
    </xf>
    <xf numFmtId="0" fontId="3" fillId="8" borderId="1" xfId="2" applyFont="1" applyFill="1" applyBorder="1" applyAlignment="1">
      <alignment horizontal="center"/>
    </xf>
    <xf numFmtId="0" fontId="0" fillId="0" borderId="0" xfId="0" applyBorder="1"/>
    <xf numFmtId="0" fontId="13" fillId="0" borderId="0" xfId="7" applyFont="1" applyBorder="1" applyAlignment="1"/>
    <xf numFmtId="0" fontId="9" fillId="0" borderId="0" xfId="0" applyFont="1" applyFill="1" applyBorder="1" applyAlignment="1">
      <alignment horizontal="center"/>
    </xf>
    <xf numFmtId="14" fontId="34" fillId="0" borderId="2" xfId="1" applyNumberFormat="1" applyFont="1" applyBorder="1" applyAlignment="1">
      <alignment horizontal="center"/>
    </xf>
    <xf numFmtId="0" fontId="3" fillId="7" borderId="0" xfId="2" applyFont="1" applyFill="1" applyAlignment="1">
      <alignment horizontal="center"/>
    </xf>
    <xf numFmtId="0" fontId="2" fillId="7" borderId="0" xfId="2" applyFill="1" applyAlignment="1">
      <alignment horizontal="center"/>
    </xf>
    <xf numFmtId="0" fontId="3" fillId="0" borderId="0" xfId="2" applyFont="1" applyAlignment="1">
      <alignment horizontal="center" vertical="center"/>
    </xf>
    <xf numFmtId="165" fontId="2" fillId="7" borderId="6" xfId="2" applyNumberFormat="1" applyFill="1" applyBorder="1" applyAlignment="1">
      <alignment horizontal="center"/>
    </xf>
    <xf numFmtId="0" fontId="15" fillId="11" borderId="0" xfId="7" applyFont="1" applyFill="1" applyBorder="1" applyAlignment="1">
      <alignment horizontal="center" vertical="center" wrapText="1"/>
    </xf>
    <xf numFmtId="0" fontId="17" fillId="0" borderId="0" xfId="7" applyFont="1" applyBorder="1"/>
    <xf numFmtId="0" fontId="19" fillId="0" borderId="0" xfId="7" applyFont="1" applyAlignment="1">
      <alignment horizontal="center"/>
    </xf>
    <xf numFmtId="0" fontId="14" fillId="0" borderId="0" xfId="7" applyFont="1" applyAlignment="1">
      <alignment horizontal="center"/>
    </xf>
    <xf numFmtId="0" fontId="3" fillId="2" borderId="0" xfId="2" applyFont="1" applyFill="1" applyAlignment="1">
      <alignment horizontal="center"/>
    </xf>
    <xf numFmtId="0" fontId="2" fillId="17" borderId="2" xfId="2" applyFont="1" applyFill="1" applyBorder="1" applyAlignment="1">
      <alignment horizontal="center" vertical="center"/>
    </xf>
    <xf numFmtId="0" fontId="2" fillId="3" borderId="1" xfId="2" applyFill="1" applyBorder="1" applyAlignment="1">
      <alignment horizontal="center" vertical="center"/>
    </xf>
    <xf numFmtId="0" fontId="2" fillId="3" borderId="17" xfId="2" applyFill="1" applyBorder="1" applyAlignment="1">
      <alignment horizontal="center" vertical="center"/>
    </xf>
    <xf numFmtId="0" fontId="2" fillId="5" borderId="1" xfId="2" applyFont="1" applyFill="1" applyBorder="1" applyAlignment="1">
      <alignment horizontal="center" vertical="center"/>
    </xf>
    <xf numFmtId="0" fontId="2" fillId="5" borderId="17" xfId="2" applyFont="1" applyFill="1" applyBorder="1" applyAlignment="1">
      <alignment horizontal="center" vertical="center"/>
    </xf>
    <xf numFmtId="0" fontId="2" fillId="7" borderId="0" xfId="2" applyFont="1" applyFill="1" applyBorder="1" applyAlignment="1">
      <alignment horizontal="center" vertical="center"/>
    </xf>
    <xf numFmtId="0" fontId="3" fillId="0" borderId="0" xfId="2" applyFont="1" applyAlignment="1">
      <alignment horizontal="right"/>
    </xf>
    <xf numFmtId="0" fontId="3" fillId="0" borderId="0" xfId="2" applyFont="1" applyAlignment="1">
      <alignment horizontal="right" vertical="center"/>
    </xf>
    <xf numFmtId="0" fontId="2" fillId="0" borderId="0" xfId="2" applyAlignment="1">
      <alignment horizontal="left" wrapText="1"/>
    </xf>
    <xf numFmtId="0" fontId="5" fillId="3" borderId="2" xfId="2" applyFont="1" applyFill="1" applyBorder="1" applyAlignment="1">
      <alignment horizontal="center" vertical="center" wrapText="1"/>
    </xf>
    <xf numFmtId="0" fontId="13" fillId="5" borderId="2" xfId="3" applyFont="1" applyFill="1" applyBorder="1" applyAlignment="1">
      <alignment horizontal="center" vertical="center" wrapText="1"/>
    </xf>
    <xf numFmtId="0" fontId="2" fillId="4" borderId="1" xfId="3" applyFont="1" applyFill="1" applyBorder="1" applyAlignment="1">
      <alignment horizontal="center" vertical="center" wrapText="1"/>
    </xf>
    <xf numFmtId="0" fontId="2" fillId="4" borderId="18" xfId="3" applyFont="1" applyFill="1" applyBorder="1" applyAlignment="1">
      <alignment horizontal="center" vertical="center" wrapText="1"/>
    </xf>
    <xf numFmtId="0" fontId="2" fillId="4" borderId="17" xfId="3" applyFont="1" applyFill="1" applyBorder="1" applyAlignment="1">
      <alignment horizontal="center" vertical="center" wrapText="1"/>
    </xf>
    <xf numFmtId="2" fontId="2" fillId="0" borderId="2" xfId="2" applyNumberFormat="1" applyBorder="1" applyAlignment="1">
      <alignment horizontal="center"/>
    </xf>
    <xf numFmtId="0" fontId="5" fillId="7" borderId="0" xfId="2" applyFont="1" applyFill="1" applyBorder="1" applyAlignment="1">
      <alignment horizontal="center" vertical="center" wrapText="1"/>
    </xf>
    <xf numFmtId="0" fontId="5" fillId="17" borderId="3" xfId="2" applyFont="1" applyFill="1" applyBorder="1" applyAlignment="1">
      <alignment horizontal="center" vertical="center" wrapText="1"/>
    </xf>
    <xf numFmtId="0" fontId="5" fillId="17" borderId="19" xfId="2" applyFont="1" applyFill="1" applyBorder="1" applyAlignment="1">
      <alignment horizontal="center" vertical="center" wrapText="1"/>
    </xf>
    <xf numFmtId="0" fontId="5" fillId="17" borderId="20" xfId="2" applyFont="1" applyFill="1" applyBorder="1" applyAlignment="1">
      <alignment horizontal="center" vertical="center" wrapText="1"/>
    </xf>
    <xf numFmtId="0" fontId="5" fillId="6" borderId="2" xfId="2" applyFont="1" applyFill="1" applyBorder="1" applyAlignment="1">
      <alignment horizontal="center" vertical="center" wrapText="1"/>
    </xf>
    <xf numFmtId="0" fontId="2" fillId="6" borderId="2" xfId="2" applyFont="1" applyFill="1" applyBorder="1" applyAlignment="1">
      <alignment horizontal="center" vertical="center"/>
    </xf>
    <xf numFmtId="0" fontId="3" fillId="0" borderId="0" xfId="2" applyFont="1" applyBorder="1" applyAlignment="1">
      <alignment horizontal="left" vertical="center" wrapText="1"/>
    </xf>
    <xf numFmtId="0" fontId="32" fillId="4" borderId="2" xfId="2" applyFont="1" applyFill="1" applyBorder="1" applyAlignment="1">
      <alignment horizontal="center" vertical="center"/>
    </xf>
    <xf numFmtId="0" fontId="5" fillId="6" borderId="9" xfId="2" applyFont="1" applyFill="1" applyBorder="1" applyAlignment="1">
      <alignment horizontal="center" vertical="center" wrapText="1"/>
    </xf>
    <xf numFmtId="0" fontId="5" fillId="6" borderId="10" xfId="2" applyFont="1" applyFill="1" applyBorder="1" applyAlignment="1">
      <alignment horizontal="center" vertical="center" wrapText="1"/>
    </xf>
    <xf numFmtId="0" fontId="5" fillId="6" borderId="8" xfId="2" applyFont="1" applyFill="1" applyBorder="1" applyAlignment="1">
      <alignment horizontal="center" vertical="center" wrapText="1"/>
    </xf>
  </cellXfs>
  <cellStyles count="9">
    <cellStyle name="Hipervínculo" xfId="1" builtinId="8"/>
    <cellStyle name="Hipervínculo 2" xfId="3"/>
    <cellStyle name="Hipervínculo 3" xfId="4"/>
    <cellStyle name="Hipervínculo 4" xfId="8"/>
    <cellStyle name="Normal" xfId="0" builtinId="0"/>
    <cellStyle name="Normal 2" xfId="2"/>
    <cellStyle name="Normal 2 2" xfId="5"/>
    <cellStyle name="Normal 3" xfId="6"/>
    <cellStyle name="Normal 4" xfId="7"/>
  </cellStyles>
  <dxfs count="0"/>
  <tableStyles count="0" defaultTableStyle="TableStyleMedium2" defaultPivotStyle="PivotStyleLight16"/>
  <colors>
    <mruColors>
      <color rgb="FFFEEB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2.png"/><Relationship Id="rId7" Type="http://schemas.openxmlformats.org/officeDocument/2006/relationships/image" Target="../media/image6.png"/><Relationship Id="rId2" Type="http://schemas.openxmlformats.org/officeDocument/2006/relationships/hyperlink" Target="#'t de student'!M13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11" Type="http://schemas.openxmlformats.org/officeDocument/2006/relationships/image" Target="../media/image10.png"/><Relationship Id="rId5" Type="http://schemas.openxmlformats.org/officeDocument/2006/relationships/image" Target="../media/image4.png"/><Relationship Id="rId10" Type="http://schemas.openxmlformats.org/officeDocument/2006/relationships/image" Target="../media/image9.png"/><Relationship Id="rId4" Type="http://schemas.openxmlformats.org/officeDocument/2006/relationships/image" Target="../media/image3.png"/><Relationship Id="rId9" Type="http://schemas.openxmlformats.org/officeDocument/2006/relationships/image" Target="../media/image8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2.png"/><Relationship Id="rId7" Type="http://schemas.openxmlformats.org/officeDocument/2006/relationships/image" Target="../media/image6.png"/><Relationship Id="rId12" Type="http://schemas.openxmlformats.org/officeDocument/2006/relationships/image" Target="../media/image11.png"/><Relationship Id="rId2" Type="http://schemas.openxmlformats.org/officeDocument/2006/relationships/hyperlink" Target="#'t de student'!M13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11" Type="http://schemas.openxmlformats.org/officeDocument/2006/relationships/image" Target="../media/image10.png"/><Relationship Id="rId5" Type="http://schemas.openxmlformats.org/officeDocument/2006/relationships/image" Target="../media/image4.png"/><Relationship Id="rId10" Type="http://schemas.openxmlformats.org/officeDocument/2006/relationships/image" Target="../media/image9.png"/><Relationship Id="rId4" Type="http://schemas.openxmlformats.org/officeDocument/2006/relationships/image" Target="../media/image3.png"/><Relationship Id="rId9" Type="http://schemas.openxmlformats.org/officeDocument/2006/relationships/image" Target="../media/image8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2.png"/><Relationship Id="rId7" Type="http://schemas.openxmlformats.org/officeDocument/2006/relationships/image" Target="../media/image6.png"/><Relationship Id="rId12" Type="http://schemas.openxmlformats.org/officeDocument/2006/relationships/image" Target="../media/image12.png"/><Relationship Id="rId2" Type="http://schemas.openxmlformats.org/officeDocument/2006/relationships/hyperlink" Target="#'t de student'!M13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11" Type="http://schemas.openxmlformats.org/officeDocument/2006/relationships/image" Target="../media/image10.png"/><Relationship Id="rId5" Type="http://schemas.openxmlformats.org/officeDocument/2006/relationships/image" Target="../media/image4.png"/><Relationship Id="rId10" Type="http://schemas.openxmlformats.org/officeDocument/2006/relationships/image" Target="../media/image9.png"/><Relationship Id="rId4" Type="http://schemas.openxmlformats.org/officeDocument/2006/relationships/image" Target="../media/image3.png"/><Relationship Id="rId9" Type="http://schemas.openxmlformats.org/officeDocument/2006/relationships/image" Target="../media/image8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2.png"/><Relationship Id="rId7" Type="http://schemas.openxmlformats.org/officeDocument/2006/relationships/image" Target="../media/image6.png"/><Relationship Id="rId12" Type="http://schemas.openxmlformats.org/officeDocument/2006/relationships/image" Target="../media/image13.png"/><Relationship Id="rId2" Type="http://schemas.openxmlformats.org/officeDocument/2006/relationships/hyperlink" Target="#'t de student'!M13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11" Type="http://schemas.openxmlformats.org/officeDocument/2006/relationships/image" Target="../media/image10.png"/><Relationship Id="rId5" Type="http://schemas.openxmlformats.org/officeDocument/2006/relationships/image" Target="../media/image4.png"/><Relationship Id="rId10" Type="http://schemas.openxmlformats.org/officeDocument/2006/relationships/image" Target="../media/image9.png"/><Relationship Id="rId4" Type="http://schemas.openxmlformats.org/officeDocument/2006/relationships/image" Target="../media/image3.png"/><Relationship Id="rId9" Type="http://schemas.openxmlformats.org/officeDocument/2006/relationships/image" Target="../media/image8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2.png"/><Relationship Id="rId7" Type="http://schemas.openxmlformats.org/officeDocument/2006/relationships/image" Target="../media/image6.png"/><Relationship Id="rId12" Type="http://schemas.openxmlformats.org/officeDocument/2006/relationships/image" Target="../media/image14.png"/><Relationship Id="rId2" Type="http://schemas.openxmlformats.org/officeDocument/2006/relationships/hyperlink" Target="#'t de student'!M13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11" Type="http://schemas.openxmlformats.org/officeDocument/2006/relationships/image" Target="../media/image10.png"/><Relationship Id="rId5" Type="http://schemas.openxmlformats.org/officeDocument/2006/relationships/image" Target="../media/image4.png"/><Relationship Id="rId10" Type="http://schemas.openxmlformats.org/officeDocument/2006/relationships/image" Target="../media/image9.png"/><Relationship Id="rId4" Type="http://schemas.openxmlformats.org/officeDocument/2006/relationships/image" Target="../media/image3.png"/><Relationship Id="rId9" Type="http://schemas.openxmlformats.org/officeDocument/2006/relationships/image" Target="../media/image8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2.png"/><Relationship Id="rId7" Type="http://schemas.openxmlformats.org/officeDocument/2006/relationships/image" Target="../media/image6.png"/><Relationship Id="rId12" Type="http://schemas.openxmlformats.org/officeDocument/2006/relationships/image" Target="../media/image15.png"/><Relationship Id="rId2" Type="http://schemas.openxmlformats.org/officeDocument/2006/relationships/hyperlink" Target="#'t de student'!M13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11" Type="http://schemas.openxmlformats.org/officeDocument/2006/relationships/image" Target="../media/image10.png"/><Relationship Id="rId5" Type="http://schemas.openxmlformats.org/officeDocument/2006/relationships/image" Target="../media/image4.png"/><Relationship Id="rId10" Type="http://schemas.openxmlformats.org/officeDocument/2006/relationships/image" Target="../media/image9.png"/><Relationship Id="rId4" Type="http://schemas.openxmlformats.org/officeDocument/2006/relationships/image" Target="../media/image3.png"/><Relationship Id="rId9" Type="http://schemas.openxmlformats.org/officeDocument/2006/relationships/image" Target="../media/image8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2.png"/><Relationship Id="rId7" Type="http://schemas.openxmlformats.org/officeDocument/2006/relationships/image" Target="../media/image6.png"/><Relationship Id="rId12" Type="http://schemas.openxmlformats.org/officeDocument/2006/relationships/image" Target="../media/image16.png"/><Relationship Id="rId2" Type="http://schemas.openxmlformats.org/officeDocument/2006/relationships/hyperlink" Target="#'t de student'!M13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11" Type="http://schemas.openxmlformats.org/officeDocument/2006/relationships/image" Target="../media/image10.png"/><Relationship Id="rId5" Type="http://schemas.openxmlformats.org/officeDocument/2006/relationships/image" Target="../media/image4.png"/><Relationship Id="rId10" Type="http://schemas.openxmlformats.org/officeDocument/2006/relationships/image" Target="../media/image9.png"/><Relationship Id="rId4" Type="http://schemas.openxmlformats.org/officeDocument/2006/relationships/image" Target="../media/image3.png"/><Relationship Id="rId9" Type="http://schemas.openxmlformats.org/officeDocument/2006/relationships/image" Target="../media/image8.png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2.png"/><Relationship Id="rId7" Type="http://schemas.openxmlformats.org/officeDocument/2006/relationships/image" Target="../media/image6.png"/><Relationship Id="rId12" Type="http://schemas.openxmlformats.org/officeDocument/2006/relationships/image" Target="../media/image17.png"/><Relationship Id="rId2" Type="http://schemas.openxmlformats.org/officeDocument/2006/relationships/hyperlink" Target="#'t de student'!M13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11" Type="http://schemas.openxmlformats.org/officeDocument/2006/relationships/image" Target="../media/image10.png"/><Relationship Id="rId5" Type="http://schemas.openxmlformats.org/officeDocument/2006/relationships/image" Target="../media/image4.png"/><Relationship Id="rId10" Type="http://schemas.openxmlformats.org/officeDocument/2006/relationships/image" Target="../media/image9.png"/><Relationship Id="rId4" Type="http://schemas.openxmlformats.org/officeDocument/2006/relationships/image" Target="../media/image3.png"/><Relationship Id="rId9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2.png"/><Relationship Id="rId7" Type="http://schemas.openxmlformats.org/officeDocument/2006/relationships/image" Target="../media/image6.png"/><Relationship Id="rId12" Type="http://schemas.openxmlformats.org/officeDocument/2006/relationships/image" Target="../media/image18.png"/><Relationship Id="rId2" Type="http://schemas.openxmlformats.org/officeDocument/2006/relationships/hyperlink" Target="#'t de student'!M13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11" Type="http://schemas.openxmlformats.org/officeDocument/2006/relationships/image" Target="../media/image10.png"/><Relationship Id="rId5" Type="http://schemas.openxmlformats.org/officeDocument/2006/relationships/image" Target="../media/image4.png"/><Relationship Id="rId10" Type="http://schemas.openxmlformats.org/officeDocument/2006/relationships/image" Target="../media/image9.png"/><Relationship Id="rId4" Type="http://schemas.openxmlformats.org/officeDocument/2006/relationships/image" Target="../media/image3.png"/><Relationship Id="rId9" Type="http://schemas.openxmlformats.org/officeDocument/2006/relationships/image" Target="../media/image8.png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2.png"/><Relationship Id="rId7" Type="http://schemas.openxmlformats.org/officeDocument/2006/relationships/image" Target="../media/image6.png"/><Relationship Id="rId12" Type="http://schemas.openxmlformats.org/officeDocument/2006/relationships/image" Target="../media/image19.png"/><Relationship Id="rId2" Type="http://schemas.openxmlformats.org/officeDocument/2006/relationships/hyperlink" Target="#'t de student'!M13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11" Type="http://schemas.openxmlformats.org/officeDocument/2006/relationships/image" Target="../media/image10.png"/><Relationship Id="rId5" Type="http://schemas.openxmlformats.org/officeDocument/2006/relationships/image" Target="../media/image4.png"/><Relationship Id="rId10" Type="http://schemas.openxmlformats.org/officeDocument/2006/relationships/image" Target="../media/image9.png"/><Relationship Id="rId4" Type="http://schemas.openxmlformats.org/officeDocument/2006/relationships/image" Target="../media/image3.png"/><Relationship Id="rId9" Type="http://schemas.openxmlformats.org/officeDocument/2006/relationships/image" Target="../media/image8.png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2.png"/><Relationship Id="rId7" Type="http://schemas.openxmlformats.org/officeDocument/2006/relationships/image" Target="../media/image6.png"/><Relationship Id="rId12" Type="http://schemas.openxmlformats.org/officeDocument/2006/relationships/image" Target="../media/image20.png"/><Relationship Id="rId2" Type="http://schemas.openxmlformats.org/officeDocument/2006/relationships/hyperlink" Target="#'t de student'!M13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11" Type="http://schemas.openxmlformats.org/officeDocument/2006/relationships/image" Target="../media/image10.png"/><Relationship Id="rId5" Type="http://schemas.openxmlformats.org/officeDocument/2006/relationships/image" Target="../media/image4.png"/><Relationship Id="rId10" Type="http://schemas.openxmlformats.org/officeDocument/2006/relationships/image" Target="../media/image9.png"/><Relationship Id="rId4" Type="http://schemas.openxmlformats.org/officeDocument/2006/relationships/image" Target="../media/image3.png"/><Relationship Id="rId9" Type="http://schemas.openxmlformats.org/officeDocument/2006/relationships/image" Target="../media/image8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3.png"/><Relationship Id="rId2" Type="http://schemas.openxmlformats.org/officeDocument/2006/relationships/image" Target="../media/image22.png"/><Relationship Id="rId1" Type="http://schemas.openxmlformats.org/officeDocument/2006/relationships/image" Target="../media/image21.png"/><Relationship Id="rId6" Type="http://schemas.openxmlformats.org/officeDocument/2006/relationships/image" Target="../media/image26.png"/><Relationship Id="rId5" Type="http://schemas.openxmlformats.org/officeDocument/2006/relationships/image" Target="../media/image25.png"/><Relationship Id="rId4" Type="http://schemas.openxmlformats.org/officeDocument/2006/relationships/image" Target="../media/image2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438146</xdr:colOff>
      <xdr:row>11</xdr:row>
      <xdr:rowOff>28576</xdr:rowOff>
    </xdr:from>
    <xdr:ext cx="1828800" cy="1172523"/>
    <xdr:grpSp>
      <xdr:nvGrpSpPr>
        <xdr:cNvPr id="2" name="Shape 2">
          <a:extLst>
            <a:ext uri="{FF2B5EF4-FFF2-40B4-BE49-F238E27FC236}">
              <a16:creationId xmlns:a16="http://schemas.microsoft.com/office/drawing/2014/main" id="{655E4C76-66C5-4A6A-92C0-B4B28551BA04}"/>
            </a:ext>
          </a:extLst>
        </xdr:cNvPr>
        <xdr:cNvGrpSpPr/>
      </xdr:nvGrpSpPr>
      <xdr:grpSpPr>
        <a:xfrm>
          <a:off x="7010396" y="2600326"/>
          <a:ext cx="1828800" cy="1172523"/>
          <a:chOff x="4383970" y="3118013"/>
          <a:chExt cx="1924050" cy="1416997"/>
        </a:xfrm>
      </xdr:grpSpPr>
      <xdr:grpSp>
        <xdr:nvGrpSpPr>
          <xdr:cNvPr id="3" name="Shape 4">
            <a:extLst>
              <a:ext uri="{FF2B5EF4-FFF2-40B4-BE49-F238E27FC236}">
                <a16:creationId xmlns:a16="http://schemas.microsoft.com/office/drawing/2014/main" id="{528F772B-ECEA-4729-8826-C2886B4DE5BC}"/>
              </a:ext>
            </a:extLst>
          </xdr:cNvPr>
          <xdr:cNvGrpSpPr/>
        </xdr:nvGrpSpPr>
        <xdr:grpSpPr>
          <a:xfrm>
            <a:off x="4383970" y="3118013"/>
            <a:ext cx="1924050" cy="1416997"/>
            <a:chOff x="14823281" y="2107407"/>
            <a:chExt cx="2690813" cy="1845020"/>
          </a:xfrm>
        </xdr:grpSpPr>
        <xdr:sp macro="" textlink="">
          <xdr:nvSpPr>
            <xdr:cNvPr id="4" name="Shape 5">
              <a:extLst>
                <a:ext uri="{FF2B5EF4-FFF2-40B4-BE49-F238E27FC236}">
                  <a16:creationId xmlns:a16="http://schemas.microsoft.com/office/drawing/2014/main" id="{8EE1E578-63ED-4583-9F5C-4258E8A9A966}"/>
                </a:ext>
              </a:extLst>
            </xdr:cNvPr>
            <xdr:cNvSpPr/>
          </xdr:nvSpPr>
          <xdr:spPr>
            <a:xfrm>
              <a:off x="14823281" y="2107407"/>
              <a:ext cx="2690800" cy="17238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" name="Shape 6">
              <a:extLst>
                <a:ext uri="{FF2B5EF4-FFF2-40B4-BE49-F238E27FC236}">
                  <a16:creationId xmlns:a16="http://schemas.microsoft.com/office/drawing/2014/main" id="{F813AB09-1EAA-459D-9C36-64213EF17FF5}"/>
                </a:ext>
              </a:extLst>
            </xdr:cNvPr>
            <xdr:cNvSpPr txBox="1"/>
          </xdr:nvSpPr>
          <xdr:spPr>
            <a:xfrm>
              <a:off x="15257741" y="3462338"/>
              <a:ext cx="589479" cy="490089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400"/>
                <a:t> </a:t>
              </a:r>
              <a:endParaRPr sz="1000" b="1">
                <a:solidFill>
                  <a:schemeClr val="dk1"/>
                </a:solidFill>
              </a:endParaRPr>
            </a:p>
          </xdr:txBody>
        </xdr:sp>
        <xdr:grpSp>
          <xdr:nvGrpSpPr>
            <xdr:cNvPr id="6" name="Shape 7">
              <a:extLst>
                <a:ext uri="{FF2B5EF4-FFF2-40B4-BE49-F238E27FC236}">
                  <a16:creationId xmlns:a16="http://schemas.microsoft.com/office/drawing/2014/main" id="{B1249201-8000-4929-8FCD-CAA0D10B0854}"/>
                </a:ext>
              </a:extLst>
            </xdr:cNvPr>
            <xdr:cNvGrpSpPr/>
          </xdr:nvGrpSpPr>
          <xdr:grpSpPr>
            <a:xfrm>
              <a:off x="14823282" y="2107407"/>
              <a:ext cx="2690812" cy="1798566"/>
              <a:chOff x="14823282" y="2107407"/>
              <a:chExt cx="2690812" cy="1798566"/>
            </a:xfrm>
          </xdr:grpSpPr>
          <xdr:pic>
            <xdr:nvPicPr>
              <xdr:cNvPr id="7" name="Shape 8">
                <a:extLst>
                  <a:ext uri="{FF2B5EF4-FFF2-40B4-BE49-F238E27FC236}">
                    <a16:creationId xmlns:a16="http://schemas.microsoft.com/office/drawing/2014/main" id="{F1A30621-1FD2-4BD4-87BE-E63F0644A6E9}"/>
                  </a:ext>
                </a:extLst>
              </xdr:cNvPr>
              <xdr:cNvPicPr preferRelativeResize="0"/>
            </xdr:nvPicPr>
            <xdr:blipFill rotWithShape="1">
              <a:blip xmlns:r="http://schemas.openxmlformats.org/officeDocument/2006/relationships" r:embed="rId1">
                <a:alphaModFix/>
              </a:blip>
              <a:srcRect/>
              <a:stretch/>
            </xdr:blipFill>
            <xdr:spPr>
              <a:xfrm>
                <a:off x="14823282" y="2107407"/>
                <a:ext cx="2690812" cy="1445786"/>
              </a:xfrm>
              <a:prstGeom prst="rect">
                <a:avLst/>
              </a:prstGeom>
              <a:noFill/>
              <a:ln>
                <a:noFill/>
              </a:ln>
            </xdr:spPr>
          </xdr:pic>
          <xdr:sp macro="" textlink="">
            <xdr:nvSpPr>
              <xdr:cNvPr id="8" name="Shape 9">
                <a:hlinkClick xmlns:r="http://schemas.openxmlformats.org/officeDocument/2006/relationships" r:id="rId2"/>
                <a:extLst>
                  <a:ext uri="{FF2B5EF4-FFF2-40B4-BE49-F238E27FC236}">
                    <a16:creationId xmlns:a16="http://schemas.microsoft.com/office/drawing/2014/main" id="{21844C80-D90B-43BD-BBC9-E7BE3CB5C4E2}"/>
                  </a:ext>
                </a:extLst>
              </xdr:cNvPr>
              <xdr:cNvSpPr txBox="1"/>
            </xdr:nvSpPr>
            <xdr:spPr>
              <a:xfrm>
                <a:off x="16644936" y="3500439"/>
                <a:ext cx="660956" cy="405534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400">
                    <a:solidFill>
                      <a:srgbClr val="FF0000"/>
                    </a:solidFill>
                  </a:rPr>
                  <a:t> </a:t>
                </a:r>
                <a:endParaRPr sz="1000" b="1">
                  <a:solidFill>
                    <a:srgbClr val="FF0000"/>
                  </a:solidFill>
                </a:endParaRPr>
              </a:p>
            </xdr:txBody>
          </xdr:sp>
          <xdr:sp macro="" textlink="">
            <xdr:nvSpPr>
              <xdr:cNvPr id="9" name="Shape 10">
                <a:extLst>
                  <a:ext uri="{FF2B5EF4-FFF2-40B4-BE49-F238E27FC236}">
                    <a16:creationId xmlns:a16="http://schemas.microsoft.com/office/drawing/2014/main" id="{476D1C76-36C4-4889-A3AA-0BC6E8BB3E0E}"/>
                  </a:ext>
                </a:extLst>
              </xdr:cNvPr>
              <xdr:cNvSpPr txBox="1"/>
            </xdr:nvSpPr>
            <xdr:spPr>
              <a:xfrm>
                <a:off x="15619844" y="2965092"/>
                <a:ext cx="1208117" cy="467833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900">
                    <a:solidFill>
                      <a:schemeClr val="dk1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Región de </a:t>
                </a:r>
                <a:endParaRPr sz="1400"/>
              </a:p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900">
                    <a:solidFill>
                      <a:schemeClr val="dk1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aceptación H</a:t>
                </a:r>
                <a:r>
                  <a:rPr lang="en-US" sz="900" baseline="-25000">
                    <a:solidFill>
                      <a:schemeClr val="dk1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0</a:t>
                </a:r>
                <a:endParaRPr sz="1400"/>
              </a:p>
            </xdr:txBody>
          </xdr:sp>
          <xdr:sp macro="" textlink="">
            <xdr:nvSpPr>
              <xdr:cNvPr id="10" name="Shape 11">
                <a:extLst>
                  <a:ext uri="{FF2B5EF4-FFF2-40B4-BE49-F238E27FC236}">
                    <a16:creationId xmlns:a16="http://schemas.microsoft.com/office/drawing/2014/main" id="{99402559-2202-435C-931A-8346D92336CC}"/>
                  </a:ext>
                </a:extLst>
              </xdr:cNvPr>
              <xdr:cNvSpPr txBox="1"/>
            </xdr:nvSpPr>
            <xdr:spPr>
              <a:xfrm>
                <a:off x="14915414" y="2759814"/>
                <a:ext cx="1195644" cy="330868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400"/>
                  <a:t> </a:t>
                </a:r>
                <a:endParaRPr sz="1100" b="1">
                  <a:solidFill>
                    <a:srgbClr val="FF0000"/>
                  </a:solidFill>
                </a:endParaRPr>
              </a:p>
            </xdr:txBody>
          </xdr:sp>
          <xdr:cxnSp macro="">
            <xdr:nvCxnSpPr>
              <xdr:cNvPr id="11" name="Shape 12">
                <a:extLst>
                  <a:ext uri="{FF2B5EF4-FFF2-40B4-BE49-F238E27FC236}">
                    <a16:creationId xmlns:a16="http://schemas.microsoft.com/office/drawing/2014/main" id="{475752E1-85E0-483F-9DE9-33F890774BEB}"/>
                  </a:ext>
                </a:extLst>
              </xdr:cNvPr>
              <xdr:cNvCxnSpPr/>
            </xdr:nvCxnSpPr>
            <xdr:spPr>
              <a:xfrm rot="16200000" flipH="1">
                <a:off x="16321815" y="2526894"/>
                <a:ext cx="502073" cy="2136"/>
              </a:xfrm>
              <a:prstGeom prst="curvedConnector3">
                <a:avLst>
                  <a:gd name="adj1" fmla="val 58956"/>
                </a:avLst>
              </a:prstGeom>
              <a:noFill/>
              <a:ln w="9525" cap="flat" cmpd="sng">
                <a:solidFill>
                  <a:schemeClr val="accent1"/>
                </a:solidFill>
                <a:prstDash val="solid"/>
                <a:miter lim="800000"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0</xdr:col>
      <xdr:colOff>28575</xdr:colOff>
      <xdr:row>0</xdr:row>
      <xdr:rowOff>57150</xdr:rowOff>
    </xdr:from>
    <xdr:ext cx="2886075" cy="405327"/>
    <xdr:sp macro="" textlink="">
      <xdr:nvSpPr>
        <xdr:cNvPr id="12" name="Shape 3">
          <a:extLst>
            <a:ext uri="{FF2B5EF4-FFF2-40B4-BE49-F238E27FC236}">
              <a16:creationId xmlns:a16="http://schemas.microsoft.com/office/drawing/2014/main" id="{1E4623A9-B1E7-4A41-B7A5-312ACE272467}"/>
            </a:ext>
          </a:extLst>
        </xdr:cNvPr>
        <xdr:cNvSpPr txBox="1"/>
      </xdr:nvSpPr>
      <xdr:spPr>
        <a:xfrm>
          <a:off x="28575" y="57150"/>
          <a:ext cx="2886075" cy="405327"/>
        </a:xfrm>
        <a:prstGeom prst="rect">
          <a:avLst/>
        </a:prstGeom>
        <a:gradFill>
          <a:gsLst>
            <a:gs pos="0">
              <a:srgbClr val="70A5DA"/>
            </a:gs>
            <a:gs pos="50000">
              <a:srgbClr val="539BDB"/>
            </a:gs>
            <a:gs pos="100000">
              <a:srgbClr val="4288C8"/>
            </a:gs>
          </a:gsLst>
          <a:lin ang="5400000" scaled="0"/>
        </a:gradFill>
        <a:ln w="9525" cap="flat" cmpd="sng">
          <a:solidFill>
            <a:schemeClr val="accent5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Se comparan los</a:t>
          </a:r>
          <a:r>
            <a:rPr lang="en-US" sz="1000" b="1" baseline="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valor absoluto de dos analistas para cada nivel de concentracion</a:t>
          </a:r>
          <a:r>
            <a:rPr lang="en-US" sz="1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.</a:t>
          </a:r>
          <a:endParaRPr sz="1000"/>
        </a:p>
      </xdr:txBody>
    </xdr:sp>
    <xdr:clientData fLocksWithSheet="0"/>
  </xdr:oneCellAnchor>
  <xdr:oneCellAnchor>
    <xdr:from>
      <xdr:col>6</xdr:col>
      <xdr:colOff>28575</xdr:colOff>
      <xdr:row>6</xdr:row>
      <xdr:rowOff>19050</xdr:rowOff>
    </xdr:from>
    <xdr:ext cx="1143000" cy="857250"/>
    <xdr:pic>
      <xdr:nvPicPr>
        <xdr:cNvPr id="13" name="image2.png">
          <a:extLst>
            <a:ext uri="{FF2B5EF4-FFF2-40B4-BE49-F238E27FC236}">
              <a16:creationId xmlns:a16="http://schemas.microsoft.com/office/drawing/2014/main" id="{66181AE9-225C-4B57-B788-12A71798D8B7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2990850" y="1495425"/>
          <a:ext cx="1143000" cy="8572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2</xdr:row>
      <xdr:rowOff>28575</xdr:rowOff>
    </xdr:from>
    <xdr:ext cx="885825" cy="523875"/>
    <xdr:pic>
      <xdr:nvPicPr>
        <xdr:cNvPr id="14" name="image8.png">
          <a:extLst>
            <a:ext uri="{FF2B5EF4-FFF2-40B4-BE49-F238E27FC236}">
              <a16:creationId xmlns:a16="http://schemas.microsoft.com/office/drawing/2014/main" id="{CB94C711-A8D0-40F5-93EC-0D8A8A8170CB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000375" y="628650"/>
          <a:ext cx="885825" cy="523875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333375</xdr:colOff>
      <xdr:row>5</xdr:row>
      <xdr:rowOff>209550</xdr:rowOff>
    </xdr:from>
    <xdr:ext cx="266700" cy="219075"/>
    <xdr:pic>
      <xdr:nvPicPr>
        <xdr:cNvPr id="15" name="image3.png">
          <a:extLst>
            <a:ext uri="{FF2B5EF4-FFF2-40B4-BE49-F238E27FC236}">
              <a16:creationId xmlns:a16="http://schemas.microsoft.com/office/drawing/2014/main" id="{461F0356-498A-42B5-A361-E0E8E5B02631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4819650" y="1466850"/>
          <a:ext cx="266700" cy="219075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352425</xdr:colOff>
      <xdr:row>7</xdr:row>
      <xdr:rowOff>19050</xdr:rowOff>
    </xdr:from>
    <xdr:ext cx="266700" cy="219075"/>
    <xdr:pic>
      <xdr:nvPicPr>
        <xdr:cNvPr id="16" name="image9.png">
          <a:extLst>
            <a:ext uri="{FF2B5EF4-FFF2-40B4-BE49-F238E27FC236}">
              <a16:creationId xmlns:a16="http://schemas.microsoft.com/office/drawing/2014/main" id="{6C30085F-16EF-4476-B962-568485514788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4838700" y="1714500"/>
          <a:ext cx="266700" cy="219075"/>
        </a:xfrm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57150</xdr:colOff>
      <xdr:row>6</xdr:row>
      <xdr:rowOff>9525</xdr:rowOff>
    </xdr:from>
    <xdr:ext cx="209550" cy="209550"/>
    <xdr:pic>
      <xdr:nvPicPr>
        <xdr:cNvPr id="17" name="image4.png">
          <a:extLst>
            <a:ext uri="{FF2B5EF4-FFF2-40B4-BE49-F238E27FC236}">
              <a16:creationId xmlns:a16="http://schemas.microsoft.com/office/drawing/2014/main" id="{CBCD8BEA-50B8-41E9-87EF-247775D60CBF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391400" y="1485900"/>
          <a:ext cx="209550" cy="209550"/>
        </a:xfrm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57150</xdr:colOff>
      <xdr:row>7</xdr:row>
      <xdr:rowOff>9525</xdr:rowOff>
    </xdr:from>
    <xdr:ext cx="161925" cy="209550"/>
    <xdr:pic>
      <xdr:nvPicPr>
        <xdr:cNvPr id="18" name="image7.png">
          <a:extLst>
            <a:ext uri="{FF2B5EF4-FFF2-40B4-BE49-F238E27FC236}">
              <a16:creationId xmlns:a16="http://schemas.microsoft.com/office/drawing/2014/main" id="{D64DF680-14AB-46C0-B19A-F411D96DD4F8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7391400" y="1704975"/>
          <a:ext cx="161925" cy="209550"/>
        </a:xfrm>
        <a:prstGeom prst="rect">
          <a:avLst/>
        </a:prstGeom>
        <a:noFill/>
      </xdr:spPr>
    </xdr:pic>
    <xdr:clientData fLocksWithSheet="0"/>
  </xdr:oneCellAnchor>
  <xdr:oneCellAnchor>
    <xdr:from>
      <xdr:col>12</xdr:col>
      <xdr:colOff>28575</xdr:colOff>
      <xdr:row>8</xdr:row>
      <xdr:rowOff>19050</xdr:rowOff>
    </xdr:from>
    <xdr:ext cx="180975" cy="228600"/>
    <xdr:pic>
      <xdr:nvPicPr>
        <xdr:cNvPr id="19" name="image5.png">
          <a:extLst>
            <a:ext uri="{FF2B5EF4-FFF2-40B4-BE49-F238E27FC236}">
              <a16:creationId xmlns:a16="http://schemas.microsoft.com/office/drawing/2014/main" id="{9C0D99A4-AE42-4AFB-A76B-7C9D83AD2833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7362825" y="1933575"/>
          <a:ext cx="180975" cy="2286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219075</xdr:colOff>
      <xdr:row>14</xdr:row>
      <xdr:rowOff>142875</xdr:rowOff>
    </xdr:from>
    <xdr:ext cx="1133475" cy="295275"/>
    <xdr:pic>
      <xdr:nvPicPr>
        <xdr:cNvPr id="20" name="image6.png">
          <a:extLst>
            <a:ext uri="{FF2B5EF4-FFF2-40B4-BE49-F238E27FC236}">
              <a16:creationId xmlns:a16="http://schemas.microsoft.com/office/drawing/2014/main" id="{A2AA3AB7-D371-4135-AB4B-194361DB690F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3943350" y="3371850"/>
          <a:ext cx="1133475" cy="295275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390525</xdr:colOff>
      <xdr:row>3</xdr:row>
      <xdr:rowOff>57150</xdr:rowOff>
    </xdr:from>
    <xdr:ext cx="1733550" cy="352425"/>
    <xdr:pic>
      <xdr:nvPicPr>
        <xdr:cNvPr id="21" name="image1.png">
          <a:extLst>
            <a:ext uri="{FF2B5EF4-FFF2-40B4-BE49-F238E27FC236}">
              <a16:creationId xmlns:a16="http://schemas.microsoft.com/office/drawing/2014/main" id="{B634FDA3-D38F-41AD-8236-C2BB0B049172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6962775" y="876300"/>
          <a:ext cx="1733550" cy="352425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380996</xdr:colOff>
      <xdr:row>11</xdr:row>
      <xdr:rowOff>9526</xdr:rowOff>
    </xdr:from>
    <xdr:ext cx="1828800" cy="1172523"/>
    <xdr:grpSp>
      <xdr:nvGrpSpPr>
        <xdr:cNvPr id="2" name="Shape 2">
          <a:extLst>
            <a:ext uri="{FF2B5EF4-FFF2-40B4-BE49-F238E27FC236}">
              <a16:creationId xmlns:a16="http://schemas.microsoft.com/office/drawing/2014/main" id="{63F1F7CE-6E61-4DE7-A137-E7D9A0E9CD16}"/>
            </a:ext>
          </a:extLst>
        </xdr:cNvPr>
        <xdr:cNvGrpSpPr/>
      </xdr:nvGrpSpPr>
      <xdr:grpSpPr>
        <a:xfrm>
          <a:off x="6953246" y="2581276"/>
          <a:ext cx="1828800" cy="1172523"/>
          <a:chOff x="4383970" y="3118013"/>
          <a:chExt cx="1924050" cy="1416997"/>
        </a:xfrm>
      </xdr:grpSpPr>
      <xdr:grpSp>
        <xdr:nvGrpSpPr>
          <xdr:cNvPr id="3" name="Shape 4">
            <a:extLst>
              <a:ext uri="{FF2B5EF4-FFF2-40B4-BE49-F238E27FC236}">
                <a16:creationId xmlns:a16="http://schemas.microsoft.com/office/drawing/2014/main" id="{984ED615-D46B-4522-B1BF-713B522B0D0A}"/>
              </a:ext>
            </a:extLst>
          </xdr:cNvPr>
          <xdr:cNvGrpSpPr/>
        </xdr:nvGrpSpPr>
        <xdr:grpSpPr>
          <a:xfrm>
            <a:off x="4383970" y="3118013"/>
            <a:ext cx="1924050" cy="1416997"/>
            <a:chOff x="14823281" y="2107407"/>
            <a:chExt cx="2690813" cy="1845020"/>
          </a:xfrm>
        </xdr:grpSpPr>
        <xdr:sp macro="" textlink="">
          <xdr:nvSpPr>
            <xdr:cNvPr id="4" name="Shape 5">
              <a:extLst>
                <a:ext uri="{FF2B5EF4-FFF2-40B4-BE49-F238E27FC236}">
                  <a16:creationId xmlns:a16="http://schemas.microsoft.com/office/drawing/2014/main" id="{07677BB3-6E84-42F5-826C-30AF8B68A175}"/>
                </a:ext>
              </a:extLst>
            </xdr:cNvPr>
            <xdr:cNvSpPr/>
          </xdr:nvSpPr>
          <xdr:spPr>
            <a:xfrm>
              <a:off x="14823281" y="2107407"/>
              <a:ext cx="2690800" cy="17238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" name="Shape 6">
              <a:extLst>
                <a:ext uri="{FF2B5EF4-FFF2-40B4-BE49-F238E27FC236}">
                  <a16:creationId xmlns:a16="http://schemas.microsoft.com/office/drawing/2014/main" id="{803182C9-E769-4973-ABA6-CE27569253EB}"/>
                </a:ext>
              </a:extLst>
            </xdr:cNvPr>
            <xdr:cNvSpPr txBox="1"/>
          </xdr:nvSpPr>
          <xdr:spPr>
            <a:xfrm>
              <a:off x="15257741" y="3462338"/>
              <a:ext cx="589479" cy="490089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400"/>
                <a:t> </a:t>
              </a:r>
              <a:endParaRPr sz="1000" b="1">
                <a:solidFill>
                  <a:schemeClr val="dk1"/>
                </a:solidFill>
              </a:endParaRPr>
            </a:p>
          </xdr:txBody>
        </xdr:sp>
        <xdr:grpSp>
          <xdr:nvGrpSpPr>
            <xdr:cNvPr id="6" name="Shape 7">
              <a:extLst>
                <a:ext uri="{FF2B5EF4-FFF2-40B4-BE49-F238E27FC236}">
                  <a16:creationId xmlns:a16="http://schemas.microsoft.com/office/drawing/2014/main" id="{F9A07F68-B4FC-46DB-8D8E-EA4A20A54A15}"/>
                </a:ext>
              </a:extLst>
            </xdr:cNvPr>
            <xdr:cNvGrpSpPr/>
          </xdr:nvGrpSpPr>
          <xdr:grpSpPr>
            <a:xfrm>
              <a:off x="14823282" y="2107407"/>
              <a:ext cx="2690812" cy="1798566"/>
              <a:chOff x="14823282" y="2107407"/>
              <a:chExt cx="2690812" cy="1798566"/>
            </a:xfrm>
          </xdr:grpSpPr>
          <xdr:pic>
            <xdr:nvPicPr>
              <xdr:cNvPr id="7" name="Shape 8">
                <a:extLst>
                  <a:ext uri="{FF2B5EF4-FFF2-40B4-BE49-F238E27FC236}">
                    <a16:creationId xmlns:a16="http://schemas.microsoft.com/office/drawing/2014/main" id="{90F7F0C9-C7B6-4E6D-9F1A-594DC9A3CB0A}"/>
                  </a:ext>
                </a:extLst>
              </xdr:cNvPr>
              <xdr:cNvPicPr preferRelativeResize="0"/>
            </xdr:nvPicPr>
            <xdr:blipFill rotWithShape="1">
              <a:blip xmlns:r="http://schemas.openxmlformats.org/officeDocument/2006/relationships" r:embed="rId1">
                <a:alphaModFix/>
              </a:blip>
              <a:srcRect/>
              <a:stretch/>
            </xdr:blipFill>
            <xdr:spPr>
              <a:xfrm>
                <a:off x="14823282" y="2107407"/>
                <a:ext cx="2690812" cy="1445786"/>
              </a:xfrm>
              <a:prstGeom prst="rect">
                <a:avLst/>
              </a:prstGeom>
              <a:noFill/>
              <a:ln>
                <a:noFill/>
              </a:ln>
            </xdr:spPr>
          </xdr:pic>
          <xdr:sp macro="" textlink="">
            <xdr:nvSpPr>
              <xdr:cNvPr id="8" name="Shape 9">
                <a:hlinkClick xmlns:r="http://schemas.openxmlformats.org/officeDocument/2006/relationships" r:id="rId2"/>
                <a:extLst>
                  <a:ext uri="{FF2B5EF4-FFF2-40B4-BE49-F238E27FC236}">
                    <a16:creationId xmlns:a16="http://schemas.microsoft.com/office/drawing/2014/main" id="{DE2FC18D-9FCA-49CA-8096-FBF24B682BFC}"/>
                  </a:ext>
                </a:extLst>
              </xdr:cNvPr>
              <xdr:cNvSpPr txBox="1"/>
            </xdr:nvSpPr>
            <xdr:spPr>
              <a:xfrm>
                <a:off x="16644936" y="3500439"/>
                <a:ext cx="660956" cy="405534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400">
                    <a:solidFill>
                      <a:srgbClr val="FF0000"/>
                    </a:solidFill>
                  </a:rPr>
                  <a:t> </a:t>
                </a:r>
                <a:endParaRPr sz="1000" b="1">
                  <a:solidFill>
                    <a:srgbClr val="FF0000"/>
                  </a:solidFill>
                </a:endParaRPr>
              </a:p>
            </xdr:txBody>
          </xdr:sp>
          <xdr:sp macro="" textlink="">
            <xdr:nvSpPr>
              <xdr:cNvPr id="9" name="Shape 10">
                <a:extLst>
                  <a:ext uri="{FF2B5EF4-FFF2-40B4-BE49-F238E27FC236}">
                    <a16:creationId xmlns:a16="http://schemas.microsoft.com/office/drawing/2014/main" id="{9BD21A8F-5879-4E8A-A0F1-390A1356D444}"/>
                  </a:ext>
                </a:extLst>
              </xdr:cNvPr>
              <xdr:cNvSpPr txBox="1"/>
            </xdr:nvSpPr>
            <xdr:spPr>
              <a:xfrm>
                <a:off x="15619844" y="2965092"/>
                <a:ext cx="1208117" cy="467833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900">
                    <a:solidFill>
                      <a:schemeClr val="dk1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Región de </a:t>
                </a:r>
                <a:endParaRPr sz="1400"/>
              </a:p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900">
                    <a:solidFill>
                      <a:schemeClr val="dk1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aceptación H</a:t>
                </a:r>
                <a:r>
                  <a:rPr lang="en-US" sz="900" baseline="-25000">
                    <a:solidFill>
                      <a:schemeClr val="dk1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0</a:t>
                </a:r>
                <a:endParaRPr sz="1400"/>
              </a:p>
            </xdr:txBody>
          </xdr:sp>
          <xdr:sp macro="" textlink="">
            <xdr:nvSpPr>
              <xdr:cNvPr id="10" name="Shape 11">
                <a:extLst>
                  <a:ext uri="{FF2B5EF4-FFF2-40B4-BE49-F238E27FC236}">
                    <a16:creationId xmlns:a16="http://schemas.microsoft.com/office/drawing/2014/main" id="{DCB7B5EA-6F33-46E9-948D-691F2D6E4965}"/>
                  </a:ext>
                </a:extLst>
              </xdr:cNvPr>
              <xdr:cNvSpPr txBox="1"/>
            </xdr:nvSpPr>
            <xdr:spPr>
              <a:xfrm>
                <a:off x="14915414" y="2759814"/>
                <a:ext cx="1195644" cy="330868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400"/>
                  <a:t> </a:t>
                </a:r>
                <a:endParaRPr sz="1100" b="1">
                  <a:solidFill>
                    <a:srgbClr val="FF0000"/>
                  </a:solidFill>
                </a:endParaRPr>
              </a:p>
            </xdr:txBody>
          </xdr:sp>
          <xdr:cxnSp macro="">
            <xdr:nvCxnSpPr>
              <xdr:cNvPr id="11" name="Shape 12">
                <a:extLst>
                  <a:ext uri="{FF2B5EF4-FFF2-40B4-BE49-F238E27FC236}">
                    <a16:creationId xmlns:a16="http://schemas.microsoft.com/office/drawing/2014/main" id="{9D93DE2C-B6A1-4F81-8F43-ABF6D4F1757E}"/>
                  </a:ext>
                </a:extLst>
              </xdr:cNvPr>
              <xdr:cNvCxnSpPr/>
            </xdr:nvCxnSpPr>
            <xdr:spPr>
              <a:xfrm rot="16200000" flipH="1">
                <a:off x="15915391" y="2526896"/>
                <a:ext cx="502073" cy="2136"/>
              </a:xfrm>
              <a:prstGeom prst="curvedConnector3">
                <a:avLst>
                  <a:gd name="adj1" fmla="val 58956"/>
                </a:avLst>
              </a:prstGeom>
              <a:noFill/>
              <a:ln w="9525" cap="flat" cmpd="sng">
                <a:solidFill>
                  <a:schemeClr val="accent1"/>
                </a:solidFill>
                <a:prstDash val="solid"/>
                <a:miter lim="800000"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0</xdr:col>
      <xdr:colOff>28575</xdr:colOff>
      <xdr:row>0</xdr:row>
      <xdr:rowOff>57150</xdr:rowOff>
    </xdr:from>
    <xdr:ext cx="2886075" cy="405327"/>
    <xdr:sp macro="" textlink="">
      <xdr:nvSpPr>
        <xdr:cNvPr id="12" name="Shape 3">
          <a:extLst>
            <a:ext uri="{FF2B5EF4-FFF2-40B4-BE49-F238E27FC236}">
              <a16:creationId xmlns:a16="http://schemas.microsoft.com/office/drawing/2014/main" id="{81ECA034-C8F3-401B-9A48-43244F169C44}"/>
            </a:ext>
          </a:extLst>
        </xdr:cNvPr>
        <xdr:cNvSpPr txBox="1"/>
      </xdr:nvSpPr>
      <xdr:spPr>
        <a:xfrm>
          <a:off x="28575" y="57150"/>
          <a:ext cx="2886075" cy="405327"/>
        </a:xfrm>
        <a:prstGeom prst="rect">
          <a:avLst/>
        </a:prstGeom>
        <a:gradFill>
          <a:gsLst>
            <a:gs pos="0">
              <a:srgbClr val="70A5DA"/>
            </a:gs>
            <a:gs pos="50000">
              <a:srgbClr val="539BDB"/>
            </a:gs>
            <a:gs pos="100000">
              <a:srgbClr val="4288C8"/>
            </a:gs>
          </a:gsLst>
          <a:lin ang="5400000" scaled="0"/>
        </a:gradFill>
        <a:ln w="9525" cap="flat" cmpd="sng">
          <a:solidFill>
            <a:schemeClr val="accent5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Se comparan los</a:t>
          </a:r>
          <a:r>
            <a:rPr lang="en-US" sz="1000" b="1" baseline="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valor absoluto de dos analistas para cada nivel de concentracion</a:t>
          </a:r>
          <a:r>
            <a:rPr lang="en-US" sz="1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.</a:t>
          </a:r>
          <a:endParaRPr sz="1000"/>
        </a:p>
      </xdr:txBody>
    </xdr:sp>
    <xdr:clientData fLocksWithSheet="0"/>
  </xdr:oneCellAnchor>
  <xdr:oneCellAnchor>
    <xdr:from>
      <xdr:col>6</xdr:col>
      <xdr:colOff>28575</xdr:colOff>
      <xdr:row>6</xdr:row>
      <xdr:rowOff>19050</xdr:rowOff>
    </xdr:from>
    <xdr:ext cx="1143000" cy="857250"/>
    <xdr:pic>
      <xdr:nvPicPr>
        <xdr:cNvPr id="13" name="image2.png">
          <a:extLst>
            <a:ext uri="{FF2B5EF4-FFF2-40B4-BE49-F238E27FC236}">
              <a16:creationId xmlns:a16="http://schemas.microsoft.com/office/drawing/2014/main" id="{8CFFE2CB-89A4-47A7-924F-B27FA273BB9A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2990850" y="1495425"/>
          <a:ext cx="1143000" cy="8572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2</xdr:row>
      <xdr:rowOff>28575</xdr:rowOff>
    </xdr:from>
    <xdr:ext cx="885825" cy="523875"/>
    <xdr:pic>
      <xdr:nvPicPr>
        <xdr:cNvPr id="14" name="image8.png">
          <a:extLst>
            <a:ext uri="{FF2B5EF4-FFF2-40B4-BE49-F238E27FC236}">
              <a16:creationId xmlns:a16="http://schemas.microsoft.com/office/drawing/2014/main" id="{A4244497-CD44-4FE0-8873-77A59D092D9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000375" y="628650"/>
          <a:ext cx="885825" cy="523875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333375</xdr:colOff>
      <xdr:row>5</xdr:row>
      <xdr:rowOff>209550</xdr:rowOff>
    </xdr:from>
    <xdr:ext cx="266700" cy="219075"/>
    <xdr:pic>
      <xdr:nvPicPr>
        <xdr:cNvPr id="15" name="image3.png">
          <a:extLst>
            <a:ext uri="{FF2B5EF4-FFF2-40B4-BE49-F238E27FC236}">
              <a16:creationId xmlns:a16="http://schemas.microsoft.com/office/drawing/2014/main" id="{EC707547-F8F1-4F49-8695-0A2ADB5676EC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4819650" y="1466850"/>
          <a:ext cx="266700" cy="219075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352425</xdr:colOff>
      <xdr:row>7</xdr:row>
      <xdr:rowOff>19050</xdr:rowOff>
    </xdr:from>
    <xdr:ext cx="266700" cy="219075"/>
    <xdr:pic>
      <xdr:nvPicPr>
        <xdr:cNvPr id="16" name="image9.png">
          <a:extLst>
            <a:ext uri="{FF2B5EF4-FFF2-40B4-BE49-F238E27FC236}">
              <a16:creationId xmlns:a16="http://schemas.microsoft.com/office/drawing/2014/main" id="{8263C980-893A-4601-84B4-9C10CCADF542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4838700" y="1714500"/>
          <a:ext cx="266700" cy="219075"/>
        </a:xfrm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57150</xdr:colOff>
      <xdr:row>6</xdr:row>
      <xdr:rowOff>9525</xdr:rowOff>
    </xdr:from>
    <xdr:ext cx="209550" cy="209550"/>
    <xdr:pic>
      <xdr:nvPicPr>
        <xdr:cNvPr id="17" name="image4.png">
          <a:extLst>
            <a:ext uri="{FF2B5EF4-FFF2-40B4-BE49-F238E27FC236}">
              <a16:creationId xmlns:a16="http://schemas.microsoft.com/office/drawing/2014/main" id="{DA25F188-D45B-4B66-9D89-F32F696271AA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391400" y="1485900"/>
          <a:ext cx="209550" cy="209550"/>
        </a:xfrm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57150</xdr:colOff>
      <xdr:row>7</xdr:row>
      <xdr:rowOff>9525</xdr:rowOff>
    </xdr:from>
    <xdr:ext cx="161925" cy="209550"/>
    <xdr:pic>
      <xdr:nvPicPr>
        <xdr:cNvPr id="18" name="image7.png">
          <a:extLst>
            <a:ext uri="{FF2B5EF4-FFF2-40B4-BE49-F238E27FC236}">
              <a16:creationId xmlns:a16="http://schemas.microsoft.com/office/drawing/2014/main" id="{1E6F7FA4-6FC4-46CF-B1A5-A844BD724F4D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7391400" y="1704975"/>
          <a:ext cx="161925" cy="209550"/>
        </a:xfrm>
        <a:prstGeom prst="rect">
          <a:avLst/>
        </a:prstGeom>
        <a:noFill/>
      </xdr:spPr>
    </xdr:pic>
    <xdr:clientData fLocksWithSheet="0"/>
  </xdr:oneCellAnchor>
  <xdr:oneCellAnchor>
    <xdr:from>
      <xdr:col>12</xdr:col>
      <xdr:colOff>28575</xdr:colOff>
      <xdr:row>8</xdr:row>
      <xdr:rowOff>19050</xdr:rowOff>
    </xdr:from>
    <xdr:ext cx="180975" cy="228600"/>
    <xdr:pic>
      <xdr:nvPicPr>
        <xdr:cNvPr id="19" name="image5.png">
          <a:extLst>
            <a:ext uri="{FF2B5EF4-FFF2-40B4-BE49-F238E27FC236}">
              <a16:creationId xmlns:a16="http://schemas.microsoft.com/office/drawing/2014/main" id="{1AC6769A-930D-42C3-ABC9-11CCFFF61AFD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7362825" y="1933575"/>
          <a:ext cx="180975" cy="2286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219075</xdr:colOff>
      <xdr:row>14</xdr:row>
      <xdr:rowOff>142875</xdr:rowOff>
    </xdr:from>
    <xdr:ext cx="1133475" cy="295275"/>
    <xdr:pic>
      <xdr:nvPicPr>
        <xdr:cNvPr id="20" name="image6.png">
          <a:extLst>
            <a:ext uri="{FF2B5EF4-FFF2-40B4-BE49-F238E27FC236}">
              <a16:creationId xmlns:a16="http://schemas.microsoft.com/office/drawing/2014/main" id="{9C1DD073-ED16-4CB9-899A-71E5980BF804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3943350" y="3371850"/>
          <a:ext cx="1133475" cy="295275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390525</xdr:colOff>
      <xdr:row>3</xdr:row>
      <xdr:rowOff>57150</xdr:rowOff>
    </xdr:from>
    <xdr:ext cx="1733550" cy="352425"/>
    <xdr:pic>
      <xdr:nvPicPr>
        <xdr:cNvPr id="21" name="image1.png">
          <a:extLst>
            <a:ext uri="{FF2B5EF4-FFF2-40B4-BE49-F238E27FC236}">
              <a16:creationId xmlns:a16="http://schemas.microsoft.com/office/drawing/2014/main" id="{7230D093-6358-40DF-A66C-2026C926D9FB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6962775" y="876300"/>
          <a:ext cx="1733550" cy="352425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1</xdr:col>
      <xdr:colOff>200025</xdr:colOff>
      <xdr:row>23</xdr:row>
      <xdr:rowOff>152400</xdr:rowOff>
    </xdr:from>
    <xdr:to>
      <xdr:col>2</xdr:col>
      <xdr:colOff>552302</xdr:colOff>
      <xdr:row>40</xdr:row>
      <xdr:rowOff>132887</xdr:rowOff>
    </xdr:to>
    <xdr:pic>
      <xdr:nvPicPr>
        <xdr:cNvPr id="23" name="Imagen 2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52450" y="5353050"/>
          <a:ext cx="1180952" cy="370476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447671</xdr:colOff>
      <xdr:row>11</xdr:row>
      <xdr:rowOff>19051</xdr:rowOff>
    </xdr:from>
    <xdr:ext cx="1828800" cy="1172523"/>
    <xdr:grpSp>
      <xdr:nvGrpSpPr>
        <xdr:cNvPr id="2" name="Shape 2">
          <a:extLst>
            <a:ext uri="{FF2B5EF4-FFF2-40B4-BE49-F238E27FC236}">
              <a16:creationId xmlns:a16="http://schemas.microsoft.com/office/drawing/2014/main" id="{9FFBD358-214A-4B58-A1D2-B1D8B49CDA74}"/>
            </a:ext>
          </a:extLst>
        </xdr:cNvPr>
        <xdr:cNvGrpSpPr/>
      </xdr:nvGrpSpPr>
      <xdr:grpSpPr>
        <a:xfrm>
          <a:off x="7019921" y="2590801"/>
          <a:ext cx="1828800" cy="1172523"/>
          <a:chOff x="4383970" y="3118013"/>
          <a:chExt cx="1924050" cy="1416997"/>
        </a:xfrm>
      </xdr:grpSpPr>
      <xdr:grpSp>
        <xdr:nvGrpSpPr>
          <xdr:cNvPr id="3" name="Shape 4">
            <a:extLst>
              <a:ext uri="{FF2B5EF4-FFF2-40B4-BE49-F238E27FC236}">
                <a16:creationId xmlns:a16="http://schemas.microsoft.com/office/drawing/2014/main" id="{30815787-643A-4BEE-904D-AFAAEDB48531}"/>
              </a:ext>
            </a:extLst>
          </xdr:cNvPr>
          <xdr:cNvGrpSpPr/>
        </xdr:nvGrpSpPr>
        <xdr:grpSpPr>
          <a:xfrm>
            <a:off x="4383970" y="3118013"/>
            <a:ext cx="1924050" cy="1416997"/>
            <a:chOff x="14823281" y="2107407"/>
            <a:chExt cx="2690813" cy="1845020"/>
          </a:xfrm>
        </xdr:grpSpPr>
        <xdr:sp macro="" textlink="">
          <xdr:nvSpPr>
            <xdr:cNvPr id="4" name="Shape 5">
              <a:extLst>
                <a:ext uri="{FF2B5EF4-FFF2-40B4-BE49-F238E27FC236}">
                  <a16:creationId xmlns:a16="http://schemas.microsoft.com/office/drawing/2014/main" id="{436077A8-2122-44E3-B7CC-80B9C93C71BD}"/>
                </a:ext>
              </a:extLst>
            </xdr:cNvPr>
            <xdr:cNvSpPr/>
          </xdr:nvSpPr>
          <xdr:spPr>
            <a:xfrm>
              <a:off x="14823281" y="2107407"/>
              <a:ext cx="2690800" cy="17238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" name="Shape 6">
              <a:extLst>
                <a:ext uri="{FF2B5EF4-FFF2-40B4-BE49-F238E27FC236}">
                  <a16:creationId xmlns:a16="http://schemas.microsoft.com/office/drawing/2014/main" id="{C24E90C1-B42E-4C65-A722-FD5087449302}"/>
                </a:ext>
              </a:extLst>
            </xdr:cNvPr>
            <xdr:cNvSpPr txBox="1"/>
          </xdr:nvSpPr>
          <xdr:spPr>
            <a:xfrm>
              <a:off x="15257741" y="3462338"/>
              <a:ext cx="589479" cy="490089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400"/>
                <a:t> </a:t>
              </a:r>
              <a:endParaRPr sz="1000" b="1">
                <a:solidFill>
                  <a:schemeClr val="dk1"/>
                </a:solidFill>
              </a:endParaRPr>
            </a:p>
          </xdr:txBody>
        </xdr:sp>
        <xdr:grpSp>
          <xdr:nvGrpSpPr>
            <xdr:cNvPr id="6" name="Shape 7">
              <a:extLst>
                <a:ext uri="{FF2B5EF4-FFF2-40B4-BE49-F238E27FC236}">
                  <a16:creationId xmlns:a16="http://schemas.microsoft.com/office/drawing/2014/main" id="{9F3066C2-3009-4ADC-B43B-CF834EA4CBC0}"/>
                </a:ext>
              </a:extLst>
            </xdr:cNvPr>
            <xdr:cNvGrpSpPr/>
          </xdr:nvGrpSpPr>
          <xdr:grpSpPr>
            <a:xfrm>
              <a:off x="14823282" y="2107407"/>
              <a:ext cx="2690812" cy="1798566"/>
              <a:chOff x="14823282" y="2107407"/>
              <a:chExt cx="2690812" cy="1798566"/>
            </a:xfrm>
          </xdr:grpSpPr>
          <xdr:pic>
            <xdr:nvPicPr>
              <xdr:cNvPr id="7" name="Shape 8">
                <a:extLst>
                  <a:ext uri="{FF2B5EF4-FFF2-40B4-BE49-F238E27FC236}">
                    <a16:creationId xmlns:a16="http://schemas.microsoft.com/office/drawing/2014/main" id="{66B7764D-29B6-4F6A-B1DF-B7B3F3902E34}"/>
                  </a:ext>
                </a:extLst>
              </xdr:cNvPr>
              <xdr:cNvPicPr preferRelativeResize="0"/>
            </xdr:nvPicPr>
            <xdr:blipFill rotWithShape="1">
              <a:blip xmlns:r="http://schemas.openxmlformats.org/officeDocument/2006/relationships" r:embed="rId1">
                <a:alphaModFix/>
              </a:blip>
              <a:srcRect/>
              <a:stretch/>
            </xdr:blipFill>
            <xdr:spPr>
              <a:xfrm>
                <a:off x="14823282" y="2107407"/>
                <a:ext cx="2690812" cy="1445786"/>
              </a:xfrm>
              <a:prstGeom prst="rect">
                <a:avLst/>
              </a:prstGeom>
              <a:noFill/>
              <a:ln>
                <a:noFill/>
              </a:ln>
            </xdr:spPr>
          </xdr:pic>
          <xdr:sp macro="" textlink="">
            <xdr:nvSpPr>
              <xdr:cNvPr id="8" name="Shape 9">
                <a:hlinkClick xmlns:r="http://schemas.openxmlformats.org/officeDocument/2006/relationships" r:id="rId2"/>
                <a:extLst>
                  <a:ext uri="{FF2B5EF4-FFF2-40B4-BE49-F238E27FC236}">
                    <a16:creationId xmlns:a16="http://schemas.microsoft.com/office/drawing/2014/main" id="{D9AE78BE-3F95-47D3-98EA-BED8020E189D}"/>
                  </a:ext>
                </a:extLst>
              </xdr:cNvPr>
              <xdr:cNvSpPr txBox="1"/>
            </xdr:nvSpPr>
            <xdr:spPr>
              <a:xfrm>
                <a:off x="16644936" y="3500439"/>
                <a:ext cx="660956" cy="405534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400">
                    <a:solidFill>
                      <a:srgbClr val="FF0000"/>
                    </a:solidFill>
                  </a:rPr>
                  <a:t> </a:t>
                </a:r>
                <a:endParaRPr sz="1000" b="1">
                  <a:solidFill>
                    <a:srgbClr val="FF0000"/>
                  </a:solidFill>
                </a:endParaRPr>
              </a:p>
            </xdr:txBody>
          </xdr:sp>
          <xdr:sp macro="" textlink="">
            <xdr:nvSpPr>
              <xdr:cNvPr id="9" name="Shape 10">
                <a:extLst>
                  <a:ext uri="{FF2B5EF4-FFF2-40B4-BE49-F238E27FC236}">
                    <a16:creationId xmlns:a16="http://schemas.microsoft.com/office/drawing/2014/main" id="{600874A1-A698-4BC3-8FE9-811494C4AA6B}"/>
                  </a:ext>
                </a:extLst>
              </xdr:cNvPr>
              <xdr:cNvSpPr txBox="1"/>
            </xdr:nvSpPr>
            <xdr:spPr>
              <a:xfrm>
                <a:off x="15619844" y="2965092"/>
                <a:ext cx="1208117" cy="467833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900">
                    <a:solidFill>
                      <a:schemeClr val="dk1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Región de </a:t>
                </a:r>
                <a:endParaRPr sz="1400"/>
              </a:p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900">
                    <a:solidFill>
                      <a:schemeClr val="dk1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aceptación H</a:t>
                </a:r>
                <a:r>
                  <a:rPr lang="en-US" sz="900" baseline="-25000">
                    <a:solidFill>
                      <a:schemeClr val="dk1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0</a:t>
                </a:r>
                <a:endParaRPr sz="1400"/>
              </a:p>
            </xdr:txBody>
          </xdr:sp>
          <xdr:sp macro="" textlink="">
            <xdr:nvSpPr>
              <xdr:cNvPr id="10" name="Shape 11">
                <a:extLst>
                  <a:ext uri="{FF2B5EF4-FFF2-40B4-BE49-F238E27FC236}">
                    <a16:creationId xmlns:a16="http://schemas.microsoft.com/office/drawing/2014/main" id="{9E884AC1-C874-428E-A768-C95C5065A83C}"/>
                  </a:ext>
                </a:extLst>
              </xdr:cNvPr>
              <xdr:cNvSpPr txBox="1"/>
            </xdr:nvSpPr>
            <xdr:spPr>
              <a:xfrm>
                <a:off x="14915414" y="2759814"/>
                <a:ext cx="1195644" cy="330868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400"/>
                  <a:t> </a:t>
                </a:r>
                <a:endParaRPr sz="1100" b="1">
                  <a:solidFill>
                    <a:srgbClr val="FF0000"/>
                  </a:solidFill>
                </a:endParaRPr>
              </a:p>
            </xdr:txBody>
          </xdr:sp>
          <xdr:cxnSp macro="">
            <xdr:nvCxnSpPr>
              <xdr:cNvPr id="11" name="Shape 12">
                <a:extLst>
                  <a:ext uri="{FF2B5EF4-FFF2-40B4-BE49-F238E27FC236}">
                    <a16:creationId xmlns:a16="http://schemas.microsoft.com/office/drawing/2014/main" id="{A9815501-B78A-4A4F-8624-6F9AD4B58CB6}"/>
                  </a:ext>
                </a:extLst>
              </xdr:cNvPr>
              <xdr:cNvCxnSpPr/>
            </xdr:nvCxnSpPr>
            <xdr:spPr>
              <a:xfrm rot="16200000" flipH="1">
                <a:off x="15971451" y="2481937"/>
                <a:ext cx="502073" cy="2136"/>
              </a:xfrm>
              <a:prstGeom prst="curvedConnector3">
                <a:avLst>
                  <a:gd name="adj1" fmla="val 58956"/>
                </a:avLst>
              </a:prstGeom>
              <a:noFill/>
              <a:ln w="9525" cap="flat" cmpd="sng">
                <a:solidFill>
                  <a:schemeClr val="accent1"/>
                </a:solidFill>
                <a:prstDash val="solid"/>
                <a:miter lim="800000"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0</xdr:col>
      <xdr:colOff>28575</xdr:colOff>
      <xdr:row>0</xdr:row>
      <xdr:rowOff>57150</xdr:rowOff>
    </xdr:from>
    <xdr:ext cx="2886075" cy="405327"/>
    <xdr:sp macro="" textlink="">
      <xdr:nvSpPr>
        <xdr:cNvPr id="12" name="Shape 3">
          <a:extLst>
            <a:ext uri="{FF2B5EF4-FFF2-40B4-BE49-F238E27FC236}">
              <a16:creationId xmlns:a16="http://schemas.microsoft.com/office/drawing/2014/main" id="{BB3758F5-ECA6-4653-B794-D44BFFD6FFC4}"/>
            </a:ext>
          </a:extLst>
        </xdr:cNvPr>
        <xdr:cNvSpPr txBox="1"/>
      </xdr:nvSpPr>
      <xdr:spPr>
        <a:xfrm>
          <a:off x="28575" y="57150"/>
          <a:ext cx="2886075" cy="405327"/>
        </a:xfrm>
        <a:prstGeom prst="rect">
          <a:avLst/>
        </a:prstGeom>
        <a:gradFill>
          <a:gsLst>
            <a:gs pos="0">
              <a:srgbClr val="70A5DA"/>
            </a:gs>
            <a:gs pos="50000">
              <a:srgbClr val="539BDB"/>
            </a:gs>
            <a:gs pos="100000">
              <a:srgbClr val="4288C8"/>
            </a:gs>
          </a:gsLst>
          <a:lin ang="5400000" scaled="0"/>
        </a:gradFill>
        <a:ln w="9525" cap="flat" cmpd="sng">
          <a:solidFill>
            <a:schemeClr val="accent5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Se comparan los</a:t>
          </a:r>
          <a:r>
            <a:rPr lang="en-US" sz="1000" b="1" baseline="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valor absoluto de dos analistas para cada nivel de concentracion</a:t>
          </a:r>
          <a:r>
            <a:rPr lang="en-US" sz="1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.</a:t>
          </a:r>
          <a:endParaRPr sz="1000"/>
        </a:p>
      </xdr:txBody>
    </xdr:sp>
    <xdr:clientData fLocksWithSheet="0"/>
  </xdr:oneCellAnchor>
  <xdr:oneCellAnchor>
    <xdr:from>
      <xdr:col>6</xdr:col>
      <xdr:colOff>28575</xdr:colOff>
      <xdr:row>6</xdr:row>
      <xdr:rowOff>19050</xdr:rowOff>
    </xdr:from>
    <xdr:ext cx="1143000" cy="857250"/>
    <xdr:pic>
      <xdr:nvPicPr>
        <xdr:cNvPr id="13" name="image2.png">
          <a:extLst>
            <a:ext uri="{FF2B5EF4-FFF2-40B4-BE49-F238E27FC236}">
              <a16:creationId xmlns:a16="http://schemas.microsoft.com/office/drawing/2014/main" id="{D1A1307B-2F8D-4057-BEE2-7C638F2AFD02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2990850" y="1495425"/>
          <a:ext cx="1143000" cy="8572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2</xdr:row>
      <xdr:rowOff>28575</xdr:rowOff>
    </xdr:from>
    <xdr:ext cx="885825" cy="523875"/>
    <xdr:pic>
      <xdr:nvPicPr>
        <xdr:cNvPr id="14" name="image8.png">
          <a:extLst>
            <a:ext uri="{FF2B5EF4-FFF2-40B4-BE49-F238E27FC236}">
              <a16:creationId xmlns:a16="http://schemas.microsoft.com/office/drawing/2014/main" id="{ACC6BF61-EACA-4772-8209-BC4007822A56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000375" y="628650"/>
          <a:ext cx="885825" cy="523875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333375</xdr:colOff>
      <xdr:row>5</xdr:row>
      <xdr:rowOff>209550</xdr:rowOff>
    </xdr:from>
    <xdr:ext cx="266700" cy="219075"/>
    <xdr:pic>
      <xdr:nvPicPr>
        <xdr:cNvPr id="15" name="image3.png">
          <a:extLst>
            <a:ext uri="{FF2B5EF4-FFF2-40B4-BE49-F238E27FC236}">
              <a16:creationId xmlns:a16="http://schemas.microsoft.com/office/drawing/2014/main" id="{0EAD4699-21E7-4F49-BDFF-37CDACA1A9DD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4819650" y="1466850"/>
          <a:ext cx="266700" cy="219075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352425</xdr:colOff>
      <xdr:row>7</xdr:row>
      <xdr:rowOff>19050</xdr:rowOff>
    </xdr:from>
    <xdr:ext cx="266700" cy="219075"/>
    <xdr:pic>
      <xdr:nvPicPr>
        <xdr:cNvPr id="16" name="image9.png">
          <a:extLst>
            <a:ext uri="{FF2B5EF4-FFF2-40B4-BE49-F238E27FC236}">
              <a16:creationId xmlns:a16="http://schemas.microsoft.com/office/drawing/2014/main" id="{5BE7B4B3-5CCA-4E33-B474-A727481BC0F6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4838700" y="1714500"/>
          <a:ext cx="266700" cy="219075"/>
        </a:xfrm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57150</xdr:colOff>
      <xdr:row>6</xdr:row>
      <xdr:rowOff>9525</xdr:rowOff>
    </xdr:from>
    <xdr:ext cx="209550" cy="209550"/>
    <xdr:pic>
      <xdr:nvPicPr>
        <xdr:cNvPr id="17" name="image4.png">
          <a:extLst>
            <a:ext uri="{FF2B5EF4-FFF2-40B4-BE49-F238E27FC236}">
              <a16:creationId xmlns:a16="http://schemas.microsoft.com/office/drawing/2014/main" id="{54A77F3D-81FC-47B3-91C9-190F6AC9C148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391400" y="1485900"/>
          <a:ext cx="209550" cy="209550"/>
        </a:xfrm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57150</xdr:colOff>
      <xdr:row>7</xdr:row>
      <xdr:rowOff>9525</xdr:rowOff>
    </xdr:from>
    <xdr:ext cx="161925" cy="209550"/>
    <xdr:pic>
      <xdr:nvPicPr>
        <xdr:cNvPr id="18" name="image7.png">
          <a:extLst>
            <a:ext uri="{FF2B5EF4-FFF2-40B4-BE49-F238E27FC236}">
              <a16:creationId xmlns:a16="http://schemas.microsoft.com/office/drawing/2014/main" id="{342425CD-C071-448F-AE28-0D23F1BD09F5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7391400" y="1704975"/>
          <a:ext cx="161925" cy="209550"/>
        </a:xfrm>
        <a:prstGeom prst="rect">
          <a:avLst/>
        </a:prstGeom>
        <a:noFill/>
      </xdr:spPr>
    </xdr:pic>
    <xdr:clientData fLocksWithSheet="0"/>
  </xdr:oneCellAnchor>
  <xdr:oneCellAnchor>
    <xdr:from>
      <xdr:col>12</xdr:col>
      <xdr:colOff>28575</xdr:colOff>
      <xdr:row>8</xdr:row>
      <xdr:rowOff>19050</xdr:rowOff>
    </xdr:from>
    <xdr:ext cx="180975" cy="228600"/>
    <xdr:pic>
      <xdr:nvPicPr>
        <xdr:cNvPr id="19" name="image5.png">
          <a:extLst>
            <a:ext uri="{FF2B5EF4-FFF2-40B4-BE49-F238E27FC236}">
              <a16:creationId xmlns:a16="http://schemas.microsoft.com/office/drawing/2014/main" id="{8372271F-72F4-4CC3-8F90-27F61FFF5F4A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7362825" y="1933575"/>
          <a:ext cx="180975" cy="2286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219075</xdr:colOff>
      <xdr:row>14</xdr:row>
      <xdr:rowOff>142875</xdr:rowOff>
    </xdr:from>
    <xdr:ext cx="1133475" cy="295275"/>
    <xdr:pic>
      <xdr:nvPicPr>
        <xdr:cNvPr id="20" name="image6.png">
          <a:extLst>
            <a:ext uri="{FF2B5EF4-FFF2-40B4-BE49-F238E27FC236}">
              <a16:creationId xmlns:a16="http://schemas.microsoft.com/office/drawing/2014/main" id="{029828D5-F4D6-462D-965E-D865E8AE142F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3943350" y="3371850"/>
          <a:ext cx="1133475" cy="295275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390525</xdr:colOff>
      <xdr:row>3</xdr:row>
      <xdr:rowOff>57150</xdr:rowOff>
    </xdr:from>
    <xdr:ext cx="1733550" cy="352425"/>
    <xdr:pic>
      <xdr:nvPicPr>
        <xdr:cNvPr id="21" name="image1.png">
          <a:extLst>
            <a:ext uri="{FF2B5EF4-FFF2-40B4-BE49-F238E27FC236}">
              <a16:creationId xmlns:a16="http://schemas.microsoft.com/office/drawing/2014/main" id="{651F8697-856C-48C2-9ADC-970D1623348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6962775" y="876300"/>
          <a:ext cx="1733550" cy="352425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1</xdr:col>
      <xdr:colOff>314325</xdr:colOff>
      <xdr:row>24</xdr:row>
      <xdr:rowOff>66675</xdr:rowOff>
    </xdr:from>
    <xdr:to>
      <xdr:col>2</xdr:col>
      <xdr:colOff>676126</xdr:colOff>
      <xdr:row>41</xdr:row>
      <xdr:rowOff>56686</xdr:rowOff>
    </xdr:to>
    <xdr:pic>
      <xdr:nvPicPr>
        <xdr:cNvPr id="23" name="Imagen 2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66750" y="5486400"/>
          <a:ext cx="1190476" cy="371428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438146</xdr:colOff>
      <xdr:row>11</xdr:row>
      <xdr:rowOff>28576</xdr:rowOff>
    </xdr:from>
    <xdr:ext cx="1828800" cy="1172523"/>
    <xdr:grpSp>
      <xdr:nvGrpSpPr>
        <xdr:cNvPr id="2" name="Shape 2">
          <a:extLst>
            <a:ext uri="{FF2B5EF4-FFF2-40B4-BE49-F238E27FC236}">
              <a16:creationId xmlns:a16="http://schemas.microsoft.com/office/drawing/2014/main" id="{66276D94-DEDC-4BB5-BAC2-F24E86E422E4}"/>
            </a:ext>
          </a:extLst>
        </xdr:cNvPr>
        <xdr:cNvGrpSpPr/>
      </xdr:nvGrpSpPr>
      <xdr:grpSpPr>
        <a:xfrm>
          <a:off x="7010396" y="2600326"/>
          <a:ext cx="1828800" cy="1172523"/>
          <a:chOff x="4383970" y="3118013"/>
          <a:chExt cx="1924050" cy="1416997"/>
        </a:xfrm>
      </xdr:grpSpPr>
      <xdr:grpSp>
        <xdr:nvGrpSpPr>
          <xdr:cNvPr id="3" name="Shape 4">
            <a:extLst>
              <a:ext uri="{FF2B5EF4-FFF2-40B4-BE49-F238E27FC236}">
                <a16:creationId xmlns:a16="http://schemas.microsoft.com/office/drawing/2014/main" id="{C62C250A-8201-4660-8EBD-A48B373D91EF}"/>
              </a:ext>
            </a:extLst>
          </xdr:cNvPr>
          <xdr:cNvGrpSpPr/>
        </xdr:nvGrpSpPr>
        <xdr:grpSpPr>
          <a:xfrm>
            <a:off x="4383970" y="3118013"/>
            <a:ext cx="1924050" cy="1416997"/>
            <a:chOff x="14823281" y="2107407"/>
            <a:chExt cx="2690813" cy="1845020"/>
          </a:xfrm>
        </xdr:grpSpPr>
        <xdr:sp macro="" textlink="">
          <xdr:nvSpPr>
            <xdr:cNvPr id="4" name="Shape 5">
              <a:extLst>
                <a:ext uri="{FF2B5EF4-FFF2-40B4-BE49-F238E27FC236}">
                  <a16:creationId xmlns:a16="http://schemas.microsoft.com/office/drawing/2014/main" id="{C5B9BDA4-223C-4E92-B8A7-B3106BB2E03C}"/>
                </a:ext>
              </a:extLst>
            </xdr:cNvPr>
            <xdr:cNvSpPr/>
          </xdr:nvSpPr>
          <xdr:spPr>
            <a:xfrm>
              <a:off x="14823281" y="2107407"/>
              <a:ext cx="2690800" cy="17238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" name="Shape 6">
              <a:extLst>
                <a:ext uri="{FF2B5EF4-FFF2-40B4-BE49-F238E27FC236}">
                  <a16:creationId xmlns:a16="http://schemas.microsoft.com/office/drawing/2014/main" id="{F9A18C69-C769-4522-831E-629E3FBCF3CC}"/>
                </a:ext>
              </a:extLst>
            </xdr:cNvPr>
            <xdr:cNvSpPr txBox="1"/>
          </xdr:nvSpPr>
          <xdr:spPr>
            <a:xfrm>
              <a:off x="15257741" y="3462338"/>
              <a:ext cx="589479" cy="490089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400"/>
                <a:t> </a:t>
              </a:r>
              <a:endParaRPr sz="1000" b="1">
                <a:solidFill>
                  <a:schemeClr val="dk1"/>
                </a:solidFill>
              </a:endParaRPr>
            </a:p>
          </xdr:txBody>
        </xdr:sp>
        <xdr:grpSp>
          <xdr:nvGrpSpPr>
            <xdr:cNvPr id="6" name="Shape 7">
              <a:extLst>
                <a:ext uri="{FF2B5EF4-FFF2-40B4-BE49-F238E27FC236}">
                  <a16:creationId xmlns:a16="http://schemas.microsoft.com/office/drawing/2014/main" id="{C6612E78-9F20-4AE9-A533-AB1AF9981BCB}"/>
                </a:ext>
              </a:extLst>
            </xdr:cNvPr>
            <xdr:cNvGrpSpPr/>
          </xdr:nvGrpSpPr>
          <xdr:grpSpPr>
            <a:xfrm>
              <a:off x="14823282" y="2107407"/>
              <a:ext cx="2690812" cy="1798566"/>
              <a:chOff x="14823282" y="2107407"/>
              <a:chExt cx="2690812" cy="1798566"/>
            </a:xfrm>
          </xdr:grpSpPr>
          <xdr:pic>
            <xdr:nvPicPr>
              <xdr:cNvPr id="7" name="Shape 8">
                <a:extLst>
                  <a:ext uri="{FF2B5EF4-FFF2-40B4-BE49-F238E27FC236}">
                    <a16:creationId xmlns:a16="http://schemas.microsoft.com/office/drawing/2014/main" id="{28933B22-826E-4AB1-8969-3AC379802B95}"/>
                  </a:ext>
                </a:extLst>
              </xdr:cNvPr>
              <xdr:cNvPicPr preferRelativeResize="0"/>
            </xdr:nvPicPr>
            <xdr:blipFill rotWithShape="1">
              <a:blip xmlns:r="http://schemas.openxmlformats.org/officeDocument/2006/relationships" r:embed="rId1">
                <a:alphaModFix/>
              </a:blip>
              <a:srcRect/>
              <a:stretch/>
            </xdr:blipFill>
            <xdr:spPr>
              <a:xfrm>
                <a:off x="14823282" y="2107407"/>
                <a:ext cx="2690812" cy="1445786"/>
              </a:xfrm>
              <a:prstGeom prst="rect">
                <a:avLst/>
              </a:prstGeom>
              <a:noFill/>
              <a:ln>
                <a:noFill/>
              </a:ln>
            </xdr:spPr>
          </xdr:pic>
          <xdr:sp macro="" textlink="">
            <xdr:nvSpPr>
              <xdr:cNvPr id="8" name="Shape 9">
                <a:hlinkClick xmlns:r="http://schemas.openxmlformats.org/officeDocument/2006/relationships" r:id="rId2"/>
                <a:extLst>
                  <a:ext uri="{FF2B5EF4-FFF2-40B4-BE49-F238E27FC236}">
                    <a16:creationId xmlns:a16="http://schemas.microsoft.com/office/drawing/2014/main" id="{E9B7CFBB-ED75-4D30-ADF1-C39B0384F4F8}"/>
                  </a:ext>
                </a:extLst>
              </xdr:cNvPr>
              <xdr:cNvSpPr txBox="1"/>
            </xdr:nvSpPr>
            <xdr:spPr>
              <a:xfrm>
                <a:off x="16644936" y="3500439"/>
                <a:ext cx="660956" cy="405534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400">
                    <a:solidFill>
                      <a:srgbClr val="FF0000"/>
                    </a:solidFill>
                  </a:rPr>
                  <a:t> </a:t>
                </a:r>
                <a:endParaRPr sz="1000" b="1">
                  <a:solidFill>
                    <a:srgbClr val="FF0000"/>
                  </a:solidFill>
                </a:endParaRPr>
              </a:p>
            </xdr:txBody>
          </xdr:sp>
          <xdr:sp macro="" textlink="">
            <xdr:nvSpPr>
              <xdr:cNvPr id="9" name="Shape 10">
                <a:extLst>
                  <a:ext uri="{FF2B5EF4-FFF2-40B4-BE49-F238E27FC236}">
                    <a16:creationId xmlns:a16="http://schemas.microsoft.com/office/drawing/2014/main" id="{468E3F2E-FB01-42FF-9CFD-0D6E98DEDED2}"/>
                  </a:ext>
                </a:extLst>
              </xdr:cNvPr>
              <xdr:cNvSpPr txBox="1"/>
            </xdr:nvSpPr>
            <xdr:spPr>
              <a:xfrm>
                <a:off x="15619844" y="2965092"/>
                <a:ext cx="1208117" cy="467833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900">
                    <a:solidFill>
                      <a:schemeClr val="dk1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Región de </a:t>
                </a:r>
                <a:endParaRPr sz="1400"/>
              </a:p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900">
                    <a:solidFill>
                      <a:schemeClr val="dk1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aceptación H</a:t>
                </a:r>
                <a:r>
                  <a:rPr lang="en-US" sz="900" baseline="-25000">
                    <a:solidFill>
                      <a:schemeClr val="dk1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0</a:t>
                </a:r>
                <a:endParaRPr sz="1400"/>
              </a:p>
            </xdr:txBody>
          </xdr:sp>
          <xdr:sp macro="" textlink="">
            <xdr:nvSpPr>
              <xdr:cNvPr id="10" name="Shape 11">
                <a:extLst>
                  <a:ext uri="{FF2B5EF4-FFF2-40B4-BE49-F238E27FC236}">
                    <a16:creationId xmlns:a16="http://schemas.microsoft.com/office/drawing/2014/main" id="{7779525A-100B-4F2B-9A82-714755D5C89E}"/>
                  </a:ext>
                </a:extLst>
              </xdr:cNvPr>
              <xdr:cNvSpPr txBox="1"/>
            </xdr:nvSpPr>
            <xdr:spPr>
              <a:xfrm>
                <a:off x="14915414" y="2759814"/>
                <a:ext cx="1195644" cy="330868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400"/>
                  <a:t> </a:t>
                </a:r>
                <a:endParaRPr sz="1100" b="1">
                  <a:solidFill>
                    <a:srgbClr val="FF0000"/>
                  </a:solidFill>
                </a:endParaRPr>
              </a:p>
            </xdr:txBody>
          </xdr:sp>
          <xdr:cxnSp macro="">
            <xdr:nvCxnSpPr>
              <xdr:cNvPr id="11" name="Shape 12">
                <a:extLst>
                  <a:ext uri="{FF2B5EF4-FFF2-40B4-BE49-F238E27FC236}">
                    <a16:creationId xmlns:a16="http://schemas.microsoft.com/office/drawing/2014/main" id="{D124B38A-0C08-41A3-80DC-55914F0658A5}"/>
                  </a:ext>
                </a:extLst>
              </xdr:cNvPr>
              <xdr:cNvCxnSpPr/>
            </xdr:nvCxnSpPr>
            <xdr:spPr>
              <a:xfrm rot="16200000" flipH="1">
                <a:off x="16321815" y="2526894"/>
                <a:ext cx="502073" cy="2136"/>
              </a:xfrm>
              <a:prstGeom prst="curvedConnector3">
                <a:avLst>
                  <a:gd name="adj1" fmla="val 58956"/>
                </a:avLst>
              </a:prstGeom>
              <a:noFill/>
              <a:ln w="9525" cap="flat" cmpd="sng">
                <a:solidFill>
                  <a:schemeClr val="accent1"/>
                </a:solidFill>
                <a:prstDash val="solid"/>
                <a:miter lim="800000"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0</xdr:col>
      <xdr:colOff>28575</xdr:colOff>
      <xdr:row>0</xdr:row>
      <xdr:rowOff>57150</xdr:rowOff>
    </xdr:from>
    <xdr:ext cx="2886075" cy="405327"/>
    <xdr:sp macro="" textlink="">
      <xdr:nvSpPr>
        <xdr:cNvPr id="12" name="Shape 3">
          <a:extLst>
            <a:ext uri="{FF2B5EF4-FFF2-40B4-BE49-F238E27FC236}">
              <a16:creationId xmlns:a16="http://schemas.microsoft.com/office/drawing/2014/main" id="{FE04111B-B72D-4B22-B601-C3C11D7D066F}"/>
            </a:ext>
          </a:extLst>
        </xdr:cNvPr>
        <xdr:cNvSpPr txBox="1"/>
      </xdr:nvSpPr>
      <xdr:spPr>
        <a:xfrm>
          <a:off x="28575" y="57150"/>
          <a:ext cx="2886075" cy="405327"/>
        </a:xfrm>
        <a:prstGeom prst="rect">
          <a:avLst/>
        </a:prstGeom>
        <a:gradFill>
          <a:gsLst>
            <a:gs pos="0">
              <a:srgbClr val="70A5DA"/>
            </a:gs>
            <a:gs pos="50000">
              <a:srgbClr val="539BDB"/>
            </a:gs>
            <a:gs pos="100000">
              <a:srgbClr val="4288C8"/>
            </a:gs>
          </a:gsLst>
          <a:lin ang="5400000" scaled="0"/>
        </a:gradFill>
        <a:ln w="9525" cap="flat" cmpd="sng">
          <a:solidFill>
            <a:schemeClr val="accent5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Se comparan los</a:t>
          </a:r>
          <a:r>
            <a:rPr lang="en-US" sz="1000" b="1" baseline="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valor absoluto de dos analistas para cada nivel de concentracion</a:t>
          </a:r>
          <a:r>
            <a:rPr lang="en-US" sz="1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.</a:t>
          </a:r>
          <a:endParaRPr sz="1000"/>
        </a:p>
      </xdr:txBody>
    </xdr:sp>
    <xdr:clientData fLocksWithSheet="0"/>
  </xdr:oneCellAnchor>
  <xdr:oneCellAnchor>
    <xdr:from>
      <xdr:col>6</xdr:col>
      <xdr:colOff>28575</xdr:colOff>
      <xdr:row>6</xdr:row>
      <xdr:rowOff>19050</xdr:rowOff>
    </xdr:from>
    <xdr:ext cx="1143000" cy="857250"/>
    <xdr:pic>
      <xdr:nvPicPr>
        <xdr:cNvPr id="13" name="image2.png">
          <a:extLst>
            <a:ext uri="{FF2B5EF4-FFF2-40B4-BE49-F238E27FC236}">
              <a16:creationId xmlns:a16="http://schemas.microsoft.com/office/drawing/2014/main" id="{370BBFA0-5A58-4A2D-831A-D21BB2B964B5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2990850" y="1495425"/>
          <a:ext cx="1143000" cy="8572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2</xdr:row>
      <xdr:rowOff>28575</xdr:rowOff>
    </xdr:from>
    <xdr:ext cx="885825" cy="523875"/>
    <xdr:pic>
      <xdr:nvPicPr>
        <xdr:cNvPr id="14" name="image8.png">
          <a:extLst>
            <a:ext uri="{FF2B5EF4-FFF2-40B4-BE49-F238E27FC236}">
              <a16:creationId xmlns:a16="http://schemas.microsoft.com/office/drawing/2014/main" id="{3C6A79CE-C567-4CA7-825F-5B2CE4990117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000375" y="628650"/>
          <a:ext cx="885825" cy="523875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333375</xdr:colOff>
      <xdr:row>5</xdr:row>
      <xdr:rowOff>209550</xdr:rowOff>
    </xdr:from>
    <xdr:ext cx="266700" cy="219075"/>
    <xdr:pic>
      <xdr:nvPicPr>
        <xdr:cNvPr id="15" name="image3.png">
          <a:extLst>
            <a:ext uri="{FF2B5EF4-FFF2-40B4-BE49-F238E27FC236}">
              <a16:creationId xmlns:a16="http://schemas.microsoft.com/office/drawing/2014/main" id="{4D7E52E9-D315-433F-86EC-B9747B0D13C3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4819650" y="1466850"/>
          <a:ext cx="266700" cy="219075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352425</xdr:colOff>
      <xdr:row>7</xdr:row>
      <xdr:rowOff>19050</xdr:rowOff>
    </xdr:from>
    <xdr:ext cx="266700" cy="219075"/>
    <xdr:pic>
      <xdr:nvPicPr>
        <xdr:cNvPr id="16" name="image9.png">
          <a:extLst>
            <a:ext uri="{FF2B5EF4-FFF2-40B4-BE49-F238E27FC236}">
              <a16:creationId xmlns:a16="http://schemas.microsoft.com/office/drawing/2014/main" id="{74B36447-3A5C-468E-9FB4-0E57BB90A6F4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4838700" y="1714500"/>
          <a:ext cx="266700" cy="219075"/>
        </a:xfrm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57150</xdr:colOff>
      <xdr:row>6</xdr:row>
      <xdr:rowOff>9525</xdr:rowOff>
    </xdr:from>
    <xdr:ext cx="209550" cy="209550"/>
    <xdr:pic>
      <xdr:nvPicPr>
        <xdr:cNvPr id="17" name="image4.png">
          <a:extLst>
            <a:ext uri="{FF2B5EF4-FFF2-40B4-BE49-F238E27FC236}">
              <a16:creationId xmlns:a16="http://schemas.microsoft.com/office/drawing/2014/main" id="{5704F983-E8BE-4307-9337-9F8DBC30D33C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391400" y="1485900"/>
          <a:ext cx="209550" cy="209550"/>
        </a:xfrm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57150</xdr:colOff>
      <xdr:row>7</xdr:row>
      <xdr:rowOff>9525</xdr:rowOff>
    </xdr:from>
    <xdr:ext cx="161925" cy="209550"/>
    <xdr:pic>
      <xdr:nvPicPr>
        <xdr:cNvPr id="18" name="image7.png">
          <a:extLst>
            <a:ext uri="{FF2B5EF4-FFF2-40B4-BE49-F238E27FC236}">
              <a16:creationId xmlns:a16="http://schemas.microsoft.com/office/drawing/2014/main" id="{15960BFB-D5F8-4865-9BC2-338DAFBE8F4D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7391400" y="1704975"/>
          <a:ext cx="161925" cy="209550"/>
        </a:xfrm>
        <a:prstGeom prst="rect">
          <a:avLst/>
        </a:prstGeom>
        <a:noFill/>
      </xdr:spPr>
    </xdr:pic>
    <xdr:clientData fLocksWithSheet="0"/>
  </xdr:oneCellAnchor>
  <xdr:oneCellAnchor>
    <xdr:from>
      <xdr:col>12</xdr:col>
      <xdr:colOff>28575</xdr:colOff>
      <xdr:row>8</xdr:row>
      <xdr:rowOff>19050</xdr:rowOff>
    </xdr:from>
    <xdr:ext cx="180975" cy="228600"/>
    <xdr:pic>
      <xdr:nvPicPr>
        <xdr:cNvPr id="19" name="image5.png">
          <a:extLst>
            <a:ext uri="{FF2B5EF4-FFF2-40B4-BE49-F238E27FC236}">
              <a16:creationId xmlns:a16="http://schemas.microsoft.com/office/drawing/2014/main" id="{48B8D0A8-928A-45D3-A8D1-AE3B82F792C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7362825" y="1933575"/>
          <a:ext cx="180975" cy="2286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219075</xdr:colOff>
      <xdr:row>14</xdr:row>
      <xdr:rowOff>142875</xdr:rowOff>
    </xdr:from>
    <xdr:ext cx="1133475" cy="295275"/>
    <xdr:pic>
      <xdr:nvPicPr>
        <xdr:cNvPr id="20" name="image6.png">
          <a:extLst>
            <a:ext uri="{FF2B5EF4-FFF2-40B4-BE49-F238E27FC236}">
              <a16:creationId xmlns:a16="http://schemas.microsoft.com/office/drawing/2014/main" id="{0F722748-17AB-491E-BAE0-6F694BC262A6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3943350" y="3371850"/>
          <a:ext cx="1133475" cy="295275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390525</xdr:colOff>
      <xdr:row>3</xdr:row>
      <xdr:rowOff>57150</xdr:rowOff>
    </xdr:from>
    <xdr:ext cx="1733550" cy="352425"/>
    <xdr:pic>
      <xdr:nvPicPr>
        <xdr:cNvPr id="21" name="image1.png">
          <a:extLst>
            <a:ext uri="{FF2B5EF4-FFF2-40B4-BE49-F238E27FC236}">
              <a16:creationId xmlns:a16="http://schemas.microsoft.com/office/drawing/2014/main" id="{E7693E4B-364A-4ED2-80F9-DCA83C1FC0C1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6962775" y="876300"/>
          <a:ext cx="1733550" cy="352425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1</xdr:col>
      <xdr:colOff>371475</xdr:colOff>
      <xdr:row>23</xdr:row>
      <xdr:rowOff>180975</xdr:rowOff>
    </xdr:from>
    <xdr:to>
      <xdr:col>3</xdr:col>
      <xdr:colOff>85554</xdr:colOff>
      <xdr:row>40</xdr:row>
      <xdr:rowOff>199557</xdr:rowOff>
    </xdr:to>
    <xdr:pic>
      <xdr:nvPicPr>
        <xdr:cNvPr id="22" name="Imagen 21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23900" y="5381625"/>
          <a:ext cx="1371429" cy="374285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466721</xdr:colOff>
      <xdr:row>11</xdr:row>
      <xdr:rowOff>57151</xdr:rowOff>
    </xdr:from>
    <xdr:ext cx="1828800" cy="1172523"/>
    <xdr:grpSp>
      <xdr:nvGrpSpPr>
        <xdr:cNvPr id="2" name="Shape 2">
          <a:extLst>
            <a:ext uri="{FF2B5EF4-FFF2-40B4-BE49-F238E27FC236}">
              <a16:creationId xmlns:a16="http://schemas.microsoft.com/office/drawing/2014/main" id="{F20A01DD-32DF-43C8-8FC3-AE42A767DB83}"/>
            </a:ext>
          </a:extLst>
        </xdr:cNvPr>
        <xdr:cNvGrpSpPr/>
      </xdr:nvGrpSpPr>
      <xdr:grpSpPr>
        <a:xfrm>
          <a:off x="7038971" y="2628901"/>
          <a:ext cx="1828800" cy="1172523"/>
          <a:chOff x="4383970" y="3118013"/>
          <a:chExt cx="1924050" cy="1416997"/>
        </a:xfrm>
      </xdr:grpSpPr>
      <xdr:grpSp>
        <xdr:nvGrpSpPr>
          <xdr:cNvPr id="3" name="Shape 4">
            <a:extLst>
              <a:ext uri="{FF2B5EF4-FFF2-40B4-BE49-F238E27FC236}">
                <a16:creationId xmlns:a16="http://schemas.microsoft.com/office/drawing/2014/main" id="{015A9DCF-205B-4551-AA52-B2459ADABF54}"/>
              </a:ext>
            </a:extLst>
          </xdr:cNvPr>
          <xdr:cNvGrpSpPr/>
        </xdr:nvGrpSpPr>
        <xdr:grpSpPr>
          <a:xfrm>
            <a:off x="4383970" y="3118013"/>
            <a:ext cx="1924050" cy="1416997"/>
            <a:chOff x="14823281" y="2107407"/>
            <a:chExt cx="2690813" cy="1845020"/>
          </a:xfrm>
        </xdr:grpSpPr>
        <xdr:sp macro="" textlink="">
          <xdr:nvSpPr>
            <xdr:cNvPr id="4" name="Shape 5">
              <a:extLst>
                <a:ext uri="{FF2B5EF4-FFF2-40B4-BE49-F238E27FC236}">
                  <a16:creationId xmlns:a16="http://schemas.microsoft.com/office/drawing/2014/main" id="{EB166AF5-31D4-47A6-81DB-DB1BE962CBFF}"/>
                </a:ext>
              </a:extLst>
            </xdr:cNvPr>
            <xdr:cNvSpPr/>
          </xdr:nvSpPr>
          <xdr:spPr>
            <a:xfrm>
              <a:off x="14823281" y="2107407"/>
              <a:ext cx="2690800" cy="17238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" name="Shape 6">
              <a:extLst>
                <a:ext uri="{FF2B5EF4-FFF2-40B4-BE49-F238E27FC236}">
                  <a16:creationId xmlns:a16="http://schemas.microsoft.com/office/drawing/2014/main" id="{0FA0D07C-EBB4-468B-B0A5-71F7107E8BC8}"/>
                </a:ext>
              </a:extLst>
            </xdr:cNvPr>
            <xdr:cNvSpPr txBox="1"/>
          </xdr:nvSpPr>
          <xdr:spPr>
            <a:xfrm>
              <a:off x="15257741" y="3462338"/>
              <a:ext cx="589479" cy="490089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400"/>
                <a:t> </a:t>
              </a:r>
              <a:endParaRPr sz="1000" b="1">
                <a:solidFill>
                  <a:schemeClr val="dk1"/>
                </a:solidFill>
              </a:endParaRPr>
            </a:p>
          </xdr:txBody>
        </xdr:sp>
        <xdr:grpSp>
          <xdr:nvGrpSpPr>
            <xdr:cNvPr id="6" name="Shape 7">
              <a:extLst>
                <a:ext uri="{FF2B5EF4-FFF2-40B4-BE49-F238E27FC236}">
                  <a16:creationId xmlns:a16="http://schemas.microsoft.com/office/drawing/2014/main" id="{F198CC6B-034C-4D62-8770-A004D35361BD}"/>
                </a:ext>
              </a:extLst>
            </xdr:cNvPr>
            <xdr:cNvGrpSpPr/>
          </xdr:nvGrpSpPr>
          <xdr:grpSpPr>
            <a:xfrm>
              <a:off x="14823282" y="2107407"/>
              <a:ext cx="2690812" cy="1798566"/>
              <a:chOff x="14823282" y="2107407"/>
              <a:chExt cx="2690812" cy="1798566"/>
            </a:xfrm>
          </xdr:grpSpPr>
          <xdr:pic>
            <xdr:nvPicPr>
              <xdr:cNvPr id="7" name="Shape 8">
                <a:extLst>
                  <a:ext uri="{FF2B5EF4-FFF2-40B4-BE49-F238E27FC236}">
                    <a16:creationId xmlns:a16="http://schemas.microsoft.com/office/drawing/2014/main" id="{272F35F5-37BC-49D2-BA47-503917AE05BD}"/>
                  </a:ext>
                </a:extLst>
              </xdr:cNvPr>
              <xdr:cNvPicPr preferRelativeResize="0"/>
            </xdr:nvPicPr>
            <xdr:blipFill rotWithShape="1">
              <a:blip xmlns:r="http://schemas.openxmlformats.org/officeDocument/2006/relationships" r:embed="rId1">
                <a:alphaModFix/>
              </a:blip>
              <a:srcRect/>
              <a:stretch/>
            </xdr:blipFill>
            <xdr:spPr>
              <a:xfrm>
                <a:off x="14823282" y="2107407"/>
                <a:ext cx="2690812" cy="1445786"/>
              </a:xfrm>
              <a:prstGeom prst="rect">
                <a:avLst/>
              </a:prstGeom>
              <a:noFill/>
              <a:ln>
                <a:noFill/>
              </a:ln>
            </xdr:spPr>
          </xdr:pic>
          <xdr:sp macro="" textlink="">
            <xdr:nvSpPr>
              <xdr:cNvPr id="8" name="Shape 9">
                <a:hlinkClick xmlns:r="http://schemas.openxmlformats.org/officeDocument/2006/relationships" r:id="rId2"/>
                <a:extLst>
                  <a:ext uri="{FF2B5EF4-FFF2-40B4-BE49-F238E27FC236}">
                    <a16:creationId xmlns:a16="http://schemas.microsoft.com/office/drawing/2014/main" id="{B83D824D-0DBF-4F50-97FA-7E985B4E54A3}"/>
                  </a:ext>
                </a:extLst>
              </xdr:cNvPr>
              <xdr:cNvSpPr txBox="1"/>
            </xdr:nvSpPr>
            <xdr:spPr>
              <a:xfrm>
                <a:off x="16644936" y="3500439"/>
                <a:ext cx="660956" cy="405534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400">
                    <a:solidFill>
                      <a:srgbClr val="FF0000"/>
                    </a:solidFill>
                  </a:rPr>
                  <a:t> </a:t>
                </a:r>
                <a:endParaRPr sz="1000" b="1">
                  <a:solidFill>
                    <a:srgbClr val="FF0000"/>
                  </a:solidFill>
                </a:endParaRPr>
              </a:p>
            </xdr:txBody>
          </xdr:sp>
          <xdr:sp macro="" textlink="">
            <xdr:nvSpPr>
              <xdr:cNvPr id="9" name="Shape 10">
                <a:extLst>
                  <a:ext uri="{FF2B5EF4-FFF2-40B4-BE49-F238E27FC236}">
                    <a16:creationId xmlns:a16="http://schemas.microsoft.com/office/drawing/2014/main" id="{792EFEA4-D9AF-4D87-914E-4AD57BD845EC}"/>
                  </a:ext>
                </a:extLst>
              </xdr:cNvPr>
              <xdr:cNvSpPr txBox="1"/>
            </xdr:nvSpPr>
            <xdr:spPr>
              <a:xfrm>
                <a:off x="15619844" y="2965092"/>
                <a:ext cx="1208117" cy="467833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900">
                    <a:solidFill>
                      <a:schemeClr val="dk1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Región de </a:t>
                </a:r>
                <a:endParaRPr sz="1400"/>
              </a:p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900">
                    <a:solidFill>
                      <a:schemeClr val="dk1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aceptación H</a:t>
                </a:r>
                <a:r>
                  <a:rPr lang="en-US" sz="900" baseline="-25000">
                    <a:solidFill>
                      <a:schemeClr val="dk1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0</a:t>
                </a:r>
                <a:endParaRPr sz="1400"/>
              </a:p>
            </xdr:txBody>
          </xdr:sp>
          <xdr:sp macro="" textlink="">
            <xdr:nvSpPr>
              <xdr:cNvPr id="10" name="Shape 11">
                <a:extLst>
                  <a:ext uri="{FF2B5EF4-FFF2-40B4-BE49-F238E27FC236}">
                    <a16:creationId xmlns:a16="http://schemas.microsoft.com/office/drawing/2014/main" id="{A98DA268-0E76-41F5-8855-7A7C4EDB633D}"/>
                  </a:ext>
                </a:extLst>
              </xdr:cNvPr>
              <xdr:cNvSpPr txBox="1"/>
            </xdr:nvSpPr>
            <xdr:spPr>
              <a:xfrm>
                <a:off x="14915414" y="2759814"/>
                <a:ext cx="1195644" cy="330868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400"/>
                  <a:t> </a:t>
                </a:r>
                <a:endParaRPr sz="1100" b="1">
                  <a:solidFill>
                    <a:srgbClr val="FF0000"/>
                  </a:solidFill>
                </a:endParaRPr>
              </a:p>
            </xdr:txBody>
          </xdr:sp>
          <xdr:cxnSp macro="">
            <xdr:nvCxnSpPr>
              <xdr:cNvPr id="11" name="Shape 12">
                <a:extLst>
                  <a:ext uri="{FF2B5EF4-FFF2-40B4-BE49-F238E27FC236}">
                    <a16:creationId xmlns:a16="http://schemas.microsoft.com/office/drawing/2014/main" id="{EC78CB9E-7123-41B1-B17C-496344581314}"/>
                  </a:ext>
                </a:extLst>
              </xdr:cNvPr>
              <xdr:cNvCxnSpPr/>
            </xdr:nvCxnSpPr>
            <xdr:spPr>
              <a:xfrm rot="16200000" flipH="1">
                <a:off x="15929410" y="2481937"/>
                <a:ext cx="502073" cy="2136"/>
              </a:xfrm>
              <a:prstGeom prst="curvedConnector3">
                <a:avLst>
                  <a:gd name="adj1" fmla="val 58957"/>
                </a:avLst>
              </a:prstGeom>
              <a:noFill/>
              <a:ln w="9525" cap="flat" cmpd="sng">
                <a:solidFill>
                  <a:schemeClr val="accent1"/>
                </a:solidFill>
                <a:prstDash val="solid"/>
                <a:miter lim="800000"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0</xdr:col>
      <xdr:colOff>28575</xdr:colOff>
      <xdr:row>0</xdr:row>
      <xdr:rowOff>57150</xdr:rowOff>
    </xdr:from>
    <xdr:ext cx="2886075" cy="405327"/>
    <xdr:sp macro="" textlink="">
      <xdr:nvSpPr>
        <xdr:cNvPr id="12" name="Shape 3">
          <a:extLst>
            <a:ext uri="{FF2B5EF4-FFF2-40B4-BE49-F238E27FC236}">
              <a16:creationId xmlns:a16="http://schemas.microsoft.com/office/drawing/2014/main" id="{E55C1C46-0748-43D2-AF47-A82A23B3D34C}"/>
            </a:ext>
          </a:extLst>
        </xdr:cNvPr>
        <xdr:cNvSpPr txBox="1"/>
      </xdr:nvSpPr>
      <xdr:spPr>
        <a:xfrm>
          <a:off x="28575" y="57150"/>
          <a:ext cx="2886075" cy="405327"/>
        </a:xfrm>
        <a:prstGeom prst="rect">
          <a:avLst/>
        </a:prstGeom>
        <a:gradFill>
          <a:gsLst>
            <a:gs pos="0">
              <a:srgbClr val="70A5DA"/>
            </a:gs>
            <a:gs pos="50000">
              <a:srgbClr val="539BDB"/>
            </a:gs>
            <a:gs pos="100000">
              <a:srgbClr val="4288C8"/>
            </a:gs>
          </a:gsLst>
          <a:lin ang="5400000" scaled="0"/>
        </a:gradFill>
        <a:ln w="9525" cap="flat" cmpd="sng">
          <a:solidFill>
            <a:schemeClr val="accent5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Se comparan los</a:t>
          </a:r>
          <a:r>
            <a:rPr lang="en-US" sz="1000" b="1" baseline="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valor absoluto de dos analistas para cada nivel de concentracion</a:t>
          </a:r>
          <a:r>
            <a:rPr lang="en-US" sz="1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.</a:t>
          </a:r>
          <a:endParaRPr sz="1000"/>
        </a:p>
      </xdr:txBody>
    </xdr:sp>
    <xdr:clientData fLocksWithSheet="0"/>
  </xdr:oneCellAnchor>
  <xdr:oneCellAnchor>
    <xdr:from>
      <xdr:col>6</xdr:col>
      <xdr:colOff>28575</xdr:colOff>
      <xdr:row>6</xdr:row>
      <xdr:rowOff>19050</xdr:rowOff>
    </xdr:from>
    <xdr:ext cx="1143000" cy="857250"/>
    <xdr:pic>
      <xdr:nvPicPr>
        <xdr:cNvPr id="13" name="image2.png">
          <a:extLst>
            <a:ext uri="{FF2B5EF4-FFF2-40B4-BE49-F238E27FC236}">
              <a16:creationId xmlns:a16="http://schemas.microsoft.com/office/drawing/2014/main" id="{C816BC5C-57FD-45A7-9867-5E5E9B2359C5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2990850" y="1495425"/>
          <a:ext cx="1143000" cy="8572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2</xdr:row>
      <xdr:rowOff>28575</xdr:rowOff>
    </xdr:from>
    <xdr:ext cx="885825" cy="523875"/>
    <xdr:pic>
      <xdr:nvPicPr>
        <xdr:cNvPr id="14" name="image8.png">
          <a:extLst>
            <a:ext uri="{FF2B5EF4-FFF2-40B4-BE49-F238E27FC236}">
              <a16:creationId xmlns:a16="http://schemas.microsoft.com/office/drawing/2014/main" id="{5D5EC380-71AA-4E1C-8B16-B3C67E5C875C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000375" y="628650"/>
          <a:ext cx="885825" cy="523875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333375</xdr:colOff>
      <xdr:row>5</xdr:row>
      <xdr:rowOff>209550</xdr:rowOff>
    </xdr:from>
    <xdr:ext cx="266700" cy="219075"/>
    <xdr:pic>
      <xdr:nvPicPr>
        <xdr:cNvPr id="15" name="image3.png">
          <a:extLst>
            <a:ext uri="{FF2B5EF4-FFF2-40B4-BE49-F238E27FC236}">
              <a16:creationId xmlns:a16="http://schemas.microsoft.com/office/drawing/2014/main" id="{83ABB1EB-A70A-46AE-AF5A-44F8A7CAC1A2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4819650" y="1466850"/>
          <a:ext cx="266700" cy="219075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352425</xdr:colOff>
      <xdr:row>7</xdr:row>
      <xdr:rowOff>19050</xdr:rowOff>
    </xdr:from>
    <xdr:ext cx="266700" cy="219075"/>
    <xdr:pic>
      <xdr:nvPicPr>
        <xdr:cNvPr id="16" name="image9.png">
          <a:extLst>
            <a:ext uri="{FF2B5EF4-FFF2-40B4-BE49-F238E27FC236}">
              <a16:creationId xmlns:a16="http://schemas.microsoft.com/office/drawing/2014/main" id="{4460EB93-D2BE-4F1A-A280-322DF33B0854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4838700" y="1714500"/>
          <a:ext cx="266700" cy="219075"/>
        </a:xfrm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57150</xdr:colOff>
      <xdr:row>6</xdr:row>
      <xdr:rowOff>9525</xdr:rowOff>
    </xdr:from>
    <xdr:ext cx="209550" cy="209550"/>
    <xdr:pic>
      <xdr:nvPicPr>
        <xdr:cNvPr id="17" name="image4.png">
          <a:extLst>
            <a:ext uri="{FF2B5EF4-FFF2-40B4-BE49-F238E27FC236}">
              <a16:creationId xmlns:a16="http://schemas.microsoft.com/office/drawing/2014/main" id="{A0E82F13-3983-41AF-A351-35288A1EFBF3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391400" y="1485900"/>
          <a:ext cx="209550" cy="209550"/>
        </a:xfrm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57150</xdr:colOff>
      <xdr:row>7</xdr:row>
      <xdr:rowOff>9525</xdr:rowOff>
    </xdr:from>
    <xdr:ext cx="161925" cy="209550"/>
    <xdr:pic>
      <xdr:nvPicPr>
        <xdr:cNvPr id="18" name="image7.png">
          <a:extLst>
            <a:ext uri="{FF2B5EF4-FFF2-40B4-BE49-F238E27FC236}">
              <a16:creationId xmlns:a16="http://schemas.microsoft.com/office/drawing/2014/main" id="{585604EB-CAC3-4727-B562-6EA8905F78F6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7391400" y="1704975"/>
          <a:ext cx="161925" cy="209550"/>
        </a:xfrm>
        <a:prstGeom prst="rect">
          <a:avLst/>
        </a:prstGeom>
        <a:noFill/>
      </xdr:spPr>
    </xdr:pic>
    <xdr:clientData fLocksWithSheet="0"/>
  </xdr:oneCellAnchor>
  <xdr:oneCellAnchor>
    <xdr:from>
      <xdr:col>12</xdr:col>
      <xdr:colOff>28575</xdr:colOff>
      <xdr:row>8</xdr:row>
      <xdr:rowOff>19050</xdr:rowOff>
    </xdr:from>
    <xdr:ext cx="180975" cy="228600"/>
    <xdr:pic>
      <xdr:nvPicPr>
        <xdr:cNvPr id="19" name="image5.png">
          <a:extLst>
            <a:ext uri="{FF2B5EF4-FFF2-40B4-BE49-F238E27FC236}">
              <a16:creationId xmlns:a16="http://schemas.microsoft.com/office/drawing/2014/main" id="{624027DF-B2EB-4BED-AB9E-63A72C68AEF9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7362825" y="1933575"/>
          <a:ext cx="180975" cy="2286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219075</xdr:colOff>
      <xdr:row>14</xdr:row>
      <xdr:rowOff>142875</xdr:rowOff>
    </xdr:from>
    <xdr:ext cx="1133475" cy="295275"/>
    <xdr:pic>
      <xdr:nvPicPr>
        <xdr:cNvPr id="20" name="image6.png">
          <a:extLst>
            <a:ext uri="{FF2B5EF4-FFF2-40B4-BE49-F238E27FC236}">
              <a16:creationId xmlns:a16="http://schemas.microsoft.com/office/drawing/2014/main" id="{D2C0ABD9-7239-4333-86E7-06D683FB36BD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3943350" y="3371850"/>
          <a:ext cx="1133475" cy="295275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390525</xdr:colOff>
      <xdr:row>3</xdr:row>
      <xdr:rowOff>57150</xdr:rowOff>
    </xdr:from>
    <xdr:ext cx="1733550" cy="352425"/>
    <xdr:pic>
      <xdr:nvPicPr>
        <xdr:cNvPr id="21" name="image1.png">
          <a:extLst>
            <a:ext uri="{FF2B5EF4-FFF2-40B4-BE49-F238E27FC236}">
              <a16:creationId xmlns:a16="http://schemas.microsoft.com/office/drawing/2014/main" id="{09F3F12E-9712-4EA0-9739-FEE5F5652F0B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6962775" y="876300"/>
          <a:ext cx="1733550" cy="352425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1</xdr:col>
      <xdr:colOff>333375</xdr:colOff>
      <xdr:row>24</xdr:row>
      <xdr:rowOff>66675</xdr:rowOff>
    </xdr:from>
    <xdr:to>
      <xdr:col>2</xdr:col>
      <xdr:colOff>609462</xdr:colOff>
      <xdr:row>41</xdr:row>
      <xdr:rowOff>104305</xdr:rowOff>
    </xdr:to>
    <xdr:pic>
      <xdr:nvPicPr>
        <xdr:cNvPr id="22" name="Imagen 21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85800" y="5486400"/>
          <a:ext cx="1104762" cy="376190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438146</xdr:colOff>
      <xdr:row>11</xdr:row>
      <xdr:rowOff>9526</xdr:rowOff>
    </xdr:from>
    <xdr:ext cx="1828800" cy="1172523"/>
    <xdr:grpSp>
      <xdr:nvGrpSpPr>
        <xdr:cNvPr id="2" name="Shape 2">
          <a:extLst>
            <a:ext uri="{FF2B5EF4-FFF2-40B4-BE49-F238E27FC236}">
              <a16:creationId xmlns:a16="http://schemas.microsoft.com/office/drawing/2014/main" id="{B35787A3-4A96-45B3-A8AC-E851055CD7FA}"/>
            </a:ext>
          </a:extLst>
        </xdr:cNvPr>
        <xdr:cNvGrpSpPr/>
      </xdr:nvGrpSpPr>
      <xdr:grpSpPr>
        <a:xfrm>
          <a:off x="7010396" y="2581276"/>
          <a:ext cx="1828800" cy="1172523"/>
          <a:chOff x="4383970" y="3118013"/>
          <a:chExt cx="1924050" cy="1416997"/>
        </a:xfrm>
      </xdr:grpSpPr>
      <xdr:grpSp>
        <xdr:nvGrpSpPr>
          <xdr:cNvPr id="3" name="Shape 4">
            <a:extLst>
              <a:ext uri="{FF2B5EF4-FFF2-40B4-BE49-F238E27FC236}">
                <a16:creationId xmlns:a16="http://schemas.microsoft.com/office/drawing/2014/main" id="{E15458CA-BAA3-4141-89D0-D803B428ED62}"/>
              </a:ext>
            </a:extLst>
          </xdr:cNvPr>
          <xdr:cNvGrpSpPr/>
        </xdr:nvGrpSpPr>
        <xdr:grpSpPr>
          <a:xfrm>
            <a:off x="4383970" y="3118013"/>
            <a:ext cx="1924050" cy="1416997"/>
            <a:chOff x="14823281" y="2107407"/>
            <a:chExt cx="2690813" cy="1845020"/>
          </a:xfrm>
        </xdr:grpSpPr>
        <xdr:sp macro="" textlink="">
          <xdr:nvSpPr>
            <xdr:cNvPr id="4" name="Shape 5">
              <a:extLst>
                <a:ext uri="{FF2B5EF4-FFF2-40B4-BE49-F238E27FC236}">
                  <a16:creationId xmlns:a16="http://schemas.microsoft.com/office/drawing/2014/main" id="{1B975732-7D2A-475C-8F64-C89963C8111B}"/>
                </a:ext>
              </a:extLst>
            </xdr:cNvPr>
            <xdr:cNvSpPr/>
          </xdr:nvSpPr>
          <xdr:spPr>
            <a:xfrm>
              <a:off x="14823281" y="2107407"/>
              <a:ext cx="2690800" cy="17238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" name="Shape 6">
              <a:extLst>
                <a:ext uri="{FF2B5EF4-FFF2-40B4-BE49-F238E27FC236}">
                  <a16:creationId xmlns:a16="http://schemas.microsoft.com/office/drawing/2014/main" id="{B43E14E6-C712-432D-99C1-77398DF1B04A}"/>
                </a:ext>
              </a:extLst>
            </xdr:cNvPr>
            <xdr:cNvSpPr txBox="1"/>
          </xdr:nvSpPr>
          <xdr:spPr>
            <a:xfrm>
              <a:off x="15257741" y="3462338"/>
              <a:ext cx="589479" cy="490089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400"/>
                <a:t> </a:t>
              </a:r>
              <a:endParaRPr sz="1000" b="1">
                <a:solidFill>
                  <a:schemeClr val="dk1"/>
                </a:solidFill>
              </a:endParaRPr>
            </a:p>
          </xdr:txBody>
        </xdr:sp>
        <xdr:grpSp>
          <xdr:nvGrpSpPr>
            <xdr:cNvPr id="6" name="Shape 7">
              <a:extLst>
                <a:ext uri="{FF2B5EF4-FFF2-40B4-BE49-F238E27FC236}">
                  <a16:creationId xmlns:a16="http://schemas.microsoft.com/office/drawing/2014/main" id="{78079F96-7D58-497D-BEAF-575E97153E6C}"/>
                </a:ext>
              </a:extLst>
            </xdr:cNvPr>
            <xdr:cNvGrpSpPr/>
          </xdr:nvGrpSpPr>
          <xdr:grpSpPr>
            <a:xfrm>
              <a:off x="14823282" y="2107407"/>
              <a:ext cx="2690812" cy="1798566"/>
              <a:chOff x="14823282" y="2107407"/>
              <a:chExt cx="2690812" cy="1798566"/>
            </a:xfrm>
          </xdr:grpSpPr>
          <xdr:pic>
            <xdr:nvPicPr>
              <xdr:cNvPr id="7" name="Shape 8">
                <a:extLst>
                  <a:ext uri="{FF2B5EF4-FFF2-40B4-BE49-F238E27FC236}">
                    <a16:creationId xmlns:a16="http://schemas.microsoft.com/office/drawing/2014/main" id="{F520DFE5-9E37-4569-8297-62D40C89463E}"/>
                  </a:ext>
                </a:extLst>
              </xdr:cNvPr>
              <xdr:cNvPicPr preferRelativeResize="0"/>
            </xdr:nvPicPr>
            <xdr:blipFill rotWithShape="1">
              <a:blip xmlns:r="http://schemas.openxmlformats.org/officeDocument/2006/relationships" r:embed="rId1">
                <a:alphaModFix/>
              </a:blip>
              <a:srcRect/>
              <a:stretch/>
            </xdr:blipFill>
            <xdr:spPr>
              <a:xfrm>
                <a:off x="14823282" y="2107407"/>
                <a:ext cx="2690812" cy="1445786"/>
              </a:xfrm>
              <a:prstGeom prst="rect">
                <a:avLst/>
              </a:prstGeom>
              <a:noFill/>
              <a:ln>
                <a:noFill/>
              </a:ln>
            </xdr:spPr>
          </xdr:pic>
          <xdr:sp macro="" textlink="">
            <xdr:nvSpPr>
              <xdr:cNvPr id="8" name="Shape 9">
                <a:hlinkClick xmlns:r="http://schemas.openxmlformats.org/officeDocument/2006/relationships" r:id="rId2"/>
                <a:extLst>
                  <a:ext uri="{FF2B5EF4-FFF2-40B4-BE49-F238E27FC236}">
                    <a16:creationId xmlns:a16="http://schemas.microsoft.com/office/drawing/2014/main" id="{E453508D-9A56-4E9A-8F61-929BE2CE07A9}"/>
                  </a:ext>
                </a:extLst>
              </xdr:cNvPr>
              <xdr:cNvSpPr txBox="1"/>
            </xdr:nvSpPr>
            <xdr:spPr>
              <a:xfrm>
                <a:off x="16644936" y="3500439"/>
                <a:ext cx="660956" cy="405534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400">
                    <a:solidFill>
                      <a:srgbClr val="FF0000"/>
                    </a:solidFill>
                  </a:rPr>
                  <a:t> </a:t>
                </a:r>
                <a:endParaRPr sz="1000" b="1">
                  <a:solidFill>
                    <a:srgbClr val="FF0000"/>
                  </a:solidFill>
                </a:endParaRPr>
              </a:p>
            </xdr:txBody>
          </xdr:sp>
          <xdr:sp macro="" textlink="">
            <xdr:nvSpPr>
              <xdr:cNvPr id="9" name="Shape 10">
                <a:extLst>
                  <a:ext uri="{FF2B5EF4-FFF2-40B4-BE49-F238E27FC236}">
                    <a16:creationId xmlns:a16="http://schemas.microsoft.com/office/drawing/2014/main" id="{6D9D3B06-B872-41FD-9AD0-B171D659CBF6}"/>
                  </a:ext>
                </a:extLst>
              </xdr:cNvPr>
              <xdr:cNvSpPr txBox="1"/>
            </xdr:nvSpPr>
            <xdr:spPr>
              <a:xfrm>
                <a:off x="15619844" y="2965092"/>
                <a:ext cx="1208117" cy="467833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900">
                    <a:solidFill>
                      <a:schemeClr val="dk1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Región de </a:t>
                </a:r>
                <a:endParaRPr sz="1400"/>
              </a:p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900">
                    <a:solidFill>
                      <a:schemeClr val="dk1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aceptación H</a:t>
                </a:r>
                <a:r>
                  <a:rPr lang="en-US" sz="900" baseline="-25000">
                    <a:solidFill>
                      <a:schemeClr val="dk1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0</a:t>
                </a:r>
                <a:endParaRPr sz="1400"/>
              </a:p>
            </xdr:txBody>
          </xdr:sp>
          <xdr:sp macro="" textlink="">
            <xdr:nvSpPr>
              <xdr:cNvPr id="10" name="Shape 11">
                <a:extLst>
                  <a:ext uri="{FF2B5EF4-FFF2-40B4-BE49-F238E27FC236}">
                    <a16:creationId xmlns:a16="http://schemas.microsoft.com/office/drawing/2014/main" id="{896D6938-FD72-4350-9F1C-771952CC2EA6}"/>
                  </a:ext>
                </a:extLst>
              </xdr:cNvPr>
              <xdr:cNvSpPr txBox="1"/>
            </xdr:nvSpPr>
            <xdr:spPr>
              <a:xfrm>
                <a:off x="14915414" y="2759814"/>
                <a:ext cx="1195644" cy="330868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400"/>
                  <a:t> </a:t>
                </a:r>
                <a:endParaRPr sz="1100" b="1">
                  <a:solidFill>
                    <a:srgbClr val="FF0000"/>
                  </a:solidFill>
                </a:endParaRPr>
              </a:p>
            </xdr:txBody>
          </xdr:sp>
          <xdr:cxnSp macro="">
            <xdr:nvCxnSpPr>
              <xdr:cNvPr id="11" name="Shape 12">
                <a:extLst>
                  <a:ext uri="{FF2B5EF4-FFF2-40B4-BE49-F238E27FC236}">
                    <a16:creationId xmlns:a16="http://schemas.microsoft.com/office/drawing/2014/main" id="{E45F1FF7-F7F9-4119-A7B4-655A73B8864D}"/>
                  </a:ext>
                </a:extLst>
              </xdr:cNvPr>
              <xdr:cNvCxnSpPr/>
            </xdr:nvCxnSpPr>
            <xdr:spPr>
              <a:xfrm rot="16200000" flipH="1">
                <a:off x="15929409" y="2511911"/>
                <a:ext cx="502073" cy="2136"/>
              </a:xfrm>
              <a:prstGeom prst="curvedConnector3">
                <a:avLst>
                  <a:gd name="adj1" fmla="val 58956"/>
                </a:avLst>
              </a:prstGeom>
              <a:noFill/>
              <a:ln w="9525" cap="flat" cmpd="sng">
                <a:solidFill>
                  <a:schemeClr val="accent1"/>
                </a:solidFill>
                <a:prstDash val="solid"/>
                <a:miter lim="800000"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0</xdr:col>
      <xdr:colOff>28575</xdr:colOff>
      <xdr:row>0</xdr:row>
      <xdr:rowOff>57150</xdr:rowOff>
    </xdr:from>
    <xdr:ext cx="2886075" cy="405327"/>
    <xdr:sp macro="" textlink="">
      <xdr:nvSpPr>
        <xdr:cNvPr id="12" name="Shape 3">
          <a:extLst>
            <a:ext uri="{FF2B5EF4-FFF2-40B4-BE49-F238E27FC236}">
              <a16:creationId xmlns:a16="http://schemas.microsoft.com/office/drawing/2014/main" id="{8A1A9AE5-ED54-44AD-BD72-0764FF580F9C}"/>
            </a:ext>
          </a:extLst>
        </xdr:cNvPr>
        <xdr:cNvSpPr txBox="1"/>
      </xdr:nvSpPr>
      <xdr:spPr>
        <a:xfrm>
          <a:off x="28575" y="57150"/>
          <a:ext cx="2886075" cy="405327"/>
        </a:xfrm>
        <a:prstGeom prst="rect">
          <a:avLst/>
        </a:prstGeom>
        <a:gradFill>
          <a:gsLst>
            <a:gs pos="0">
              <a:srgbClr val="70A5DA"/>
            </a:gs>
            <a:gs pos="50000">
              <a:srgbClr val="539BDB"/>
            </a:gs>
            <a:gs pos="100000">
              <a:srgbClr val="4288C8"/>
            </a:gs>
          </a:gsLst>
          <a:lin ang="5400000" scaled="0"/>
        </a:gradFill>
        <a:ln w="9525" cap="flat" cmpd="sng">
          <a:solidFill>
            <a:schemeClr val="accent5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Se comparan los</a:t>
          </a:r>
          <a:r>
            <a:rPr lang="en-US" sz="1000" b="1" baseline="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valor absoluto de dos analistas para cada nivel de concentracion</a:t>
          </a:r>
          <a:r>
            <a:rPr lang="en-US" sz="1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.</a:t>
          </a:r>
          <a:endParaRPr sz="1000"/>
        </a:p>
      </xdr:txBody>
    </xdr:sp>
    <xdr:clientData fLocksWithSheet="0"/>
  </xdr:oneCellAnchor>
  <xdr:oneCellAnchor>
    <xdr:from>
      <xdr:col>6</xdr:col>
      <xdr:colOff>28575</xdr:colOff>
      <xdr:row>6</xdr:row>
      <xdr:rowOff>19050</xdr:rowOff>
    </xdr:from>
    <xdr:ext cx="1143000" cy="857250"/>
    <xdr:pic>
      <xdr:nvPicPr>
        <xdr:cNvPr id="13" name="image2.png">
          <a:extLst>
            <a:ext uri="{FF2B5EF4-FFF2-40B4-BE49-F238E27FC236}">
              <a16:creationId xmlns:a16="http://schemas.microsoft.com/office/drawing/2014/main" id="{B41D6E5D-29D1-47F2-8128-71E6356B0DAB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2990850" y="1495425"/>
          <a:ext cx="1143000" cy="8572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2</xdr:row>
      <xdr:rowOff>28575</xdr:rowOff>
    </xdr:from>
    <xdr:ext cx="885825" cy="523875"/>
    <xdr:pic>
      <xdr:nvPicPr>
        <xdr:cNvPr id="14" name="image8.png">
          <a:extLst>
            <a:ext uri="{FF2B5EF4-FFF2-40B4-BE49-F238E27FC236}">
              <a16:creationId xmlns:a16="http://schemas.microsoft.com/office/drawing/2014/main" id="{47B9CF29-5EC1-47CC-B275-CA4C5DCD8B39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000375" y="628650"/>
          <a:ext cx="885825" cy="523875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333375</xdr:colOff>
      <xdr:row>5</xdr:row>
      <xdr:rowOff>209550</xdr:rowOff>
    </xdr:from>
    <xdr:ext cx="266700" cy="219075"/>
    <xdr:pic>
      <xdr:nvPicPr>
        <xdr:cNvPr id="15" name="image3.png">
          <a:extLst>
            <a:ext uri="{FF2B5EF4-FFF2-40B4-BE49-F238E27FC236}">
              <a16:creationId xmlns:a16="http://schemas.microsoft.com/office/drawing/2014/main" id="{D64C25F4-4406-4A73-8051-D4F182EE425A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4819650" y="1466850"/>
          <a:ext cx="266700" cy="219075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352425</xdr:colOff>
      <xdr:row>7</xdr:row>
      <xdr:rowOff>19050</xdr:rowOff>
    </xdr:from>
    <xdr:ext cx="266700" cy="219075"/>
    <xdr:pic>
      <xdr:nvPicPr>
        <xdr:cNvPr id="16" name="image9.png">
          <a:extLst>
            <a:ext uri="{FF2B5EF4-FFF2-40B4-BE49-F238E27FC236}">
              <a16:creationId xmlns:a16="http://schemas.microsoft.com/office/drawing/2014/main" id="{C2A58A04-3102-4FDC-BEC6-CCB05B7BE31F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4838700" y="1714500"/>
          <a:ext cx="266700" cy="219075"/>
        </a:xfrm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57150</xdr:colOff>
      <xdr:row>6</xdr:row>
      <xdr:rowOff>9525</xdr:rowOff>
    </xdr:from>
    <xdr:ext cx="209550" cy="209550"/>
    <xdr:pic>
      <xdr:nvPicPr>
        <xdr:cNvPr id="17" name="image4.png">
          <a:extLst>
            <a:ext uri="{FF2B5EF4-FFF2-40B4-BE49-F238E27FC236}">
              <a16:creationId xmlns:a16="http://schemas.microsoft.com/office/drawing/2014/main" id="{B4B2EF1F-469F-4ECB-9CB6-C0F4C873D54A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391400" y="1485900"/>
          <a:ext cx="209550" cy="209550"/>
        </a:xfrm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57150</xdr:colOff>
      <xdr:row>7</xdr:row>
      <xdr:rowOff>9525</xdr:rowOff>
    </xdr:from>
    <xdr:ext cx="161925" cy="209550"/>
    <xdr:pic>
      <xdr:nvPicPr>
        <xdr:cNvPr id="18" name="image7.png">
          <a:extLst>
            <a:ext uri="{FF2B5EF4-FFF2-40B4-BE49-F238E27FC236}">
              <a16:creationId xmlns:a16="http://schemas.microsoft.com/office/drawing/2014/main" id="{DC19D227-C60F-4FE5-9A75-38DEC9D1118A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7391400" y="1704975"/>
          <a:ext cx="161925" cy="209550"/>
        </a:xfrm>
        <a:prstGeom prst="rect">
          <a:avLst/>
        </a:prstGeom>
        <a:noFill/>
      </xdr:spPr>
    </xdr:pic>
    <xdr:clientData fLocksWithSheet="0"/>
  </xdr:oneCellAnchor>
  <xdr:oneCellAnchor>
    <xdr:from>
      <xdr:col>12</xdr:col>
      <xdr:colOff>28575</xdr:colOff>
      <xdr:row>8</xdr:row>
      <xdr:rowOff>19050</xdr:rowOff>
    </xdr:from>
    <xdr:ext cx="180975" cy="228600"/>
    <xdr:pic>
      <xdr:nvPicPr>
        <xdr:cNvPr id="19" name="image5.png">
          <a:extLst>
            <a:ext uri="{FF2B5EF4-FFF2-40B4-BE49-F238E27FC236}">
              <a16:creationId xmlns:a16="http://schemas.microsoft.com/office/drawing/2014/main" id="{3F37F815-A09D-4BD1-BD91-F30F0DECADE7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7362825" y="1933575"/>
          <a:ext cx="180975" cy="2286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219075</xdr:colOff>
      <xdr:row>14</xdr:row>
      <xdr:rowOff>142875</xdr:rowOff>
    </xdr:from>
    <xdr:ext cx="1133475" cy="295275"/>
    <xdr:pic>
      <xdr:nvPicPr>
        <xdr:cNvPr id="20" name="image6.png">
          <a:extLst>
            <a:ext uri="{FF2B5EF4-FFF2-40B4-BE49-F238E27FC236}">
              <a16:creationId xmlns:a16="http://schemas.microsoft.com/office/drawing/2014/main" id="{6A5C8071-A046-495F-BA42-EF751E093016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3943350" y="3371850"/>
          <a:ext cx="1133475" cy="295275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390525</xdr:colOff>
      <xdr:row>3</xdr:row>
      <xdr:rowOff>57150</xdr:rowOff>
    </xdr:from>
    <xdr:ext cx="1733550" cy="352425"/>
    <xdr:pic>
      <xdr:nvPicPr>
        <xdr:cNvPr id="21" name="image1.png">
          <a:extLst>
            <a:ext uri="{FF2B5EF4-FFF2-40B4-BE49-F238E27FC236}">
              <a16:creationId xmlns:a16="http://schemas.microsoft.com/office/drawing/2014/main" id="{6B8FCCBD-6171-416C-A19D-B20ED926F60A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6962775" y="876300"/>
          <a:ext cx="1733550" cy="352425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1</xdr:col>
      <xdr:colOff>447675</xdr:colOff>
      <xdr:row>23</xdr:row>
      <xdr:rowOff>142875</xdr:rowOff>
    </xdr:from>
    <xdr:to>
      <xdr:col>2</xdr:col>
      <xdr:colOff>733286</xdr:colOff>
      <xdr:row>40</xdr:row>
      <xdr:rowOff>170981</xdr:rowOff>
    </xdr:to>
    <xdr:pic>
      <xdr:nvPicPr>
        <xdr:cNvPr id="23" name="Imagen 2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00100" y="5343525"/>
          <a:ext cx="1114286" cy="375238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438146</xdr:colOff>
      <xdr:row>11</xdr:row>
      <xdr:rowOff>28576</xdr:rowOff>
    </xdr:from>
    <xdr:ext cx="1828800" cy="1172523"/>
    <xdr:grpSp>
      <xdr:nvGrpSpPr>
        <xdr:cNvPr id="2" name="Shape 2">
          <a:extLst>
            <a:ext uri="{FF2B5EF4-FFF2-40B4-BE49-F238E27FC236}">
              <a16:creationId xmlns:a16="http://schemas.microsoft.com/office/drawing/2014/main" id="{430D5A25-364E-423B-ACFB-7AAD58DDDB98}"/>
            </a:ext>
          </a:extLst>
        </xdr:cNvPr>
        <xdr:cNvGrpSpPr/>
      </xdr:nvGrpSpPr>
      <xdr:grpSpPr>
        <a:xfrm>
          <a:off x="7010396" y="2600326"/>
          <a:ext cx="1828800" cy="1172523"/>
          <a:chOff x="4383970" y="3118013"/>
          <a:chExt cx="1924050" cy="1416997"/>
        </a:xfrm>
      </xdr:grpSpPr>
      <xdr:grpSp>
        <xdr:nvGrpSpPr>
          <xdr:cNvPr id="3" name="Shape 4">
            <a:extLst>
              <a:ext uri="{FF2B5EF4-FFF2-40B4-BE49-F238E27FC236}">
                <a16:creationId xmlns:a16="http://schemas.microsoft.com/office/drawing/2014/main" id="{FC89B7C1-D7CE-421E-BB94-7D9E5BCD2453}"/>
              </a:ext>
            </a:extLst>
          </xdr:cNvPr>
          <xdr:cNvGrpSpPr/>
        </xdr:nvGrpSpPr>
        <xdr:grpSpPr>
          <a:xfrm>
            <a:off x="4383970" y="3118013"/>
            <a:ext cx="1924050" cy="1416997"/>
            <a:chOff x="14823281" y="2107407"/>
            <a:chExt cx="2690813" cy="1845020"/>
          </a:xfrm>
        </xdr:grpSpPr>
        <xdr:sp macro="" textlink="">
          <xdr:nvSpPr>
            <xdr:cNvPr id="4" name="Shape 5">
              <a:extLst>
                <a:ext uri="{FF2B5EF4-FFF2-40B4-BE49-F238E27FC236}">
                  <a16:creationId xmlns:a16="http://schemas.microsoft.com/office/drawing/2014/main" id="{BF7C9B08-CE29-4D92-A59C-1813AC500359}"/>
                </a:ext>
              </a:extLst>
            </xdr:cNvPr>
            <xdr:cNvSpPr/>
          </xdr:nvSpPr>
          <xdr:spPr>
            <a:xfrm>
              <a:off x="14823281" y="2107407"/>
              <a:ext cx="2690800" cy="17238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" name="Shape 6">
              <a:extLst>
                <a:ext uri="{FF2B5EF4-FFF2-40B4-BE49-F238E27FC236}">
                  <a16:creationId xmlns:a16="http://schemas.microsoft.com/office/drawing/2014/main" id="{3ED78196-74D2-4075-AAE0-9EDC70FAB2C0}"/>
                </a:ext>
              </a:extLst>
            </xdr:cNvPr>
            <xdr:cNvSpPr txBox="1"/>
          </xdr:nvSpPr>
          <xdr:spPr>
            <a:xfrm>
              <a:off x="15257741" y="3462338"/>
              <a:ext cx="589479" cy="490089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400"/>
                <a:t> </a:t>
              </a:r>
              <a:endParaRPr sz="1000" b="1">
                <a:solidFill>
                  <a:schemeClr val="dk1"/>
                </a:solidFill>
              </a:endParaRPr>
            </a:p>
          </xdr:txBody>
        </xdr:sp>
        <xdr:grpSp>
          <xdr:nvGrpSpPr>
            <xdr:cNvPr id="6" name="Shape 7">
              <a:extLst>
                <a:ext uri="{FF2B5EF4-FFF2-40B4-BE49-F238E27FC236}">
                  <a16:creationId xmlns:a16="http://schemas.microsoft.com/office/drawing/2014/main" id="{674DA131-EF01-49CD-8BBB-37ECFACFED2D}"/>
                </a:ext>
              </a:extLst>
            </xdr:cNvPr>
            <xdr:cNvGrpSpPr/>
          </xdr:nvGrpSpPr>
          <xdr:grpSpPr>
            <a:xfrm>
              <a:off x="14823282" y="2107407"/>
              <a:ext cx="2690812" cy="1798566"/>
              <a:chOff x="14823282" y="2107407"/>
              <a:chExt cx="2690812" cy="1798566"/>
            </a:xfrm>
          </xdr:grpSpPr>
          <xdr:pic>
            <xdr:nvPicPr>
              <xdr:cNvPr id="7" name="Shape 8">
                <a:extLst>
                  <a:ext uri="{FF2B5EF4-FFF2-40B4-BE49-F238E27FC236}">
                    <a16:creationId xmlns:a16="http://schemas.microsoft.com/office/drawing/2014/main" id="{47D57848-D209-4256-8367-34318DCD646A}"/>
                  </a:ext>
                </a:extLst>
              </xdr:cNvPr>
              <xdr:cNvPicPr preferRelativeResize="0"/>
            </xdr:nvPicPr>
            <xdr:blipFill rotWithShape="1">
              <a:blip xmlns:r="http://schemas.openxmlformats.org/officeDocument/2006/relationships" r:embed="rId1">
                <a:alphaModFix/>
              </a:blip>
              <a:srcRect/>
              <a:stretch/>
            </xdr:blipFill>
            <xdr:spPr>
              <a:xfrm>
                <a:off x="14823282" y="2107407"/>
                <a:ext cx="2690812" cy="1445786"/>
              </a:xfrm>
              <a:prstGeom prst="rect">
                <a:avLst/>
              </a:prstGeom>
              <a:noFill/>
              <a:ln>
                <a:noFill/>
              </a:ln>
            </xdr:spPr>
          </xdr:pic>
          <xdr:sp macro="" textlink="">
            <xdr:nvSpPr>
              <xdr:cNvPr id="8" name="Shape 9">
                <a:hlinkClick xmlns:r="http://schemas.openxmlformats.org/officeDocument/2006/relationships" r:id="rId2"/>
                <a:extLst>
                  <a:ext uri="{FF2B5EF4-FFF2-40B4-BE49-F238E27FC236}">
                    <a16:creationId xmlns:a16="http://schemas.microsoft.com/office/drawing/2014/main" id="{9FDC84BE-9998-46B9-ABF2-FC2FE7EA39DB}"/>
                  </a:ext>
                </a:extLst>
              </xdr:cNvPr>
              <xdr:cNvSpPr txBox="1"/>
            </xdr:nvSpPr>
            <xdr:spPr>
              <a:xfrm>
                <a:off x="16644936" y="3500439"/>
                <a:ext cx="660956" cy="405534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400">
                    <a:solidFill>
                      <a:srgbClr val="FF0000"/>
                    </a:solidFill>
                  </a:rPr>
                  <a:t> </a:t>
                </a:r>
                <a:endParaRPr sz="1000" b="1">
                  <a:solidFill>
                    <a:srgbClr val="FF0000"/>
                  </a:solidFill>
                </a:endParaRPr>
              </a:p>
            </xdr:txBody>
          </xdr:sp>
          <xdr:sp macro="" textlink="">
            <xdr:nvSpPr>
              <xdr:cNvPr id="9" name="Shape 10">
                <a:extLst>
                  <a:ext uri="{FF2B5EF4-FFF2-40B4-BE49-F238E27FC236}">
                    <a16:creationId xmlns:a16="http://schemas.microsoft.com/office/drawing/2014/main" id="{9BA9B373-D227-483C-B93C-088E46CB2BAB}"/>
                  </a:ext>
                </a:extLst>
              </xdr:cNvPr>
              <xdr:cNvSpPr txBox="1"/>
            </xdr:nvSpPr>
            <xdr:spPr>
              <a:xfrm>
                <a:off x="15619844" y="2965092"/>
                <a:ext cx="1208117" cy="467833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900">
                    <a:solidFill>
                      <a:schemeClr val="dk1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Región de </a:t>
                </a:r>
                <a:endParaRPr sz="1400"/>
              </a:p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900">
                    <a:solidFill>
                      <a:schemeClr val="dk1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aceptación H</a:t>
                </a:r>
                <a:r>
                  <a:rPr lang="en-US" sz="900" baseline="-25000">
                    <a:solidFill>
                      <a:schemeClr val="dk1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0</a:t>
                </a:r>
                <a:endParaRPr sz="1400"/>
              </a:p>
            </xdr:txBody>
          </xdr:sp>
          <xdr:sp macro="" textlink="">
            <xdr:nvSpPr>
              <xdr:cNvPr id="10" name="Shape 11">
                <a:extLst>
                  <a:ext uri="{FF2B5EF4-FFF2-40B4-BE49-F238E27FC236}">
                    <a16:creationId xmlns:a16="http://schemas.microsoft.com/office/drawing/2014/main" id="{76D39B0A-3EBE-47DB-97FB-AF8061E7C81E}"/>
                  </a:ext>
                </a:extLst>
              </xdr:cNvPr>
              <xdr:cNvSpPr txBox="1"/>
            </xdr:nvSpPr>
            <xdr:spPr>
              <a:xfrm>
                <a:off x="14915414" y="2759814"/>
                <a:ext cx="1195644" cy="330868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400"/>
                  <a:t> </a:t>
                </a:r>
                <a:endParaRPr sz="1100" b="1">
                  <a:solidFill>
                    <a:srgbClr val="FF0000"/>
                  </a:solidFill>
                </a:endParaRPr>
              </a:p>
            </xdr:txBody>
          </xdr:sp>
          <xdr:cxnSp macro="">
            <xdr:nvCxnSpPr>
              <xdr:cNvPr id="11" name="Shape 12">
                <a:extLst>
                  <a:ext uri="{FF2B5EF4-FFF2-40B4-BE49-F238E27FC236}">
                    <a16:creationId xmlns:a16="http://schemas.microsoft.com/office/drawing/2014/main" id="{B9AFA7D4-48A8-44D1-B76E-9BC17224B8B0}"/>
                  </a:ext>
                </a:extLst>
              </xdr:cNvPr>
              <xdr:cNvCxnSpPr/>
            </xdr:nvCxnSpPr>
            <xdr:spPr>
              <a:xfrm rot="16200000" flipH="1">
                <a:off x="15901380" y="2481935"/>
                <a:ext cx="502073" cy="2136"/>
              </a:xfrm>
              <a:prstGeom prst="curvedConnector3">
                <a:avLst>
                  <a:gd name="adj1" fmla="val 58956"/>
                </a:avLst>
              </a:prstGeom>
              <a:noFill/>
              <a:ln w="9525" cap="flat" cmpd="sng">
                <a:solidFill>
                  <a:schemeClr val="accent1"/>
                </a:solidFill>
                <a:prstDash val="solid"/>
                <a:miter lim="800000"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0</xdr:col>
      <xdr:colOff>28575</xdr:colOff>
      <xdr:row>0</xdr:row>
      <xdr:rowOff>57150</xdr:rowOff>
    </xdr:from>
    <xdr:ext cx="2886075" cy="405327"/>
    <xdr:sp macro="" textlink="">
      <xdr:nvSpPr>
        <xdr:cNvPr id="12" name="Shape 3">
          <a:extLst>
            <a:ext uri="{FF2B5EF4-FFF2-40B4-BE49-F238E27FC236}">
              <a16:creationId xmlns:a16="http://schemas.microsoft.com/office/drawing/2014/main" id="{A913090F-FB63-4B2A-BAA8-507EEC13C8CA}"/>
            </a:ext>
          </a:extLst>
        </xdr:cNvPr>
        <xdr:cNvSpPr txBox="1"/>
      </xdr:nvSpPr>
      <xdr:spPr>
        <a:xfrm>
          <a:off x="28575" y="57150"/>
          <a:ext cx="2886075" cy="405327"/>
        </a:xfrm>
        <a:prstGeom prst="rect">
          <a:avLst/>
        </a:prstGeom>
        <a:gradFill>
          <a:gsLst>
            <a:gs pos="0">
              <a:srgbClr val="70A5DA"/>
            </a:gs>
            <a:gs pos="50000">
              <a:srgbClr val="539BDB"/>
            </a:gs>
            <a:gs pos="100000">
              <a:srgbClr val="4288C8"/>
            </a:gs>
          </a:gsLst>
          <a:lin ang="5400000" scaled="0"/>
        </a:gradFill>
        <a:ln w="9525" cap="flat" cmpd="sng">
          <a:solidFill>
            <a:schemeClr val="accent5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Se comparan los</a:t>
          </a:r>
          <a:r>
            <a:rPr lang="en-US" sz="1000" b="1" baseline="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valor absoluto de dos analistas para cada nivel de concentracion</a:t>
          </a:r>
          <a:r>
            <a:rPr lang="en-US" sz="1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.</a:t>
          </a:r>
          <a:endParaRPr sz="1000"/>
        </a:p>
      </xdr:txBody>
    </xdr:sp>
    <xdr:clientData fLocksWithSheet="0"/>
  </xdr:oneCellAnchor>
  <xdr:oneCellAnchor>
    <xdr:from>
      <xdr:col>6</xdr:col>
      <xdr:colOff>28575</xdr:colOff>
      <xdr:row>6</xdr:row>
      <xdr:rowOff>19050</xdr:rowOff>
    </xdr:from>
    <xdr:ext cx="1143000" cy="857250"/>
    <xdr:pic>
      <xdr:nvPicPr>
        <xdr:cNvPr id="13" name="image2.png">
          <a:extLst>
            <a:ext uri="{FF2B5EF4-FFF2-40B4-BE49-F238E27FC236}">
              <a16:creationId xmlns:a16="http://schemas.microsoft.com/office/drawing/2014/main" id="{9E50E868-2D50-4FCC-BACB-11464BA9A81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2990850" y="1495425"/>
          <a:ext cx="1143000" cy="8572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2</xdr:row>
      <xdr:rowOff>28575</xdr:rowOff>
    </xdr:from>
    <xdr:ext cx="885825" cy="523875"/>
    <xdr:pic>
      <xdr:nvPicPr>
        <xdr:cNvPr id="14" name="image8.png">
          <a:extLst>
            <a:ext uri="{FF2B5EF4-FFF2-40B4-BE49-F238E27FC236}">
              <a16:creationId xmlns:a16="http://schemas.microsoft.com/office/drawing/2014/main" id="{33713B5A-5256-4AFD-ACA2-0D44C9BE7011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000375" y="628650"/>
          <a:ext cx="885825" cy="523875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333375</xdr:colOff>
      <xdr:row>5</xdr:row>
      <xdr:rowOff>209550</xdr:rowOff>
    </xdr:from>
    <xdr:ext cx="266700" cy="219075"/>
    <xdr:pic>
      <xdr:nvPicPr>
        <xdr:cNvPr id="15" name="image3.png">
          <a:extLst>
            <a:ext uri="{FF2B5EF4-FFF2-40B4-BE49-F238E27FC236}">
              <a16:creationId xmlns:a16="http://schemas.microsoft.com/office/drawing/2014/main" id="{502FAF79-E32E-4201-B358-94DA2FC15A35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4819650" y="1466850"/>
          <a:ext cx="266700" cy="219075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352425</xdr:colOff>
      <xdr:row>7</xdr:row>
      <xdr:rowOff>19050</xdr:rowOff>
    </xdr:from>
    <xdr:ext cx="266700" cy="219075"/>
    <xdr:pic>
      <xdr:nvPicPr>
        <xdr:cNvPr id="16" name="image9.png">
          <a:extLst>
            <a:ext uri="{FF2B5EF4-FFF2-40B4-BE49-F238E27FC236}">
              <a16:creationId xmlns:a16="http://schemas.microsoft.com/office/drawing/2014/main" id="{CFAD162E-DF63-4F98-AB76-E37168A0F542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4838700" y="1714500"/>
          <a:ext cx="266700" cy="219075"/>
        </a:xfrm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57150</xdr:colOff>
      <xdr:row>6</xdr:row>
      <xdr:rowOff>9525</xdr:rowOff>
    </xdr:from>
    <xdr:ext cx="209550" cy="209550"/>
    <xdr:pic>
      <xdr:nvPicPr>
        <xdr:cNvPr id="17" name="image4.png">
          <a:extLst>
            <a:ext uri="{FF2B5EF4-FFF2-40B4-BE49-F238E27FC236}">
              <a16:creationId xmlns:a16="http://schemas.microsoft.com/office/drawing/2014/main" id="{339EF0A2-A5C0-4AAD-B474-6459E2A5F1B4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391400" y="1485900"/>
          <a:ext cx="209550" cy="209550"/>
        </a:xfrm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57150</xdr:colOff>
      <xdr:row>7</xdr:row>
      <xdr:rowOff>9525</xdr:rowOff>
    </xdr:from>
    <xdr:ext cx="161925" cy="209550"/>
    <xdr:pic>
      <xdr:nvPicPr>
        <xdr:cNvPr id="18" name="image7.png">
          <a:extLst>
            <a:ext uri="{FF2B5EF4-FFF2-40B4-BE49-F238E27FC236}">
              <a16:creationId xmlns:a16="http://schemas.microsoft.com/office/drawing/2014/main" id="{73C64508-B7A5-45F7-82D8-77A0FAE041C1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7391400" y="1704975"/>
          <a:ext cx="161925" cy="209550"/>
        </a:xfrm>
        <a:prstGeom prst="rect">
          <a:avLst/>
        </a:prstGeom>
        <a:noFill/>
      </xdr:spPr>
    </xdr:pic>
    <xdr:clientData fLocksWithSheet="0"/>
  </xdr:oneCellAnchor>
  <xdr:oneCellAnchor>
    <xdr:from>
      <xdr:col>12</xdr:col>
      <xdr:colOff>28575</xdr:colOff>
      <xdr:row>8</xdr:row>
      <xdr:rowOff>19050</xdr:rowOff>
    </xdr:from>
    <xdr:ext cx="180975" cy="228600"/>
    <xdr:pic>
      <xdr:nvPicPr>
        <xdr:cNvPr id="19" name="image5.png">
          <a:extLst>
            <a:ext uri="{FF2B5EF4-FFF2-40B4-BE49-F238E27FC236}">
              <a16:creationId xmlns:a16="http://schemas.microsoft.com/office/drawing/2014/main" id="{55A5390F-3B9D-4575-AEDA-8B4FB3442941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7362825" y="1933575"/>
          <a:ext cx="180975" cy="2286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219075</xdr:colOff>
      <xdr:row>14</xdr:row>
      <xdr:rowOff>142875</xdr:rowOff>
    </xdr:from>
    <xdr:ext cx="1133475" cy="295275"/>
    <xdr:pic>
      <xdr:nvPicPr>
        <xdr:cNvPr id="20" name="image6.png">
          <a:extLst>
            <a:ext uri="{FF2B5EF4-FFF2-40B4-BE49-F238E27FC236}">
              <a16:creationId xmlns:a16="http://schemas.microsoft.com/office/drawing/2014/main" id="{AE0243EE-E087-46D7-8A18-1F619F47F43B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3943350" y="3371850"/>
          <a:ext cx="1133475" cy="295275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390525</xdr:colOff>
      <xdr:row>3</xdr:row>
      <xdr:rowOff>57150</xdr:rowOff>
    </xdr:from>
    <xdr:ext cx="1733550" cy="352425"/>
    <xdr:pic>
      <xdr:nvPicPr>
        <xdr:cNvPr id="21" name="image1.png">
          <a:extLst>
            <a:ext uri="{FF2B5EF4-FFF2-40B4-BE49-F238E27FC236}">
              <a16:creationId xmlns:a16="http://schemas.microsoft.com/office/drawing/2014/main" id="{0971AE1F-EDB2-4606-9545-FE9A9082FD2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6962775" y="876300"/>
          <a:ext cx="1733550" cy="352425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1</xdr:col>
      <xdr:colOff>333375</xdr:colOff>
      <xdr:row>23</xdr:row>
      <xdr:rowOff>171450</xdr:rowOff>
    </xdr:from>
    <xdr:to>
      <xdr:col>2</xdr:col>
      <xdr:colOff>428510</xdr:colOff>
      <xdr:row>40</xdr:row>
      <xdr:rowOff>170984</xdr:rowOff>
    </xdr:to>
    <xdr:pic>
      <xdr:nvPicPr>
        <xdr:cNvPr id="23" name="Imagen 2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85800" y="5372100"/>
          <a:ext cx="923810" cy="3723809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438146</xdr:colOff>
      <xdr:row>11</xdr:row>
      <xdr:rowOff>28576</xdr:rowOff>
    </xdr:from>
    <xdr:ext cx="1828800" cy="1172523"/>
    <xdr:grpSp>
      <xdr:nvGrpSpPr>
        <xdr:cNvPr id="2" name="Shape 2">
          <a:extLst>
            <a:ext uri="{FF2B5EF4-FFF2-40B4-BE49-F238E27FC236}">
              <a16:creationId xmlns:a16="http://schemas.microsoft.com/office/drawing/2014/main" id="{7B60D88B-6B3D-4B9D-BC21-D8CD4B1AE788}"/>
            </a:ext>
          </a:extLst>
        </xdr:cNvPr>
        <xdr:cNvGrpSpPr/>
      </xdr:nvGrpSpPr>
      <xdr:grpSpPr>
        <a:xfrm>
          <a:off x="7010396" y="2600326"/>
          <a:ext cx="1828800" cy="1172523"/>
          <a:chOff x="4383970" y="3118013"/>
          <a:chExt cx="1924050" cy="1416997"/>
        </a:xfrm>
      </xdr:grpSpPr>
      <xdr:grpSp>
        <xdr:nvGrpSpPr>
          <xdr:cNvPr id="3" name="Shape 4">
            <a:extLst>
              <a:ext uri="{FF2B5EF4-FFF2-40B4-BE49-F238E27FC236}">
                <a16:creationId xmlns:a16="http://schemas.microsoft.com/office/drawing/2014/main" id="{0F1CAEFF-A720-48B3-923E-1028698B2EBD}"/>
              </a:ext>
            </a:extLst>
          </xdr:cNvPr>
          <xdr:cNvGrpSpPr/>
        </xdr:nvGrpSpPr>
        <xdr:grpSpPr>
          <a:xfrm>
            <a:off x="4383970" y="3118013"/>
            <a:ext cx="1924050" cy="1416997"/>
            <a:chOff x="14823281" y="2107407"/>
            <a:chExt cx="2690813" cy="1845020"/>
          </a:xfrm>
        </xdr:grpSpPr>
        <xdr:sp macro="" textlink="">
          <xdr:nvSpPr>
            <xdr:cNvPr id="4" name="Shape 5">
              <a:extLst>
                <a:ext uri="{FF2B5EF4-FFF2-40B4-BE49-F238E27FC236}">
                  <a16:creationId xmlns:a16="http://schemas.microsoft.com/office/drawing/2014/main" id="{B5A11416-D2FB-4680-832D-D8886DF4D10C}"/>
                </a:ext>
              </a:extLst>
            </xdr:cNvPr>
            <xdr:cNvSpPr/>
          </xdr:nvSpPr>
          <xdr:spPr>
            <a:xfrm>
              <a:off x="14823281" y="2107407"/>
              <a:ext cx="2690800" cy="17238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" name="Shape 6">
              <a:extLst>
                <a:ext uri="{FF2B5EF4-FFF2-40B4-BE49-F238E27FC236}">
                  <a16:creationId xmlns:a16="http://schemas.microsoft.com/office/drawing/2014/main" id="{E649EE12-889B-4D13-979D-23A42984EA2D}"/>
                </a:ext>
              </a:extLst>
            </xdr:cNvPr>
            <xdr:cNvSpPr txBox="1"/>
          </xdr:nvSpPr>
          <xdr:spPr>
            <a:xfrm>
              <a:off x="15257741" y="3462338"/>
              <a:ext cx="589479" cy="490089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400"/>
                <a:t> </a:t>
              </a:r>
              <a:endParaRPr sz="1000" b="1">
                <a:solidFill>
                  <a:schemeClr val="dk1"/>
                </a:solidFill>
              </a:endParaRPr>
            </a:p>
          </xdr:txBody>
        </xdr:sp>
        <xdr:grpSp>
          <xdr:nvGrpSpPr>
            <xdr:cNvPr id="6" name="Shape 7">
              <a:extLst>
                <a:ext uri="{FF2B5EF4-FFF2-40B4-BE49-F238E27FC236}">
                  <a16:creationId xmlns:a16="http://schemas.microsoft.com/office/drawing/2014/main" id="{C8EC8ACA-994D-4F16-BD86-D69245071106}"/>
                </a:ext>
              </a:extLst>
            </xdr:cNvPr>
            <xdr:cNvGrpSpPr/>
          </xdr:nvGrpSpPr>
          <xdr:grpSpPr>
            <a:xfrm>
              <a:off x="14823282" y="2107407"/>
              <a:ext cx="2690812" cy="1798566"/>
              <a:chOff x="14823282" y="2107407"/>
              <a:chExt cx="2690812" cy="1798566"/>
            </a:xfrm>
          </xdr:grpSpPr>
          <xdr:pic>
            <xdr:nvPicPr>
              <xdr:cNvPr id="7" name="Shape 8">
                <a:extLst>
                  <a:ext uri="{FF2B5EF4-FFF2-40B4-BE49-F238E27FC236}">
                    <a16:creationId xmlns:a16="http://schemas.microsoft.com/office/drawing/2014/main" id="{72A640F2-A9F2-4E18-814B-FDF4E08C87EA}"/>
                  </a:ext>
                </a:extLst>
              </xdr:cNvPr>
              <xdr:cNvPicPr preferRelativeResize="0"/>
            </xdr:nvPicPr>
            <xdr:blipFill rotWithShape="1">
              <a:blip xmlns:r="http://schemas.openxmlformats.org/officeDocument/2006/relationships" r:embed="rId1">
                <a:alphaModFix/>
              </a:blip>
              <a:srcRect/>
              <a:stretch/>
            </xdr:blipFill>
            <xdr:spPr>
              <a:xfrm>
                <a:off x="14823282" y="2107407"/>
                <a:ext cx="2690812" cy="1445786"/>
              </a:xfrm>
              <a:prstGeom prst="rect">
                <a:avLst/>
              </a:prstGeom>
              <a:noFill/>
              <a:ln>
                <a:noFill/>
              </a:ln>
            </xdr:spPr>
          </xdr:pic>
          <xdr:sp macro="" textlink="">
            <xdr:nvSpPr>
              <xdr:cNvPr id="8" name="Shape 9">
                <a:hlinkClick xmlns:r="http://schemas.openxmlformats.org/officeDocument/2006/relationships" r:id="rId2"/>
                <a:extLst>
                  <a:ext uri="{FF2B5EF4-FFF2-40B4-BE49-F238E27FC236}">
                    <a16:creationId xmlns:a16="http://schemas.microsoft.com/office/drawing/2014/main" id="{C3136E0B-003E-47FF-9913-71D5B1727C23}"/>
                  </a:ext>
                </a:extLst>
              </xdr:cNvPr>
              <xdr:cNvSpPr txBox="1"/>
            </xdr:nvSpPr>
            <xdr:spPr>
              <a:xfrm>
                <a:off x="16644936" y="3500439"/>
                <a:ext cx="660956" cy="405534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400">
                    <a:solidFill>
                      <a:srgbClr val="FF0000"/>
                    </a:solidFill>
                  </a:rPr>
                  <a:t> </a:t>
                </a:r>
                <a:endParaRPr sz="1000" b="1">
                  <a:solidFill>
                    <a:srgbClr val="FF0000"/>
                  </a:solidFill>
                </a:endParaRPr>
              </a:p>
            </xdr:txBody>
          </xdr:sp>
          <xdr:sp macro="" textlink="">
            <xdr:nvSpPr>
              <xdr:cNvPr id="9" name="Shape 10">
                <a:extLst>
                  <a:ext uri="{FF2B5EF4-FFF2-40B4-BE49-F238E27FC236}">
                    <a16:creationId xmlns:a16="http://schemas.microsoft.com/office/drawing/2014/main" id="{554F6B96-397E-43B1-A2DA-8746A55B111B}"/>
                  </a:ext>
                </a:extLst>
              </xdr:cNvPr>
              <xdr:cNvSpPr txBox="1"/>
            </xdr:nvSpPr>
            <xdr:spPr>
              <a:xfrm>
                <a:off x="15619844" y="2965092"/>
                <a:ext cx="1208117" cy="467833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900">
                    <a:solidFill>
                      <a:schemeClr val="dk1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Región de </a:t>
                </a:r>
                <a:endParaRPr sz="1400"/>
              </a:p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900">
                    <a:solidFill>
                      <a:schemeClr val="dk1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aceptación H</a:t>
                </a:r>
                <a:r>
                  <a:rPr lang="en-US" sz="900" baseline="-25000">
                    <a:solidFill>
                      <a:schemeClr val="dk1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0</a:t>
                </a:r>
                <a:endParaRPr sz="1400"/>
              </a:p>
            </xdr:txBody>
          </xdr:sp>
          <xdr:sp macro="" textlink="">
            <xdr:nvSpPr>
              <xdr:cNvPr id="10" name="Shape 11">
                <a:extLst>
                  <a:ext uri="{FF2B5EF4-FFF2-40B4-BE49-F238E27FC236}">
                    <a16:creationId xmlns:a16="http://schemas.microsoft.com/office/drawing/2014/main" id="{263677E0-F313-4C3F-9405-321CD58882D2}"/>
                  </a:ext>
                </a:extLst>
              </xdr:cNvPr>
              <xdr:cNvSpPr txBox="1"/>
            </xdr:nvSpPr>
            <xdr:spPr>
              <a:xfrm>
                <a:off x="14915414" y="2759814"/>
                <a:ext cx="1195644" cy="330868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400"/>
                  <a:t> </a:t>
                </a:r>
                <a:endParaRPr sz="1100" b="1">
                  <a:solidFill>
                    <a:srgbClr val="FF0000"/>
                  </a:solidFill>
                </a:endParaRPr>
              </a:p>
            </xdr:txBody>
          </xdr:sp>
          <xdr:cxnSp macro="">
            <xdr:nvCxnSpPr>
              <xdr:cNvPr id="11" name="Shape 12">
                <a:extLst>
                  <a:ext uri="{FF2B5EF4-FFF2-40B4-BE49-F238E27FC236}">
                    <a16:creationId xmlns:a16="http://schemas.microsoft.com/office/drawing/2014/main" id="{FEE99D3E-C2AD-49CD-9993-7F7DC1E2C86A}"/>
                  </a:ext>
                </a:extLst>
              </xdr:cNvPr>
              <xdr:cNvCxnSpPr/>
            </xdr:nvCxnSpPr>
            <xdr:spPr>
              <a:xfrm rot="16200000" flipH="1">
                <a:off x="16209704" y="2796685"/>
                <a:ext cx="502073" cy="2136"/>
              </a:xfrm>
              <a:prstGeom prst="curvedConnector3">
                <a:avLst>
                  <a:gd name="adj1" fmla="val 58956"/>
                </a:avLst>
              </a:prstGeom>
              <a:noFill/>
              <a:ln w="9525" cap="flat" cmpd="sng">
                <a:solidFill>
                  <a:schemeClr val="accent1"/>
                </a:solidFill>
                <a:prstDash val="solid"/>
                <a:miter lim="800000"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0</xdr:col>
      <xdr:colOff>28575</xdr:colOff>
      <xdr:row>0</xdr:row>
      <xdr:rowOff>57150</xdr:rowOff>
    </xdr:from>
    <xdr:ext cx="2886075" cy="405327"/>
    <xdr:sp macro="" textlink="">
      <xdr:nvSpPr>
        <xdr:cNvPr id="12" name="Shape 3">
          <a:extLst>
            <a:ext uri="{FF2B5EF4-FFF2-40B4-BE49-F238E27FC236}">
              <a16:creationId xmlns:a16="http://schemas.microsoft.com/office/drawing/2014/main" id="{6B8035AB-A581-4BF5-A698-60A4799360FE}"/>
            </a:ext>
          </a:extLst>
        </xdr:cNvPr>
        <xdr:cNvSpPr txBox="1"/>
      </xdr:nvSpPr>
      <xdr:spPr>
        <a:xfrm>
          <a:off x="28575" y="57150"/>
          <a:ext cx="2886075" cy="405327"/>
        </a:xfrm>
        <a:prstGeom prst="rect">
          <a:avLst/>
        </a:prstGeom>
        <a:gradFill>
          <a:gsLst>
            <a:gs pos="0">
              <a:srgbClr val="70A5DA"/>
            </a:gs>
            <a:gs pos="50000">
              <a:srgbClr val="539BDB"/>
            </a:gs>
            <a:gs pos="100000">
              <a:srgbClr val="4288C8"/>
            </a:gs>
          </a:gsLst>
          <a:lin ang="5400000" scaled="0"/>
        </a:gradFill>
        <a:ln w="9525" cap="flat" cmpd="sng">
          <a:solidFill>
            <a:schemeClr val="accent5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Se comparan los</a:t>
          </a:r>
          <a:r>
            <a:rPr lang="en-US" sz="1000" b="1" baseline="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valor absoluto de dos analistas para cada nivel de concentracion</a:t>
          </a:r>
          <a:r>
            <a:rPr lang="en-US" sz="1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.</a:t>
          </a:r>
          <a:endParaRPr sz="1000"/>
        </a:p>
      </xdr:txBody>
    </xdr:sp>
    <xdr:clientData fLocksWithSheet="0"/>
  </xdr:oneCellAnchor>
  <xdr:oneCellAnchor>
    <xdr:from>
      <xdr:col>6</xdr:col>
      <xdr:colOff>28575</xdr:colOff>
      <xdr:row>6</xdr:row>
      <xdr:rowOff>19050</xdr:rowOff>
    </xdr:from>
    <xdr:ext cx="1143000" cy="857250"/>
    <xdr:pic>
      <xdr:nvPicPr>
        <xdr:cNvPr id="13" name="image2.png">
          <a:extLst>
            <a:ext uri="{FF2B5EF4-FFF2-40B4-BE49-F238E27FC236}">
              <a16:creationId xmlns:a16="http://schemas.microsoft.com/office/drawing/2014/main" id="{F6374D50-3CEC-4980-8807-F71EC3774099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2990850" y="1495425"/>
          <a:ext cx="1143000" cy="8572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2</xdr:row>
      <xdr:rowOff>28575</xdr:rowOff>
    </xdr:from>
    <xdr:ext cx="885825" cy="523875"/>
    <xdr:pic>
      <xdr:nvPicPr>
        <xdr:cNvPr id="14" name="image8.png">
          <a:extLst>
            <a:ext uri="{FF2B5EF4-FFF2-40B4-BE49-F238E27FC236}">
              <a16:creationId xmlns:a16="http://schemas.microsoft.com/office/drawing/2014/main" id="{91C9A8D5-A8BA-4B77-992A-702812FE1D5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000375" y="628650"/>
          <a:ext cx="885825" cy="523875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333375</xdr:colOff>
      <xdr:row>5</xdr:row>
      <xdr:rowOff>209550</xdr:rowOff>
    </xdr:from>
    <xdr:ext cx="266700" cy="219075"/>
    <xdr:pic>
      <xdr:nvPicPr>
        <xdr:cNvPr id="15" name="image3.png">
          <a:extLst>
            <a:ext uri="{FF2B5EF4-FFF2-40B4-BE49-F238E27FC236}">
              <a16:creationId xmlns:a16="http://schemas.microsoft.com/office/drawing/2014/main" id="{BD20A4D6-FD92-4E1F-8AC9-1A4DCBC6B54C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4819650" y="1466850"/>
          <a:ext cx="266700" cy="219075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352425</xdr:colOff>
      <xdr:row>7</xdr:row>
      <xdr:rowOff>19050</xdr:rowOff>
    </xdr:from>
    <xdr:ext cx="266700" cy="219075"/>
    <xdr:pic>
      <xdr:nvPicPr>
        <xdr:cNvPr id="16" name="image9.png">
          <a:extLst>
            <a:ext uri="{FF2B5EF4-FFF2-40B4-BE49-F238E27FC236}">
              <a16:creationId xmlns:a16="http://schemas.microsoft.com/office/drawing/2014/main" id="{BA4C9009-8552-4DE1-A3FE-AA5DA906061B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4838700" y="1714500"/>
          <a:ext cx="266700" cy="219075"/>
        </a:xfrm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57150</xdr:colOff>
      <xdr:row>6</xdr:row>
      <xdr:rowOff>9525</xdr:rowOff>
    </xdr:from>
    <xdr:ext cx="209550" cy="209550"/>
    <xdr:pic>
      <xdr:nvPicPr>
        <xdr:cNvPr id="17" name="image4.png">
          <a:extLst>
            <a:ext uri="{FF2B5EF4-FFF2-40B4-BE49-F238E27FC236}">
              <a16:creationId xmlns:a16="http://schemas.microsoft.com/office/drawing/2014/main" id="{80D8530D-479E-40B8-8D2D-C1BEB4ACB774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391400" y="1485900"/>
          <a:ext cx="209550" cy="209550"/>
        </a:xfrm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57150</xdr:colOff>
      <xdr:row>7</xdr:row>
      <xdr:rowOff>9525</xdr:rowOff>
    </xdr:from>
    <xdr:ext cx="161925" cy="209550"/>
    <xdr:pic>
      <xdr:nvPicPr>
        <xdr:cNvPr id="18" name="image7.png">
          <a:extLst>
            <a:ext uri="{FF2B5EF4-FFF2-40B4-BE49-F238E27FC236}">
              <a16:creationId xmlns:a16="http://schemas.microsoft.com/office/drawing/2014/main" id="{0CBA9E10-876C-4BF3-B06A-89A6C7350CE4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7391400" y="1704975"/>
          <a:ext cx="161925" cy="209550"/>
        </a:xfrm>
        <a:prstGeom prst="rect">
          <a:avLst/>
        </a:prstGeom>
        <a:noFill/>
      </xdr:spPr>
    </xdr:pic>
    <xdr:clientData fLocksWithSheet="0"/>
  </xdr:oneCellAnchor>
  <xdr:oneCellAnchor>
    <xdr:from>
      <xdr:col>12</xdr:col>
      <xdr:colOff>28575</xdr:colOff>
      <xdr:row>8</xdr:row>
      <xdr:rowOff>19050</xdr:rowOff>
    </xdr:from>
    <xdr:ext cx="180975" cy="228600"/>
    <xdr:pic>
      <xdr:nvPicPr>
        <xdr:cNvPr id="19" name="image5.png">
          <a:extLst>
            <a:ext uri="{FF2B5EF4-FFF2-40B4-BE49-F238E27FC236}">
              <a16:creationId xmlns:a16="http://schemas.microsoft.com/office/drawing/2014/main" id="{60BA1ECF-0BE6-4BF9-ABF0-94BA387C3DE8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7362825" y="1933575"/>
          <a:ext cx="180975" cy="2286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219075</xdr:colOff>
      <xdr:row>14</xdr:row>
      <xdr:rowOff>142875</xdr:rowOff>
    </xdr:from>
    <xdr:ext cx="1133475" cy="295275"/>
    <xdr:pic>
      <xdr:nvPicPr>
        <xdr:cNvPr id="20" name="image6.png">
          <a:extLst>
            <a:ext uri="{FF2B5EF4-FFF2-40B4-BE49-F238E27FC236}">
              <a16:creationId xmlns:a16="http://schemas.microsoft.com/office/drawing/2014/main" id="{6E84F9B0-B112-4449-B716-1BA30DB4E769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3943350" y="3371850"/>
          <a:ext cx="1133475" cy="295275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390525</xdr:colOff>
      <xdr:row>3</xdr:row>
      <xdr:rowOff>57150</xdr:rowOff>
    </xdr:from>
    <xdr:ext cx="1733550" cy="352425"/>
    <xdr:pic>
      <xdr:nvPicPr>
        <xdr:cNvPr id="21" name="image1.png">
          <a:extLst>
            <a:ext uri="{FF2B5EF4-FFF2-40B4-BE49-F238E27FC236}">
              <a16:creationId xmlns:a16="http://schemas.microsoft.com/office/drawing/2014/main" id="{6958BA2D-9C9A-4E56-9D3B-2220527CCAFF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6962775" y="876300"/>
          <a:ext cx="1733550" cy="352425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1</xdr:col>
      <xdr:colOff>285750</xdr:colOff>
      <xdr:row>23</xdr:row>
      <xdr:rowOff>123825</xdr:rowOff>
    </xdr:from>
    <xdr:to>
      <xdr:col>2</xdr:col>
      <xdr:colOff>485646</xdr:colOff>
      <xdr:row>40</xdr:row>
      <xdr:rowOff>104312</xdr:rowOff>
    </xdr:to>
    <xdr:pic>
      <xdr:nvPicPr>
        <xdr:cNvPr id="23" name="Imagen 2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38175" y="5324475"/>
          <a:ext cx="1028571" cy="3704762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438146</xdr:colOff>
      <xdr:row>11</xdr:row>
      <xdr:rowOff>28576</xdr:rowOff>
    </xdr:from>
    <xdr:ext cx="1828800" cy="1172523"/>
    <xdr:grpSp>
      <xdr:nvGrpSpPr>
        <xdr:cNvPr id="2" name="Shape 2">
          <a:extLst>
            <a:ext uri="{FF2B5EF4-FFF2-40B4-BE49-F238E27FC236}">
              <a16:creationId xmlns:a16="http://schemas.microsoft.com/office/drawing/2014/main" id="{7B60D88B-6B3D-4B9D-BC21-D8CD4B1AE788}"/>
            </a:ext>
          </a:extLst>
        </xdr:cNvPr>
        <xdr:cNvGrpSpPr/>
      </xdr:nvGrpSpPr>
      <xdr:grpSpPr>
        <a:xfrm>
          <a:off x="7010396" y="2600326"/>
          <a:ext cx="1828800" cy="1172523"/>
          <a:chOff x="4383970" y="3118013"/>
          <a:chExt cx="1924050" cy="1416997"/>
        </a:xfrm>
      </xdr:grpSpPr>
      <xdr:grpSp>
        <xdr:nvGrpSpPr>
          <xdr:cNvPr id="3" name="Shape 4">
            <a:extLst>
              <a:ext uri="{FF2B5EF4-FFF2-40B4-BE49-F238E27FC236}">
                <a16:creationId xmlns:a16="http://schemas.microsoft.com/office/drawing/2014/main" id="{0F1CAEFF-A720-48B3-923E-1028698B2EBD}"/>
              </a:ext>
            </a:extLst>
          </xdr:cNvPr>
          <xdr:cNvGrpSpPr/>
        </xdr:nvGrpSpPr>
        <xdr:grpSpPr>
          <a:xfrm>
            <a:off x="4383970" y="3118013"/>
            <a:ext cx="1924050" cy="1416997"/>
            <a:chOff x="14823281" y="2107407"/>
            <a:chExt cx="2690813" cy="1845020"/>
          </a:xfrm>
        </xdr:grpSpPr>
        <xdr:sp macro="" textlink="">
          <xdr:nvSpPr>
            <xdr:cNvPr id="4" name="Shape 5">
              <a:extLst>
                <a:ext uri="{FF2B5EF4-FFF2-40B4-BE49-F238E27FC236}">
                  <a16:creationId xmlns:a16="http://schemas.microsoft.com/office/drawing/2014/main" id="{B5A11416-D2FB-4680-832D-D8886DF4D10C}"/>
                </a:ext>
              </a:extLst>
            </xdr:cNvPr>
            <xdr:cNvSpPr/>
          </xdr:nvSpPr>
          <xdr:spPr>
            <a:xfrm>
              <a:off x="14823281" y="2107407"/>
              <a:ext cx="2690800" cy="17238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" name="Shape 6">
              <a:extLst>
                <a:ext uri="{FF2B5EF4-FFF2-40B4-BE49-F238E27FC236}">
                  <a16:creationId xmlns:a16="http://schemas.microsoft.com/office/drawing/2014/main" id="{E649EE12-889B-4D13-979D-23A42984EA2D}"/>
                </a:ext>
              </a:extLst>
            </xdr:cNvPr>
            <xdr:cNvSpPr txBox="1"/>
          </xdr:nvSpPr>
          <xdr:spPr>
            <a:xfrm>
              <a:off x="15257741" y="3462338"/>
              <a:ext cx="589479" cy="490089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400"/>
                <a:t> </a:t>
              </a:r>
              <a:endParaRPr sz="1000" b="1">
                <a:solidFill>
                  <a:schemeClr val="dk1"/>
                </a:solidFill>
              </a:endParaRPr>
            </a:p>
          </xdr:txBody>
        </xdr:sp>
        <xdr:grpSp>
          <xdr:nvGrpSpPr>
            <xdr:cNvPr id="6" name="Shape 7">
              <a:extLst>
                <a:ext uri="{FF2B5EF4-FFF2-40B4-BE49-F238E27FC236}">
                  <a16:creationId xmlns:a16="http://schemas.microsoft.com/office/drawing/2014/main" id="{C8EC8ACA-994D-4F16-BD86-D69245071106}"/>
                </a:ext>
              </a:extLst>
            </xdr:cNvPr>
            <xdr:cNvGrpSpPr/>
          </xdr:nvGrpSpPr>
          <xdr:grpSpPr>
            <a:xfrm>
              <a:off x="14823282" y="2107407"/>
              <a:ext cx="2690812" cy="1798566"/>
              <a:chOff x="14823282" y="2107407"/>
              <a:chExt cx="2690812" cy="1798566"/>
            </a:xfrm>
          </xdr:grpSpPr>
          <xdr:pic>
            <xdr:nvPicPr>
              <xdr:cNvPr id="7" name="Shape 8">
                <a:extLst>
                  <a:ext uri="{FF2B5EF4-FFF2-40B4-BE49-F238E27FC236}">
                    <a16:creationId xmlns:a16="http://schemas.microsoft.com/office/drawing/2014/main" id="{72A640F2-A9F2-4E18-814B-FDF4E08C87EA}"/>
                  </a:ext>
                </a:extLst>
              </xdr:cNvPr>
              <xdr:cNvPicPr preferRelativeResize="0"/>
            </xdr:nvPicPr>
            <xdr:blipFill rotWithShape="1">
              <a:blip xmlns:r="http://schemas.openxmlformats.org/officeDocument/2006/relationships" r:embed="rId1">
                <a:alphaModFix/>
              </a:blip>
              <a:srcRect/>
              <a:stretch/>
            </xdr:blipFill>
            <xdr:spPr>
              <a:xfrm>
                <a:off x="14823282" y="2107407"/>
                <a:ext cx="2690812" cy="1445786"/>
              </a:xfrm>
              <a:prstGeom prst="rect">
                <a:avLst/>
              </a:prstGeom>
              <a:noFill/>
              <a:ln>
                <a:noFill/>
              </a:ln>
            </xdr:spPr>
          </xdr:pic>
          <xdr:sp macro="" textlink="">
            <xdr:nvSpPr>
              <xdr:cNvPr id="8" name="Shape 9">
                <a:hlinkClick xmlns:r="http://schemas.openxmlformats.org/officeDocument/2006/relationships" r:id="rId2"/>
                <a:extLst>
                  <a:ext uri="{FF2B5EF4-FFF2-40B4-BE49-F238E27FC236}">
                    <a16:creationId xmlns:a16="http://schemas.microsoft.com/office/drawing/2014/main" id="{C3136E0B-003E-47FF-9913-71D5B1727C23}"/>
                  </a:ext>
                </a:extLst>
              </xdr:cNvPr>
              <xdr:cNvSpPr txBox="1"/>
            </xdr:nvSpPr>
            <xdr:spPr>
              <a:xfrm>
                <a:off x="16644936" y="3500439"/>
                <a:ext cx="660956" cy="405534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400">
                    <a:solidFill>
                      <a:srgbClr val="FF0000"/>
                    </a:solidFill>
                  </a:rPr>
                  <a:t> </a:t>
                </a:r>
                <a:endParaRPr sz="1000" b="1">
                  <a:solidFill>
                    <a:srgbClr val="FF0000"/>
                  </a:solidFill>
                </a:endParaRPr>
              </a:p>
            </xdr:txBody>
          </xdr:sp>
          <xdr:sp macro="" textlink="">
            <xdr:nvSpPr>
              <xdr:cNvPr id="9" name="Shape 10">
                <a:extLst>
                  <a:ext uri="{FF2B5EF4-FFF2-40B4-BE49-F238E27FC236}">
                    <a16:creationId xmlns:a16="http://schemas.microsoft.com/office/drawing/2014/main" id="{554F6B96-397E-43B1-A2DA-8746A55B111B}"/>
                  </a:ext>
                </a:extLst>
              </xdr:cNvPr>
              <xdr:cNvSpPr txBox="1"/>
            </xdr:nvSpPr>
            <xdr:spPr>
              <a:xfrm>
                <a:off x="15619844" y="2965092"/>
                <a:ext cx="1208117" cy="467833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900">
                    <a:solidFill>
                      <a:schemeClr val="dk1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Región de </a:t>
                </a:r>
                <a:endParaRPr sz="1400"/>
              </a:p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900">
                    <a:solidFill>
                      <a:schemeClr val="dk1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aceptación H</a:t>
                </a:r>
                <a:r>
                  <a:rPr lang="en-US" sz="900" baseline="-25000">
                    <a:solidFill>
                      <a:schemeClr val="dk1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0</a:t>
                </a:r>
                <a:endParaRPr sz="1400"/>
              </a:p>
            </xdr:txBody>
          </xdr:sp>
          <xdr:sp macro="" textlink="">
            <xdr:nvSpPr>
              <xdr:cNvPr id="10" name="Shape 11">
                <a:extLst>
                  <a:ext uri="{FF2B5EF4-FFF2-40B4-BE49-F238E27FC236}">
                    <a16:creationId xmlns:a16="http://schemas.microsoft.com/office/drawing/2014/main" id="{263677E0-F313-4C3F-9405-321CD58882D2}"/>
                  </a:ext>
                </a:extLst>
              </xdr:cNvPr>
              <xdr:cNvSpPr txBox="1"/>
            </xdr:nvSpPr>
            <xdr:spPr>
              <a:xfrm>
                <a:off x="14915414" y="2759814"/>
                <a:ext cx="1195644" cy="330868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400"/>
                  <a:t> </a:t>
                </a:r>
                <a:endParaRPr sz="1100" b="1">
                  <a:solidFill>
                    <a:srgbClr val="FF0000"/>
                  </a:solidFill>
                </a:endParaRPr>
              </a:p>
            </xdr:txBody>
          </xdr:sp>
          <xdr:cxnSp macro="">
            <xdr:nvCxnSpPr>
              <xdr:cNvPr id="11" name="Shape 12">
                <a:extLst>
                  <a:ext uri="{FF2B5EF4-FFF2-40B4-BE49-F238E27FC236}">
                    <a16:creationId xmlns:a16="http://schemas.microsoft.com/office/drawing/2014/main" id="{FEE99D3E-C2AD-49CD-9993-7F7DC1E2C86A}"/>
                  </a:ext>
                </a:extLst>
              </xdr:cNvPr>
              <xdr:cNvCxnSpPr/>
            </xdr:nvCxnSpPr>
            <xdr:spPr>
              <a:xfrm rot="16200000" flipH="1">
                <a:off x="15943424" y="2481935"/>
                <a:ext cx="502073" cy="2136"/>
              </a:xfrm>
              <a:prstGeom prst="curvedConnector3">
                <a:avLst>
                  <a:gd name="adj1" fmla="val 58956"/>
                </a:avLst>
              </a:prstGeom>
              <a:noFill/>
              <a:ln w="9525" cap="flat" cmpd="sng">
                <a:solidFill>
                  <a:schemeClr val="accent1"/>
                </a:solidFill>
                <a:prstDash val="solid"/>
                <a:miter lim="800000"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0</xdr:col>
      <xdr:colOff>28575</xdr:colOff>
      <xdr:row>0</xdr:row>
      <xdr:rowOff>57150</xdr:rowOff>
    </xdr:from>
    <xdr:ext cx="2886075" cy="405327"/>
    <xdr:sp macro="" textlink="">
      <xdr:nvSpPr>
        <xdr:cNvPr id="12" name="Shape 3">
          <a:extLst>
            <a:ext uri="{FF2B5EF4-FFF2-40B4-BE49-F238E27FC236}">
              <a16:creationId xmlns:a16="http://schemas.microsoft.com/office/drawing/2014/main" id="{6B8035AB-A581-4BF5-A698-60A4799360FE}"/>
            </a:ext>
          </a:extLst>
        </xdr:cNvPr>
        <xdr:cNvSpPr txBox="1"/>
      </xdr:nvSpPr>
      <xdr:spPr>
        <a:xfrm>
          <a:off x="28575" y="57150"/>
          <a:ext cx="2886075" cy="405327"/>
        </a:xfrm>
        <a:prstGeom prst="rect">
          <a:avLst/>
        </a:prstGeom>
        <a:gradFill>
          <a:gsLst>
            <a:gs pos="0">
              <a:srgbClr val="70A5DA"/>
            </a:gs>
            <a:gs pos="50000">
              <a:srgbClr val="539BDB"/>
            </a:gs>
            <a:gs pos="100000">
              <a:srgbClr val="4288C8"/>
            </a:gs>
          </a:gsLst>
          <a:lin ang="5400000" scaled="0"/>
        </a:gradFill>
        <a:ln w="9525" cap="flat" cmpd="sng">
          <a:solidFill>
            <a:schemeClr val="accent5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Se comparan los</a:t>
          </a:r>
          <a:r>
            <a:rPr lang="en-US" sz="1000" b="1" baseline="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valor absoluto de dos analistas para cada nivel de concentracion</a:t>
          </a:r>
          <a:r>
            <a:rPr lang="en-US" sz="1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.</a:t>
          </a:r>
          <a:endParaRPr sz="1000"/>
        </a:p>
      </xdr:txBody>
    </xdr:sp>
    <xdr:clientData fLocksWithSheet="0"/>
  </xdr:oneCellAnchor>
  <xdr:oneCellAnchor>
    <xdr:from>
      <xdr:col>6</xdr:col>
      <xdr:colOff>28575</xdr:colOff>
      <xdr:row>6</xdr:row>
      <xdr:rowOff>19050</xdr:rowOff>
    </xdr:from>
    <xdr:ext cx="1143000" cy="857250"/>
    <xdr:pic>
      <xdr:nvPicPr>
        <xdr:cNvPr id="13" name="image2.png">
          <a:extLst>
            <a:ext uri="{FF2B5EF4-FFF2-40B4-BE49-F238E27FC236}">
              <a16:creationId xmlns:a16="http://schemas.microsoft.com/office/drawing/2014/main" id="{F6374D50-3CEC-4980-8807-F71EC3774099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2990850" y="1495425"/>
          <a:ext cx="1143000" cy="8572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2</xdr:row>
      <xdr:rowOff>28575</xdr:rowOff>
    </xdr:from>
    <xdr:ext cx="885825" cy="523875"/>
    <xdr:pic>
      <xdr:nvPicPr>
        <xdr:cNvPr id="14" name="image8.png">
          <a:extLst>
            <a:ext uri="{FF2B5EF4-FFF2-40B4-BE49-F238E27FC236}">
              <a16:creationId xmlns:a16="http://schemas.microsoft.com/office/drawing/2014/main" id="{91C9A8D5-A8BA-4B77-992A-702812FE1D5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000375" y="628650"/>
          <a:ext cx="885825" cy="523875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333375</xdr:colOff>
      <xdr:row>5</xdr:row>
      <xdr:rowOff>209550</xdr:rowOff>
    </xdr:from>
    <xdr:ext cx="266700" cy="219075"/>
    <xdr:pic>
      <xdr:nvPicPr>
        <xdr:cNvPr id="15" name="image3.png">
          <a:extLst>
            <a:ext uri="{FF2B5EF4-FFF2-40B4-BE49-F238E27FC236}">
              <a16:creationId xmlns:a16="http://schemas.microsoft.com/office/drawing/2014/main" id="{BD20A4D6-FD92-4E1F-8AC9-1A4DCBC6B54C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4819650" y="1466850"/>
          <a:ext cx="266700" cy="219075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352425</xdr:colOff>
      <xdr:row>7</xdr:row>
      <xdr:rowOff>19050</xdr:rowOff>
    </xdr:from>
    <xdr:ext cx="266700" cy="219075"/>
    <xdr:pic>
      <xdr:nvPicPr>
        <xdr:cNvPr id="16" name="image9.png">
          <a:extLst>
            <a:ext uri="{FF2B5EF4-FFF2-40B4-BE49-F238E27FC236}">
              <a16:creationId xmlns:a16="http://schemas.microsoft.com/office/drawing/2014/main" id="{BA4C9009-8552-4DE1-A3FE-AA5DA906061B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4838700" y="1714500"/>
          <a:ext cx="266700" cy="219075"/>
        </a:xfrm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57150</xdr:colOff>
      <xdr:row>6</xdr:row>
      <xdr:rowOff>9525</xdr:rowOff>
    </xdr:from>
    <xdr:ext cx="209550" cy="209550"/>
    <xdr:pic>
      <xdr:nvPicPr>
        <xdr:cNvPr id="17" name="image4.png">
          <a:extLst>
            <a:ext uri="{FF2B5EF4-FFF2-40B4-BE49-F238E27FC236}">
              <a16:creationId xmlns:a16="http://schemas.microsoft.com/office/drawing/2014/main" id="{80D8530D-479E-40B8-8D2D-C1BEB4ACB774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391400" y="1485900"/>
          <a:ext cx="209550" cy="209550"/>
        </a:xfrm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57150</xdr:colOff>
      <xdr:row>7</xdr:row>
      <xdr:rowOff>9525</xdr:rowOff>
    </xdr:from>
    <xdr:ext cx="161925" cy="209550"/>
    <xdr:pic>
      <xdr:nvPicPr>
        <xdr:cNvPr id="18" name="image7.png">
          <a:extLst>
            <a:ext uri="{FF2B5EF4-FFF2-40B4-BE49-F238E27FC236}">
              <a16:creationId xmlns:a16="http://schemas.microsoft.com/office/drawing/2014/main" id="{0CBA9E10-876C-4BF3-B06A-89A6C7350CE4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7391400" y="1704975"/>
          <a:ext cx="161925" cy="209550"/>
        </a:xfrm>
        <a:prstGeom prst="rect">
          <a:avLst/>
        </a:prstGeom>
        <a:noFill/>
      </xdr:spPr>
    </xdr:pic>
    <xdr:clientData fLocksWithSheet="0"/>
  </xdr:oneCellAnchor>
  <xdr:oneCellAnchor>
    <xdr:from>
      <xdr:col>12</xdr:col>
      <xdr:colOff>28575</xdr:colOff>
      <xdr:row>8</xdr:row>
      <xdr:rowOff>19050</xdr:rowOff>
    </xdr:from>
    <xdr:ext cx="180975" cy="228600"/>
    <xdr:pic>
      <xdr:nvPicPr>
        <xdr:cNvPr id="19" name="image5.png">
          <a:extLst>
            <a:ext uri="{FF2B5EF4-FFF2-40B4-BE49-F238E27FC236}">
              <a16:creationId xmlns:a16="http://schemas.microsoft.com/office/drawing/2014/main" id="{60BA1ECF-0BE6-4BF9-ABF0-94BA387C3DE8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7362825" y="1933575"/>
          <a:ext cx="180975" cy="2286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219075</xdr:colOff>
      <xdr:row>14</xdr:row>
      <xdr:rowOff>142875</xdr:rowOff>
    </xdr:from>
    <xdr:ext cx="1133475" cy="295275"/>
    <xdr:pic>
      <xdr:nvPicPr>
        <xdr:cNvPr id="20" name="image6.png">
          <a:extLst>
            <a:ext uri="{FF2B5EF4-FFF2-40B4-BE49-F238E27FC236}">
              <a16:creationId xmlns:a16="http://schemas.microsoft.com/office/drawing/2014/main" id="{6E84F9B0-B112-4449-B716-1BA30DB4E769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3943350" y="3371850"/>
          <a:ext cx="1133475" cy="295275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390525</xdr:colOff>
      <xdr:row>3</xdr:row>
      <xdr:rowOff>57150</xdr:rowOff>
    </xdr:from>
    <xdr:ext cx="1733550" cy="352425"/>
    <xdr:pic>
      <xdr:nvPicPr>
        <xdr:cNvPr id="21" name="image1.png">
          <a:extLst>
            <a:ext uri="{FF2B5EF4-FFF2-40B4-BE49-F238E27FC236}">
              <a16:creationId xmlns:a16="http://schemas.microsoft.com/office/drawing/2014/main" id="{6958BA2D-9C9A-4E56-9D3B-2220527CCAFF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6962775" y="876300"/>
          <a:ext cx="1733550" cy="352425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1</xdr:col>
      <xdr:colOff>219075</xdr:colOff>
      <xdr:row>23</xdr:row>
      <xdr:rowOff>190500</xdr:rowOff>
    </xdr:from>
    <xdr:to>
      <xdr:col>2</xdr:col>
      <xdr:colOff>495162</xdr:colOff>
      <xdr:row>40</xdr:row>
      <xdr:rowOff>209082</xdr:rowOff>
    </xdr:to>
    <xdr:pic>
      <xdr:nvPicPr>
        <xdr:cNvPr id="22" name="Imagen 21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71500" y="5391150"/>
          <a:ext cx="1104762" cy="3742857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438146</xdr:colOff>
      <xdr:row>11</xdr:row>
      <xdr:rowOff>28576</xdr:rowOff>
    </xdr:from>
    <xdr:ext cx="1828800" cy="1172523"/>
    <xdr:grpSp>
      <xdr:nvGrpSpPr>
        <xdr:cNvPr id="2" name="Shape 2">
          <a:extLst>
            <a:ext uri="{FF2B5EF4-FFF2-40B4-BE49-F238E27FC236}">
              <a16:creationId xmlns:a16="http://schemas.microsoft.com/office/drawing/2014/main" id="{7429EA0D-FE79-42AF-B28B-1BB12F74561E}"/>
            </a:ext>
          </a:extLst>
        </xdr:cNvPr>
        <xdr:cNvGrpSpPr/>
      </xdr:nvGrpSpPr>
      <xdr:grpSpPr>
        <a:xfrm>
          <a:off x="7010396" y="2600326"/>
          <a:ext cx="1828800" cy="1172523"/>
          <a:chOff x="4383970" y="3118013"/>
          <a:chExt cx="1924050" cy="1416997"/>
        </a:xfrm>
      </xdr:grpSpPr>
      <xdr:grpSp>
        <xdr:nvGrpSpPr>
          <xdr:cNvPr id="3" name="Shape 4">
            <a:extLst>
              <a:ext uri="{FF2B5EF4-FFF2-40B4-BE49-F238E27FC236}">
                <a16:creationId xmlns:a16="http://schemas.microsoft.com/office/drawing/2014/main" id="{03D2EEDC-DD53-47A6-B5A7-DEE2460D2CF8}"/>
              </a:ext>
            </a:extLst>
          </xdr:cNvPr>
          <xdr:cNvGrpSpPr/>
        </xdr:nvGrpSpPr>
        <xdr:grpSpPr>
          <a:xfrm>
            <a:off x="4383970" y="3118013"/>
            <a:ext cx="1924050" cy="1416997"/>
            <a:chOff x="14823281" y="2107407"/>
            <a:chExt cx="2690813" cy="1845020"/>
          </a:xfrm>
        </xdr:grpSpPr>
        <xdr:sp macro="" textlink="">
          <xdr:nvSpPr>
            <xdr:cNvPr id="4" name="Shape 5">
              <a:extLst>
                <a:ext uri="{FF2B5EF4-FFF2-40B4-BE49-F238E27FC236}">
                  <a16:creationId xmlns:a16="http://schemas.microsoft.com/office/drawing/2014/main" id="{EEF6907C-0CC2-4849-9845-75572290FF7D}"/>
                </a:ext>
              </a:extLst>
            </xdr:cNvPr>
            <xdr:cNvSpPr/>
          </xdr:nvSpPr>
          <xdr:spPr>
            <a:xfrm>
              <a:off x="14823281" y="2107407"/>
              <a:ext cx="2690800" cy="17238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" name="Shape 6">
              <a:extLst>
                <a:ext uri="{FF2B5EF4-FFF2-40B4-BE49-F238E27FC236}">
                  <a16:creationId xmlns:a16="http://schemas.microsoft.com/office/drawing/2014/main" id="{35CCA687-359D-4DCE-B79E-0F28CE24A2C3}"/>
                </a:ext>
              </a:extLst>
            </xdr:cNvPr>
            <xdr:cNvSpPr txBox="1"/>
          </xdr:nvSpPr>
          <xdr:spPr>
            <a:xfrm>
              <a:off x="15257741" y="3462338"/>
              <a:ext cx="589479" cy="490089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400"/>
                <a:t> </a:t>
              </a:r>
              <a:endParaRPr sz="1000" b="1">
                <a:solidFill>
                  <a:schemeClr val="dk1"/>
                </a:solidFill>
              </a:endParaRPr>
            </a:p>
          </xdr:txBody>
        </xdr:sp>
        <xdr:grpSp>
          <xdr:nvGrpSpPr>
            <xdr:cNvPr id="6" name="Shape 7">
              <a:extLst>
                <a:ext uri="{FF2B5EF4-FFF2-40B4-BE49-F238E27FC236}">
                  <a16:creationId xmlns:a16="http://schemas.microsoft.com/office/drawing/2014/main" id="{557FA7C1-0C8A-4B79-8A86-493C7C08B506}"/>
                </a:ext>
              </a:extLst>
            </xdr:cNvPr>
            <xdr:cNvGrpSpPr/>
          </xdr:nvGrpSpPr>
          <xdr:grpSpPr>
            <a:xfrm>
              <a:off x="14823282" y="2107407"/>
              <a:ext cx="2690812" cy="1798566"/>
              <a:chOff x="14823282" y="2107407"/>
              <a:chExt cx="2690812" cy="1798566"/>
            </a:xfrm>
          </xdr:grpSpPr>
          <xdr:pic>
            <xdr:nvPicPr>
              <xdr:cNvPr id="7" name="Shape 8">
                <a:extLst>
                  <a:ext uri="{FF2B5EF4-FFF2-40B4-BE49-F238E27FC236}">
                    <a16:creationId xmlns:a16="http://schemas.microsoft.com/office/drawing/2014/main" id="{D8D1F73E-55D1-4297-B321-F147F0BB15EB}"/>
                  </a:ext>
                </a:extLst>
              </xdr:cNvPr>
              <xdr:cNvPicPr preferRelativeResize="0"/>
            </xdr:nvPicPr>
            <xdr:blipFill rotWithShape="1">
              <a:blip xmlns:r="http://schemas.openxmlformats.org/officeDocument/2006/relationships" r:embed="rId1">
                <a:alphaModFix/>
              </a:blip>
              <a:srcRect/>
              <a:stretch/>
            </xdr:blipFill>
            <xdr:spPr>
              <a:xfrm>
                <a:off x="14823282" y="2107407"/>
                <a:ext cx="2690812" cy="1445786"/>
              </a:xfrm>
              <a:prstGeom prst="rect">
                <a:avLst/>
              </a:prstGeom>
              <a:noFill/>
              <a:ln>
                <a:noFill/>
              </a:ln>
            </xdr:spPr>
          </xdr:pic>
          <xdr:sp macro="" textlink="">
            <xdr:nvSpPr>
              <xdr:cNvPr id="8" name="Shape 9">
                <a:hlinkClick xmlns:r="http://schemas.openxmlformats.org/officeDocument/2006/relationships" r:id="rId2"/>
                <a:extLst>
                  <a:ext uri="{FF2B5EF4-FFF2-40B4-BE49-F238E27FC236}">
                    <a16:creationId xmlns:a16="http://schemas.microsoft.com/office/drawing/2014/main" id="{09145FF9-5E72-4828-8238-4F67C3EB0FB8}"/>
                  </a:ext>
                </a:extLst>
              </xdr:cNvPr>
              <xdr:cNvSpPr txBox="1"/>
            </xdr:nvSpPr>
            <xdr:spPr>
              <a:xfrm>
                <a:off x="16644936" y="3500439"/>
                <a:ext cx="660956" cy="405534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400">
                    <a:solidFill>
                      <a:srgbClr val="FF0000"/>
                    </a:solidFill>
                  </a:rPr>
                  <a:t> </a:t>
                </a:r>
                <a:endParaRPr sz="1000" b="1">
                  <a:solidFill>
                    <a:srgbClr val="FF0000"/>
                  </a:solidFill>
                </a:endParaRPr>
              </a:p>
            </xdr:txBody>
          </xdr:sp>
          <xdr:sp macro="" textlink="">
            <xdr:nvSpPr>
              <xdr:cNvPr id="9" name="Shape 10">
                <a:extLst>
                  <a:ext uri="{FF2B5EF4-FFF2-40B4-BE49-F238E27FC236}">
                    <a16:creationId xmlns:a16="http://schemas.microsoft.com/office/drawing/2014/main" id="{66AE090D-6EC3-4753-AABE-42630E023465}"/>
                  </a:ext>
                </a:extLst>
              </xdr:cNvPr>
              <xdr:cNvSpPr txBox="1"/>
            </xdr:nvSpPr>
            <xdr:spPr>
              <a:xfrm>
                <a:off x="15619844" y="2965092"/>
                <a:ext cx="1208117" cy="467833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900">
                    <a:solidFill>
                      <a:schemeClr val="dk1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Región de </a:t>
                </a:r>
                <a:endParaRPr sz="1400"/>
              </a:p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900">
                    <a:solidFill>
                      <a:schemeClr val="dk1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aceptación H</a:t>
                </a:r>
                <a:r>
                  <a:rPr lang="en-US" sz="900" baseline="-25000">
                    <a:solidFill>
                      <a:schemeClr val="dk1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0</a:t>
                </a:r>
                <a:endParaRPr sz="1400"/>
              </a:p>
            </xdr:txBody>
          </xdr:sp>
          <xdr:sp macro="" textlink="">
            <xdr:nvSpPr>
              <xdr:cNvPr id="10" name="Shape 11">
                <a:extLst>
                  <a:ext uri="{FF2B5EF4-FFF2-40B4-BE49-F238E27FC236}">
                    <a16:creationId xmlns:a16="http://schemas.microsoft.com/office/drawing/2014/main" id="{C49F40E8-3447-4677-8A15-981F41A41787}"/>
                  </a:ext>
                </a:extLst>
              </xdr:cNvPr>
              <xdr:cNvSpPr txBox="1"/>
            </xdr:nvSpPr>
            <xdr:spPr>
              <a:xfrm>
                <a:off x="14915414" y="2759814"/>
                <a:ext cx="1195644" cy="330868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400"/>
                  <a:t> </a:t>
                </a:r>
                <a:endParaRPr sz="1100" b="1">
                  <a:solidFill>
                    <a:srgbClr val="FF0000"/>
                  </a:solidFill>
                </a:endParaRPr>
              </a:p>
            </xdr:txBody>
          </xdr:sp>
          <xdr:cxnSp macro="">
            <xdr:nvCxnSpPr>
              <xdr:cNvPr id="11" name="Shape 12">
                <a:extLst>
                  <a:ext uri="{FF2B5EF4-FFF2-40B4-BE49-F238E27FC236}">
                    <a16:creationId xmlns:a16="http://schemas.microsoft.com/office/drawing/2014/main" id="{738049F5-6AA3-412C-9E51-D9E65D6CE3C6}"/>
                  </a:ext>
                </a:extLst>
              </xdr:cNvPr>
              <xdr:cNvCxnSpPr/>
            </xdr:nvCxnSpPr>
            <xdr:spPr>
              <a:xfrm rot="16200000" flipH="1">
                <a:off x="15929407" y="2511910"/>
                <a:ext cx="502073" cy="2136"/>
              </a:xfrm>
              <a:prstGeom prst="curvedConnector3">
                <a:avLst>
                  <a:gd name="adj1" fmla="val 58956"/>
                </a:avLst>
              </a:prstGeom>
              <a:noFill/>
              <a:ln w="9525" cap="flat" cmpd="sng">
                <a:solidFill>
                  <a:schemeClr val="accent1"/>
                </a:solidFill>
                <a:prstDash val="solid"/>
                <a:miter lim="800000"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0</xdr:col>
      <xdr:colOff>28575</xdr:colOff>
      <xdr:row>0</xdr:row>
      <xdr:rowOff>57150</xdr:rowOff>
    </xdr:from>
    <xdr:ext cx="2886075" cy="405327"/>
    <xdr:sp macro="" textlink="">
      <xdr:nvSpPr>
        <xdr:cNvPr id="12" name="Shape 3">
          <a:extLst>
            <a:ext uri="{FF2B5EF4-FFF2-40B4-BE49-F238E27FC236}">
              <a16:creationId xmlns:a16="http://schemas.microsoft.com/office/drawing/2014/main" id="{BE996E31-C479-4BE4-8920-FB4720B95103}"/>
            </a:ext>
          </a:extLst>
        </xdr:cNvPr>
        <xdr:cNvSpPr txBox="1"/>
      </xdr:nvSpPr>
      <xdr:spPr>
        <a:xfrm>
          <a:off x="28575" y="57150"/>
          <a:ext cx="2886075" cy="405327"/>
        </a:xfrm>
        <a:prstGeom prst="rect">
          <a:avLst/>
        </a:prstGeom>
        <a:gradFill>
          <a:gsLst>
            <a:gs pos="0">
              <a:srgbClr val="70A5DA"/>
            </a:gs>
            <a:gs pos="50000">
              <a:srgbClr val="539BDB"/>
            </a:gs>
            <a:gs pos="100000">
              <a:srgbClr val="4288C8"/>
            </a:gs>
          </a:gsLst>
          <a:lin ang="5400000" scaled="0"/>
        </a:gradFill>
        <a:ln w="9525" cap="flat" cmpd="sng">
          <a:solidFill>
            <a:schemeClr val="accent5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Se comparan los</a:t>
          </a:r>
          <a:r>
            <a:rPr lang="en-US" sz="1000" b="1" baseline="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valor absoluto de dos analistas para cada nivel de concentracion</a:t>
          </a:r>
          <a:r>
            <a:rPr lang="en-US" sz="1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.</a:t>
          </a:r>
          <a:endParaRPr sz="1000"/>
        </a:p>
      </xdr:txBody>
    </xdr:sp>
    <xdr:clientData fLocksWithSheet="0"/>
  </xdr:oneCellAnchor>
  <xdr:oneCellAnchor>
    <xdr:from>
      <xdr:col>6</xdr:col>
      <xdr:colOff>28575</xdr:colOff>
      <xdr:row>6</xdr:row>
      <xdr:rowOff>19050</xdr:rowOff>
    </xdr:from>
    <xdr:ext cx="1143000" cy="857250"/>
    <xdr:pic>
      <xdr:nvPicPr>
        <xdr:cNvPr id="13" name="image2.png">
          <a:extLst>
            <a:ext uri="{FF2B5EF4-FFF2-40B4-BE49-F238E27FC236}">
              <a16:creationId xmlns:a16="http://schemas.microsoft.com/office/drawing/2014/main" id="{63B2E154-F5D4-49D2-B7B2-FF14A6A6C103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2990850" y="1495425"/>
          <a:ext cx="1143000" cy="8572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2</xdr:row>
      <xdr:rowOff>28575</xdr:rowOff>
    </xdr:from>
    <xdr:ext cx="885825" cy="523875"/>
    <xdr:pic>
      <xdr:nvPicPr>
        <xdr:cNvPr id="14" name="image8.png">
          <a:extLst>
            <a:ext uri="{FF2B5EF4-FFF2-40B4-BE49-F238E27FC236}">
              <a16:creationId xmlns:a16="http://schemas.microsoft.com/office/drawing/2014/main" id="{58C4F2A3-A5C9-4393-BF93-A2C9761B2CA9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000375" y="628650"/>
          <a:ext cx="885825" cy="523875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333375</xdr:colOff>
      <xdr:row>5</xdr:row>
      <xdr:rowOff>209550</xdr:rowOff>
    </xdr:from>
    <xdr:ext cx="266700" cy="219075"/>
    <xdr:pic>
      <xdr:nvPicPr>
        <xdr:cNvPr id="15" name="image3.png">
          <a:extLst>
            <a:ext uri="{FF2B5EF4-FFF2-40B4-BE49-F238E27FC236}">
              <a16:creationId xmlns:a16="http://schemas.microsoft.com/office/drawing/2014/main" id="{945AC0D3-325F-4E41-A65D-AA115076343C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4819650" y="1466850"/>
          <a:ext cx="266700" cy="219075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352425</xdr:colOff>
      <xdr:row>7</xdr:row>
      <xdr:rowOff>19050</xdr:rowOff>
    </xdr:from>
    <xdr:ext cx="266700" cy="219075"/>
    <xdr:pic>
      <xdr:nvPicPr>
        <xdr:cNvPr id="16" name="image9.png">
          <a:extLst>
            <a:ext uri="{FF2B5EF4-FFF2-40B4-BE49-F238E27FC236}">
              <a16:creationId xmlns:a16="http://schemas.microsoft.com/office/drawing/2014/main" id="{70BCB866-ABE4-498F-BB23-5B67B0C9833B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4838700" y="1714500"/>
          <a:ext cx="266700" cy="219075"/>
        </a:xfrm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57150</xdr:colOff>
      <xdr:row>6</xdr:row>
      <xdr:rowOff>9525</xdr:rowOff>
    </xdr:from>
    <xdr:ext cx="209550" cy="209550"/>
    <xdr:pic>
      <xdr:nvPicPr>
        <xdr:cNvPr id="17" name="image4.png">
          <a:extLst>
            <a:ext uri="{FF2B5EF4-FFF2-40B4-BE49-F238E27FC236}">
              <a16:creationId xmlns:a16="http://schemas.microsoft.com/office/drawing/2014/main" id="{191175CE-F49A-4321-A13D-7985D232E372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391400" y="1485900"/>
          <a:ext cx="209550" cy="209550"/>
        </a:xfrm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57150</xdr:colOff>
      <xdr:row>7</xdr:row>
      <xdr:rowOff>9525</xdr:rowOff>
    </xdr:from>
    <xdr:ext cx="161925" cy="209550"/>
    <xdr:pic>
      <xdr:nvPicPr>
        <xdr:cNvPr id="18" name="image7.png">
          <a:extLst>
            <a:ext uri="{FF2B5EF4-FFF2-40B4-BE49-F238E27FC236}">
              <a16:creationId xmlns:a16="http://schemas.microsoft.com/office/drawing/2014/main" id="{0C7B3DF4-2552-437F-AEDA-7FD43CF9133E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7391400" y="1704975"/>
          <a:ext cx="161925" cy="209550"/>
        </a:xfrm>
        <a:prstGeom prst="rect">
          <a:avLst/>
        </a:prstGeom>
        <a:noFill/>
      </xdr:spPr>
    </xdr:pic>
    <xdr:clientData fLocksWithSheet="0"/>
  </xdr:oneCellAnchor>
  <xdr:oneCellAnchor>
    <xdr:from>
      <xdr:col>12</xdr:col>
      <xdr:colOff>28575</xdr:colOff>
      <xdr:row>8</xdr:row>
      <xdr:rowOff>19050</xdr:rowOff>
    </xdr:from>
    <xdr:ext cx="180975" cy="228600"/>
    <xdr:pic>
      <xdr:nvPicPr>
        <xdr:cNvPr id="19" name="image5.png">
          <a:extLst>
            <a:ext uri="{FF2B5EF4-FFF2-40B4-BE49-F238E27FC236}">
              <a16:creationId xmlns:a16="http://schemas.microsoft.com/office/drawing/2014/main" id="{AC01654D-394F-4557-9424-E06C1C726765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7362825" y="1933575"/>
          <a:ext cx="180975" cy="2286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219075</xdr:colOff>
      <xdr:row>14</xdr:row>
      <xdr:rowOff>142875</xdr:rowOff>
    </xdr:from>
    <xdr:ext cx="1133475" cy="295275"/>
    <xdr:pic>
      <xdr:nvPicPr>
        <xdr:cNvPr id="20" name="image6.png">
          <a:extLst>
            <a:ext uri="{FF2B5EF4-FFF2-40B4-BE49-F238E27FC236}">
              <a16:creationId xmlns:a16="http://schemas.microsoft.com/office/drawing/2014/main" id="{DB2A6223-1643-428C-8F4E-E16845E88B41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3943350" y="3371850"/>
          <a:ext cx="1133475" cy="295275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390525</xdr:colOff>
      <xdr:row>3</xdr:row>
      <xdr:rowOff>57150</xdr:rowOff>
    </xdr:from>
    <xdr:ext cx="1733550" cy="352425"/>
    <xdr:pic>
      <xdr:nvPicPr>
        <xdr:cNvPr id="21" name="image1.png">
          <a:extLst>
            <a:ext uri="{FF2B5EF4-FFF2-40B4-BE49-F238E27FC236}">
              <a16:creationId xmlns:a16="http://schemas.microsoft.com/office/drawing/2014/main" id="{F3DC74C7-D817-40A2-BBE3-A3C38870056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6962775" y="876300"/>
          <a:ext cx="1733550" cy="352425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1</xdr:col>
      <xdr:colOff>352425</xdr:colOff>
      <xdr:row>23</xdr:row>
      <xdr:rowOff>142875</xdr:rowOff>
    </xdr:from>
    <xdr:to>
      <xdr:col>2</xdr:col>
      <xdr:colOff>571369</xdr:colOff>
      <xdr:row>40</xdr:row>
      <xdr:rowOff>142409</xdr:rowOff>
    </xdr:to>
    <xdr:pic>
      <xdr:nvPicPr>
        <xdr:cNvPr id="22" name="Imagen 21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04850" y="5343525"/>
          <a:ext cx="1047619" cy="3723809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438146</xdr:colOff>
      <xdr:row>11</xdr:row>
      <xdr:rowOff>28576</xdr:rowOff>
    </xdr:from>
    <xdr:ext cx="1828800" cy="1172523"/>
    <xdr:grpSp>
      <xdr:nvGrpSpPr>
        <xdr:cNvPr id="2" name="Shape 2">
          <a:extLst>
            <a:ext uri="{FF2B5EF4-FFF2-40B4-BE49-F238E27FC236}">
              <a16:creationId xmlns:a16="http://schemas.microsoft.com/office/drawing/2014/main" id="{3217A866-75A0-4361-A591-D4951443AEA4}"/>
            </a:ext>
          </a:extLst>
        </xdr:cNvPr>
        <xdr:cNvGrpSpPr/>
      </xdr:nvGrpSpPr>
      <xdr:grpSpPr>
        <a:xfrm>
          <a:off x="7010396" y="2600326"/>
          <a:ext cx="1828800" cy="1172523"/>
          <a:chOff x="4383970" y="3118013"/>
          <a:chExt cx="1924050" cy="1416997"/>
        </a:xfrm>
      </xdr:grpSpPr>
      <xdr:grpSp>
        <xdr:nvGrpSpPr>
          <xdr:cNvPr id="3" name="Shape 4">
            <a:extLst>
              <a:ext uri="{FF2B5EF4-FFF2-40B4-BE49-F238E27FC236}">
                <a16:creationId xmlns:a16="http://schemas.microsoft.com/office/drawing/2014/main" id="{F61BDC24-05C3-4B2B-9FD0-EC5D81AB8AF5}"/>
              </a:ext>
            </a:extLst>
          </xdr:cNvPr>
          <xdr:cNvGrpSpPr/>
        </xdr:nvGrpSpPr>
        <xdr:grpSpPr>
          <a:xfrm>
            <a:off x="4383970" y="3118013"/>
            <a:ext cx="1924050" cy="1416997"/>
            <a:chOff x="14823281" y="2107407"/>
            <a:chExt cx="2690813" cy="1845020"/>
          </a:xfrm>
        </xdr:grpSpPr>
        <xdr:sp macro="" textlink="">
          <xdr:nvSpPr>
            <xdr:cNvPr id="4" name="Shape 5">
              <a:extLst>
                <a:ext uri="{FF2B5EF4-FFF2-40B4-BE49-F238E27FC236}">
                  <a16:creationId xmlns:a16="http://schemas.microsoft.com/office/drawing/2014/main" id="{3E8F222F-06D3-44E9-A540-47645387FEEB}"/>
                </a:ext>
              </a:extLst>
            </xdr:cNvPr>
            <xdr:cNvSpPr/>
          </xdr:nvSpPr>
          <xdr:spPr>
            <a:xfrm>
              <a:off x="14823281" y="2107407"/>
              <a:ext cx="2690800" cy="17238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" name="Shape 6">
              <a:extLst>
                <a:ext uri="{FF2B5EF4-FFF2-40B4-BE49-F238E27FC236}">
                  <a16:creationId xmlns:a16="http://schemas.microsoft.com/office/drawing/2014/main" id="{0B1FBA5E-936A-4A8C-B668-6C5A1CF0E1A7}"/>
                </a:ext>
              </a:extLst>
            </xdr:cNvPr>
            <xdr:cNvSpPr txBox="1"/>
          </xdr:nvSpPr>
          <xdr:spPr>
            <a:xfrm>
              <a:off x="15257741" y="3462338"/>
              <a:ext cx="589479" cy="490089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400"/>
                <a:t> </a:t>
              </a:r>
              <a:endParaRPr sz="1000" b="1">
                <a:solidFill>
                  <a:schemeClr val="dk1"/>
                </a:solidFill>
              </a:endParaRPr>
            </a:p>
          </xdr:txBody>
        </xdr:sp>
        <xdr:grpSp>
          <xdr:nvGrpSpPr>
            <xdr:cNvPr id="6" name="Shape 7">
              <a:extLst>
                <a:ext uri="{FF2B5EF4-FFF2-40B4-BE49-F238E27FC236}">
                  <a16:creationId xmlns:a16="http://schemas.microsoft.com/office/drawing/2014/main" id="{1A2B592D-BB0B-405E-8190-3B5B727497E0}"/>
                </a:ext>
              </a:extLst>
            </xdr:cNvPr>
            <xdr:cNvGrpSpPr/>
          </xdr:nvGrpSpPr>
          <xdr:grpSpPr>
            <a:xfrm>
              <a:off x="14823282" y="2107407"/>
              <a:ext cx="2690812" cy="1798566"/>
              <a:chOff x="14823282" y="2107407"/>
              <a:chExt cx="2690812" cy="1798566"/>
            </a:xfrm>
          </xdr:grpSpPr>
          <xdr:pic>
            <xdr:nvPicPr>
              <xdr:cNvPr id="7" name="Shape 8">
                <a:extLst>
                  <a:ext uri="{FF2B5EF4-FFF2-40B4-BE49-F238E27FC236}">
                    <a16:creationId xmlns:a16="http://schemas.microsoft.com/office/drawing/2014/main" id="{2C2CD27C-4806-4DE8-8800-933DCF2F5237}"/>
                  </a:ext>
                </a:extLst>
              </xdr:cNvPr>
              <xdr:cNvPicPr preferRelativeResize="0"/>
            </xdr:nvPicPr>
            <xdr:blipFill rotWithShape="1">
              <a:blip xmlns:r="http://schemas.openxmlformats.org/officeDocument/2006/relationships" r:embed="rId1">
                <a:alphaModFix/>
              </a:blip>
              <a:srcRect/>
              <a:stretch/>
            </xdr:blipFill>
            <xdr:spPr>
              <a:xfrm>
                <a:off x="14823282" y="2107407"/>
                <a:ext cx="2690812" cy="1445786"/>
              </a:xfrm>
              <a:prstGeom prst="rect">
                <a:avLst/>
              </a:prstGeom>
              <a:noFill/>
              <a:ln>
                <a:noFill/>
              </a:ln>
            </xdr:spPr>
          </xdr:pic>
          <xdr:sp macro="" textlink="">
            <xdr:nvSpPr>
              <xdr:cNvPr id="8" name="Shape 9">
                <a:hlinkClick xmlns:r="http://schemas.openxmlformats.org/officeDocument/2006/relationships" r:id="rId2"/>
                <a:extLst>
                  <a:ext uri="{FF2B5EF4-FFF2-40B4-BE49-F238E27FC236}">
                    <a16:creationId xmlns:a16="http://schemas.microsoft.com/office/drawing/2014/main" id="{7F94512E-ED80-42BD-92C8-063F098632D8}"/>
                  </a:ext>
                </a:extLst>
              </xdr:cNvPr>
              <xdr:cNvSpPr txBox="1"/>
            </xdr:nvSpPr>
            <xdr:spPr>
              <a:xfrm>
                <a:off x="16644936" y="3500439"/>
                <a:ext cx="660956" cy="405534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400">
                    <a:solidFill>
                      <a:srgbClr val="FF0000"/>
                    </a:solidFill>
                  </a:rPr>
                  <a:t> </a:t>
                </a:r>
                <a:endParaRPr sz="1000" b="1">
                  <a:solidFill>
                    <a:srgbClr val="FF0000"/>
                  </a:solidFill>
                </a:endParaRPr>
              </a:p>
            </xdr:txBody>
          </xdr:sp>
          <xdr:sp macro="" textlink="">
            <xdr:nvSpPr>
              <xdr:cNvPr id="9" name="Shape 10">
                <a:extLst>
                  <a:ext uri="{FF2B5EF4-FFF2-40B4-BE49-F238E27FC236}">
                    <a16:creationId xmlns:a16="http://schemas.microsoft.com/office/drawing/2014/main" id="{CA160159-C9A2-4C46-9188-1569C7498476}"/>
                  </a:ext>
                </a:extLst>
              </xdr:cNvPr>
              <xdr:cNvSpPr txBox="1"/>
            </xdr:nvSpPr>
            <xdr:spPr>
              <a:xfrm>
                <a:off x="15619844" y="2965092"/>
                <a:ext cx="1208117" cy="467833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900">
                    <a:solidFill>
                      <a:schemeClr val="dk1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Región de </a:t>
                </a:r>
                <a:endParaRPr sz="1400"/>
              </a:p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900">
                    <a:solidFill>
                      <a:schemeClr val="dk1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aceptación H</a:t>
                </a:r>
                <a:r>
                  <a:rPr lang="en-US" sz="900" baseline="-25000">
                    <a:solidFill>
                      <a:schemeClr val="dk1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0</a:t>
                </a:r>
                <a:endParaRPr sz="1400"/>
              </a:p>
            </xdr:txBody>
          </xdr:sp>
          <xdr:sp macro="" textlink="">
            <xdr:nvSpPr>
              <xdr:cNvPr id="10" name="Shape 11">
                <a:extLst>
                  <a:ext uri="{FF2B5EF4-FFF2-40B4-BE49-F238E27FC236}">
                    <a16:creationId xmlns:a16="http://schemas.microsoft.com/office/drawing/2014/main" id="{26E607D6-95B6-48DD-ADC3-2DAEBCCA7C6C}"/>
                  </a:ext>
                </a:extLst>
              </xdr:cNvPr>
              <xdr:cNvSpPr txBox="1"/>
            </xdr:nvSpPr>
            <xdr:spPr>
              <a:xfrm>
                <a:off x="14915414" y="2759814"/>
                <a:ext cx="1195644" cy="330868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400"/>
                  <a:t> </a:t>
                </a:r>
                <a:endParaRPr sz="1100" b="1">
                  <a:solidFill>
                    <a:srgbClr val="FF0000"/>
                  </a:solidFill>
                </a:endParaRPr>
              </a:p>
            </xdr:txBody>
          </xdr:sp>
          <xdr:cxnSp macro="">
            <xdr:nvCxnSpPr>
              <xdr:cNvPr id="11" name="Shape 12">
                <a:extLst>
                  <a:ext uri="{FF2B5EF4-FFF2-40B4-BE49-F238E27FC236}">
                    <a16:creationId xmlns:a16="http://schemas.microsoft.com/office/drawing/2014/main" id="{6100F883-E2E1-4246-AF06-AB255FDE639F}"/>
                  </a:ext>
                </a:extLst>
              </xdr:cNvPr>
              <xdr:cNvCxnSpPr/>
            </xdr:nvCxnSpPr>
            <xdr:spPr>
              <a:xfrm rot="16200000" flipH="1">
                <a:off x="15971454" y="2526901"/>
                <a:ext cx="502073" cy="2136"/>
              </a:xfrm>
              <a:prstGeom prst="curvedConnector3">
                <a:avLst>
                  <a:gd name="adj1" fmla="val 58956"/>
                </a:avLst>
              </a:prstGeom>
              <a:noFill/>
              <a:ln w="9525" cap="flat" cmpd="sng">
                <a:solidFill>
                  <a:schemeClr val="accent1"/>
                </a:solidFill>
                <a:prstDash val="solid"/>
                <a:miter lim="800000"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0</xdr:col>
      <xdr:colOff>28575</xdr:colOff>
      <xdr:row>0</xdr:row>
      <xdr:rowOff>57150</xdr:rowOff>
    </xdr:from>
    <xdr:ext cx="2886075" cy="405327"/>
    <xdr:sp macro="" textlink="">
      <xdr:nvSpPr>
        <xdr:cNvPr id="12" name="Shape 3">
          <a:extLst>
            <a:ext uri="{FF2B5EF4-FFF2-40B4-BE49-F238E27FC236}">
              <a16:creationId xmlns:a16="http://schemas.microsoft.com/office/drawing/2014/main" id="{0BE88F2C-426C-47F9-B72D-64FA42E32CC5}"/>
            </a:ext>
          </a:extLst>
        </xdr:cNvPr>
        <xdr:cNvSpPr txBox="1"/>
      </xdr:nvSpPr>
      <xdr:spPr>
        <a:xfrm>
          <a:off x="28575" y="57150"/>
          <a:ext cx="2886075" cy="405327"/>
        </a:xfrm>
        <a:prstGeom prst="rect">
          <a:avLst/>
        </a:prstGeom>
        <a:gradFill>
          <a:gsLst>
            <a:gs pos="0">
              <a:srgbClr val="70A5DA"/>
            </a:gs>
            <a:gs pos="50000">
              <a:srgbClr val="539BDB"/>
            </a:gs>
            <a:gs pos="100000">
              <a:srgbClr val="4288C8"/>
            </a:gs>
          </a:gsLst>
          <a:lin ang="5400000" scaled="0"/>
        </a:gradFill>
        <a:ln w="9525" cap="flat" cmpd="sng">
          <a:solidFill>
            <a:schemeClr val="accent5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Se comparan los</a:t>
          </a:r>
          <a:r>
            <a:rPr lang="en-US" sz="1000" b="1" baseline="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valor absoluto de dos analistas para cada nivel de concentracion</a:t>
          </a:r>
          <a:r>
            <a:rPr lang="en-US" sz="1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.</a:t>
          </a:r>
          <a:endParaRPr sz="1000"/>
        </a:p>
      </xdr:txBody>
    </xdr:sp>
    <xdr:clientData fLocksWithSheet="0"/>
  </xdr:oneCellAnchor>
  <xdr:oneCellAnchor>
    <xdr:from>
      <xdr:col>6</xdr:col>
      <xdr:colOff>28575</xdr:colOff>
      <xdr:row>6</xdr:row>
      <xdr:rowOff>19050</xdr:rowOff>
    </xdr:from>
    <xdr:ext cx="1143000" cy="857250"/>
    <xdr:pic>
      <xdr:nvPicPr>
        <xdr:cNvPr id="13" name="image2.png">
          <a:extLst>
            <a:ext uri="{FF2B5EF4-FFF2-40B4-BE49-F238E27FC236}">
              <a16:creationId xmlns:a16="http://schemas.microsoft.com/office/drawing/2014/main" id="{C9BACB6B-DA1A-419D-8B9D-E2B863090D41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2990850" y="1495425"/>
          <a:ext cx="1143000" cy="8572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2</xdr:row>
      <xdr:rowOff>28575</xdr:rowOff>
    </xdr:from>
    <xdr:ext cx="885825" cy="523875"/>
    <xdr:pic>
      <xdr:nvPicPr>
        <xdr:cNvPr id="14" name="image8.png">
          <a:extLst>
            <a:ext uri="{FF2B5EF4-FFF2-40B4-BE49-F238E27FC236}">
              <a16:creationId xmlns:a16="http://schemas.microsoft.com/office/drawing/2014/main" id="{83BD43A4-E7DA-457B-9A4A-5B9F9EA606E3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000375" y="628650"/>
          <a:ext cx="885825" cy="523875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333375</xdr:colOff>
      <xdr:row>5</xdr:row>
      <xdr:rowOff>209550</xdr:rowOff>
    </xdr:from>
    <xdr:ext cx="266700" cy="219075"/>
    <xdr:pic>
      <xdr:nvPicPr>
        <xdr:cNvPr id="15" name="image3.png">
          <a:extLst>
            <a:ext uri="{FF2B5EF4-FFF2-40B4-BE49-F238E27FC236}">
              <a16:creationId xmlns:a16="http://schemas.microsoft.com/office/drawing/2014/main" id="{EA5CEB29-1671-4C6C-B438-C26886536A3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4819650" y="1466850"/>
          <a:ext cx="266700" cy="219075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352425</xdr:colOff>
      <xdr:row>7</xdr:row>
      <xdr:rowOff>19050</xdr:rowOff>
    </xdr:from>
    <xdr:ext cx="266700" cy="219075"/>
    <xdr:pic>
      <xdr:nvPicPr>
        <xdr:cNvPr id="16" name="image9.png">
          <a:extLst>
            <a:ext uri="{FF2B5EF4-FFF2-40B4-BE49-F238E27FC236}">
              <a16:creationId xmlns:a16="http://schemas.microsoft.com/office/drawing/2014/main" id="{CD502A41-B839-45A7-B0C6-24B6A8B819E9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4838700" y="1714500"/>
          <a:ext cx="266700" cy="219075"/>
        </a:xfrm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57150</xdr:colOff>
      <xdr:row>6</xdr:row>
      <xdr:rowOff>9525</xdr:rowOff>
    </xdr:from>
    <xdr:ext cx="209550" cy="209550"/>
    <xdr:pic>
      <xdr:nvPicPr>
        <xdr:cNvPr id="17" name="image4.png">
          <a:extLst>
            <a:ext uri="{FF2B5EF4-FFF2-40B4-BE49-F238E27FC236}">
              <a16:creationId xmlns:a16="http://schemas.microsoft.com/office/drawing/2014/main" id="{8052B7A6-CB0B-44EC-AE4D-B715FB9DD8C3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391400" y="1485900"/>
          <a:ext cx="209550" cy="209550"/>
        </a:xfrm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57150</xdr:colOff>
      <xdr:row>7</xdr:row>
      <xdr:rowOff>9525</xdr:rowOff>
    </xdr:from>
    <xdr:ext cx="161925" cy="209550"/>
    <xdr:pic>
      <xdr:nvPicPr>
        <xdr:cNvPr id="18" name="image7.png">
          <a:extLst>
            <a:ext uri="{FF2B5EF4-FFF2-40B4-BE49-F238E27FC236}">
              <a16:creationId xmlns:a16="http://schemas.microsoft.com/office/drawing/2014/main" id="{F39A7774-F9AE-4F0B-BA29-FDD81C68B50A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7391400" y="1704975"/>
          <a:ext cx="161925" cy="209550"/>
        </a:xfrm>
        <a:prstGeom prst="rect">
          <a:avLst/>
        </a:prstGeom>
        <a:noFill/>
      </xdr:spPr>
    </xdr:pic>
    <xdr:clientData fLocksWithSheet="0"/>
  </xdr:oneCellAnchor>
  <xdr:oneCellAnchor>
    <xdr:from>
      <xdr:col>12</xdr:col>
      <xdr:colOff>28575</xdr:colOff>
      <xdr:row>8</xdr:row>
      <xdr:rowOff>19050</xdr:rowOff>
    </xdr:from>
    <xdr:ext cx="180975" cy="228600"/>
    <xdr:pic>
      <xdr:nvPicPr>
        <xdr:cNvPr id="19" name="image5.png">
          <a:extLst>
            <a:ext uri="{FF2B5EF4-FFF2-40B4-BE49-F238E27FC236}">
              <a16:creationId xmlns:a16="http://schemas.microsoft.com/office/drawing/2014/main" id="{745C73ED-B2D4-4485-957C-ECC390591367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7362825" y="1933575"/>
          <a:ext cx="180975" cy="2286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219075</xdr:colOff>
      <xdr:row>14</xdr:row>
      <xdr:rowOff>142875</xdr:rowOff>
    </xdr:from>
    <xdr:ext cx="1133475" cy="295275"/>
    <xdr:pic>
      <xdr:nvPicPr>
        <xdr:cNvPr id="20" name="image6.png">
          <a:extLst>
            <a:ext uri="{FF2B5EF4-FFF2-40B4-BE49-F238E27FC236}">
              <a16:creationId xmlns:a16="http://schemas.microsoft.com/office/drawing/2014/main" id="{504A6E39-A15B-4B4E-9EC2-595F437540ED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3943350" y="3371850"/>
          <a:ext cx="1133475" cy="295275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390525</xdr:colOff>
      <xdr:row>3</xdr:row>
      <xdr:rowOff>57150</xdr:rowOff>
    </xdr:from>
    <xdr:ext cx="1733550" cy="352425"/>
    <xdr:pic>
      <xdr:nvPicPr>
        <xdr:cNvPr id="21" name="image1.png">
          <a:extLst>
            <a:ext uri="{FF2B5EF4-FFF2-40B4-BE49-F238E27FC236}">
              <a16:creationId xmlns:a16="http://schemas.microsoft.com/office/drawing/2014/main" id="{3B894EB7-BF0E-4F5F-843E-F5AAC667449C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6962775" y="876300"/>
          <a:ext cx="1733550" cy="352425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1</xdr:col>
      <xdr:colOff>323850</xdr:colOff>
      <xdr:row>23</xdr:row>
      <xdr:rowOff>38100</xdr:rowOff>
    </xdr:from>
    <xdr:to>
      <xdr:col>2</xdr:col>
      <xdr:colOff>514223</xdr:colOff>
      <xdr:row>40</xdr:row>
      <xdr:rowOff>123349</xdr:rowOff>
    </xdr:to>
    <xdr:pic>
      <xdr:nvPicPr>
        <xdr:cNvPr id="22" name="Imagen 21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76275" y="5238750"/>
          <a:ext cx="1019048" cy="3809524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869157</xdr:colOff>
      <xdr:row>38</xdr:row>
      <xdr:rowOff>63152</xdr:rowOff>
    </xdr:from>
    <xdr:to>
      <xdr:col>7</xdr:col>
      <xdr:colOff>369093</xdr:colOff>
      <xdr:row>51</xdr:row>
      <xdr:rowOff>30555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9157" y="6968777"/>
          <a:ext cx="6762749" cy="2598685"/>
        </a:xfrm>
        <a:prstGeom prst="rect">
          <a:avLst/>
        </a:prstGeom>
      </xdr:spPr>
    </xdr:pic>
    <xdr:clientData/>
  </xdr:twoCellAnchor>
  <xdr:twoCellAnchor editAs="oneCell">
    <xdr:from>
      <xdr:col>8</xdr:col>
      <xdr:colOff>797718</xdr:colOff>
      <xdr:row>38</xdr:row>
      <xdr:rowOff>135311</xdr:rowOff>
    </xdr:from>
    <xdr:to>
      <xdr:col>20</xdr:col>
      <xdr:colOff>503773</xdr:colOff>
      <xdr:row>51</xdr:row>
      <xdr:rowOff>32949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655843" y="7040936"/>
          <a:ext cx="6849805" cy="2528920"/>
        </a:xfrm>
        <a:prstGeom prst="rect">
          <a:avLst/>
        </a:prstGeom>
      </xdr:spPr>
    </xdr:pic>
    <xdr:clientData/>
  </xdr:twoCellAnchor>
  <xdr:twoCellAnchor editAs="oneCell">
    <xdr:from>
      <xdr:col>0</xdr:col>
      <xdr:colOff>598697</xdr:colOff>
      <xdr:row>23</xdr:row>
      <xdr:rowOff>59531</xdr:rowOff>
    </xdr:from>
    <xdr:to>
      <xdr:col>5</xdr:col>
      <xdr:colOff>698770</xdr:colOff>
      <xdr:row>35</xdr:row>
      <xdr:rowOff>9113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98697" y="5319448"/>
          <a:ext cx="6079656" cy="2362582"/>
        </a:xfrm>
        <a:prstGeom prst="rect">
          <a:avLst/>
        </a:prstGeom>
      </xdr:spPr>
    </xdr:pic>
    <xdr:clientData/>
  </xdr:twoCellAnchor>
  <xdr:twoCellAnchor editAs="oneCell">
    <xdr:from>
      <xdr:col>6</xdr:col>
      <xdr:colOff>500063</xdr:colOff>
      <xdr:row>23</xdr:row>
      <xdr:rowOff>64947</xdr:rowOff>
    </xdr:from>
    <xdr:to>
      <xdr:col>17</xdr:col>
      <xdr:colOff>320427</xdr:colOff>
      <xdr:row>35</xdr:row>
      <xdr:rowOff>163894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203282" y="3934478"/>
          <a:ext cx="6392614" cy="2527822"/>
        </a:xfrm>
        <a:prstGeom prst="rect">
          <a:avLst/>
        </a:prstGeom>
      </xdr:spPr>
    </xdr:pic>
    <xdr:clientData/>
  </xdr:twoCellAnchor>
  <xdr:twoCellAnchor editAs="oneCell">
    <xdr:from>
      <xdr:col>0</xdr:col>
      <xdr:colOff>904873</xdr:colOff>
      <xdr:row>52</xdr:row>
      <xdr:rowOff>46721</xdr:rowOff>
    </xdr:from>
    <xdr:to>
      <xdr:col>7</xdr:col>
      <xdr:colOff>243416</xdr:colOff>
      <xdr:row>63</xdr:row>
      <xdr:rowOff>73398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6F55FFD-17EC-4049-829D-75723902A5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04873" y="10132638"/>
          <a:ext cx="6598710" cy="2249177"/>
        </a:xfrm>
        <a:prstGeom prst="rect">
          <a:avLst/>
        </a:prstGeom>
      </xdr:spPr>
    </xdr:pic>
    <xdr:clientData/>
  </xdr:twoCellAnchor>
  <xdr:twoCellAnchor editAs="oneCell">
    <xdr:from>
      <xdr:col>9</xdr:col>
      <xdr:colOff>119984</xdr:colOff>
      <xdr:row>50</xdr:row>
      <xdr:rowOff>195391</xdr:rowOff>
    </xdr:from>
    <xdr:to>
      <xdr:col>20</xdr:col>
      <xdr:colOff>306917</xdr:colOff>
      <xdr:row>63</xdr:row>
      <xdr:rowOff>115975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EBB89A8-6236-4E08-8E73-CB1A54CEC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872401" y="9879141"/>
          <a:ext cx="6462849" cy="254525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C:/Program%20Files/Addinsoft/XLSTAT/XLSTAT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XLSTAT"/>
    </sheetNames>
    <definedNames>
      <definedName name="XLSTAT_PDFFisher"/>
    </definedNames>
    <sheetDataSet>
      <sheetData sheetId="0"/>
      <sheetData sheetId="1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hyperlink" Target="118-Interno-03_Level2-JGL\F-PSMT-01%20Certificado%20de%20Calibracion_G1-sn_59756-324%20PROBAR.xlsm" TargetMode="External"/><Relationship Id="rId3" Type="http://schemas.openxmlformats.org/officeDocument/2006/relationships/hyperlink" Target="166-Interno-11-Level2-TBH-RR\F-PSMT-01%20Certificado%20de%20Calibracion_G3-sn59756-324.xlsm" TargetMode="External"/><Relationship Id="rId7" Type="http://schemas.openxmlformats.org/officeDocument/2006/relationships/hyperlink" Target="116-Interno-01_Level2-TBH\F-PSMT-01%20Informe%20de%20Calibracion_G1-sn59756.xlsm" TargetMode="External"/><Relationship Id="rId2" Type="http://schemas.openxmlformats.org/officeDocument/2006/relationships/hyperlink" Target="143-Interno-10-Level2-JGL-RR\F-PSMT-01%20Certificado%20de%20Calibracion_G1-SN%2059756-324.xlsm" TargetMode="External"/><Relationship Id="rId1" Type="http://schemas.openxmlformats.org/officeDocument/2006/relationships/hyperlink" Target="142-Interno-06-Level2-TBH-RR\F-PSMT-01%20Certificado%20de%20Calibracion_G1-sn59756-324_RR.xlsm" TargetMode="External"/><Relationship Id="rId6" Type="http://schemas.openxmlformats.org/officeDocument/2006/relationships/hyperlink" Target="171-Interno-15-Level2-TBH\F-PSMT-01%20Certificado%20de%20Calibracion_G1-sn59756-324_TBH.xlsm" TargetMode="External"/><Relationship Id="rId11" Type="http://schemas.openxmlformats.org/officeDocument/2006/relationships/drawing" Target="../drawings/drawing12.xml"/><Relationship Id="rId5" Type="http://schemas.openxmlformats.org/officeDocument/2006/relationships/hyperlink" Target="173-Interno-16-Level2-JGL-RR\F-PSMT-01%20Certificado%20de%20Calibracion_G1-sn59756-324%20JGL.xlsm" TargetMode="External"/><Relationship Id="rId10" Type="http://schemas.openxmlformats.org/officeDocument/2006/relationships/printerSettings" Target="../printerSettings/printerSettings7.bin"/><Relationship Id="rId4" Type="http://schemas.openxmlformats.org/officeDocument/2006/relationships/hyperlink" Target="169-Interno-14-Level2-JGL-RR\F-PSMT-01%20Certificado%20de%20Calibracion_G2-sn59756-324.xlsm" TargetMode="External"/><Relationship Id="rId9" Type="http://schemas.openxmlformats.org/officeDocument/2006/relationships/hyperlink" Target="116-Interno-01_Level2-TBH\F-PSMT-01%20Informe%20de%20Calibracion_G1-sn59756.xls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98"/>
  <sheetViews>
    <sheetView showGridLines="0" workbookViewId="0">
      <selection activeCell="H25" sqref="H25"/>
    </sheetView>
  </sheetViews>
  <sheetFormatPr baseColWidth="10" defaultColWidth="14.42578125" defaultRowHeight="15" customHeight="1"/>
  <cols>
    <col min="1" max="1" width="5.28515625" style="46" customWidth="1"/>
    <col min="2" max="3" width="12.42578125" style="46" customWidth="1"/>
    <col min="4" max="4" width="6.140625" style="46" customWidth="1"/>
    <col min="5" max="5" width="4.85546875" style="46" customWidth="1"/>
    <col min="6" max="6" width="3.28515625" style="46" customWidth="1"/>
    <col min="7" max="10" width="11.42578125" style="46" customWidth="1"/>
    <col min="11" max="11" width="8.42578125" style="46" customWidth="1"/>
    <col min="12" max="12" width="11.42578125" style="46" customWidth="1"/>
    <col min="13" max="13" width="7" style="46" customWidth="1"/>
    <col min="14" max="14" width="13.85546875" style="46" customWidth="1"/>
    <col min="15" max="15" width="3.140625" style="46" customWidth="1"/>
    <col min="16" max="16" width="30.85546875" style="46" customWidth="1"/>
    <col min="17" max="16384" width="14.42578125" style="46"/>
  </cols>
  <sheetData>
    <row r="1" spans="1:18" ht="21.75" customHeight="1">
      <c r="A1" s="44"/>
      <c r="B1" s="44"/>
      <c r="C1" s="44"/>
      <c r="D1" s="45"/>
      <c r="E1" s="45"/>
      <c r="F1" s="45"/>
      <c r="G1" s="156" t="s">
        <v>68</v>
      </c>
      <c r="H1" s="157"/>
      <c r="I1" s="157"/>
      <c r="J1" s="157"/>
      <c r="K1" s="44"/>
      <c r="L1" s="44"/>
      <c r="M1" s="44"/>
      <c r="N1" s="44"/>
      <c r="O1" s="44"/>
    </row>
    <row r="2" spans="1:18" ht="25.5" customHeight="1">
      <c r="A2" s="44"/>
      <c r="B2" s="44"/>
      <c r="C2" s="44"/>
      <c r="D2" s="47"/>
      <c r="E2" s="47"/>
      <c r="F2" s="47"/>
      <c r="G2" s="157"/>
      <c r="H2" s="157"/>
      <c r="I2" s="157"/>
      <c r="J2" s="157"/>
      <c r="K2" s="44"/>
      <c r="L2" s="44"/>
      <c r="M2" s="44"/>
      <c r="N2" s="44"/>
      <c r="O2" s="44"/>
      <c r="P2" s="46" t="s">
        <v>56</v>
      </c>
    </row>
    <row r="3" spans="1:18" ht="17.25" customHeight="1" thickBot="1">
      <c r="A3" s="44"/>
      <c r="B3" s="44"/>
      <c r="C3" s="44"/>
      <c r="D3" s="48"/>
      <c r="E3" s="48"/>
      <c r="F3" s="48"/>
      <c r="G3" s="44"/>
      <c r="H3" s="44"/>
      <c r="I3" s="44"/>
      <c r="J3" s="44"/>
      <c r="K3" s="44"/>
      <c r="L3" s="44"/>
      <c r="M3" s="44"/>
      <c r="N3" s="44"/>
      <c r="O3" s="44"/>
    </row>
    <row r="4" spans="1:18" ht="17.25" customHeight="1">
      <c r="A4" s="44"/>
      <c r="B4" s="158" t="s">
        <v>85</v>
      </c>
      <c r="C4" s="159"/>
      <c r="D4" s="48"/>
      <c r="E4" s="48"/>
      <c r="F4" s="48"/>
      <c r="G4" s="44"/>
      <c r="H4" s="44"/>
      <c r="I4" s="44"/>
      <c r="J4" s="44"/>
      <c r="K4" s="44"/>
      <c r="L4" s="44"/>
      <c r="M4" s="44"/>
      <c r="N4" s="44"/>
      <c r="O4" s="44"/>
      <c r="P4" s="49"/>
      <c r="Q4" s="49" t="s">
        <v>69</v>
      </c>
      <c r="R4" s="49" t="s">
        <v>70</v>
      </c>
    </row>
    <row r="5" spans="1:18" ht="17.25" customHeight="1" thickBot="1">
      <c r="A5" s="50" t="s">
        <v>71</v>
      </c>
      <c r="B5" s="50" t="s">
        <v>69</v>
      </c>
      <c r="C5" s="50" t="s">
        <v>70</v>
      </c>
      <c r="D5" s="48"/>
      <c r="E5" s="48"/>
      <c r="F5" s="48"/>
      <c r="G5" s="44"/>
      <c r="H5" s="44"/>
      <c r="I5" s="44"/>
      <c r="J5" s="44"/>
      <c r="K5" s="44"/>
      <c r="L5" s="44"/>
      <c r="M5" s="44"/>
      <c r="N5" s="44"/>
      <c r="O5" s="44"/>
      <c r="P5" s="51" t="s">
        <v>57</v>
      </c>
      <c r="Q5" s="52">
        <v>0.44317958101850902</v>
      </c>
      <c r="R5" s="52">
        <v>0.28883252777777418</v>
      </c>
    </row>
    <row r="6" spans="1:18" ht="17.25" customHeight="1">
      <c r="A6" s="53">
        <v>1</v>
      </c>
      <c r="B6" s="38"/>
      <c r="C6" s="30"/>
      <c r="D6" s="48"/>
      <c r="E6" s="48"/>
      <c r="F6" s="48"/>
      <c r="G6" s="44" t="s">
        <v>72</v>
      </c>
      <c r="H6" s="44"/>
      <c r="I6" s="44"/>
      <c r="J6" s="44"/>
      <c r="K6" s="44"/>
      <c r="L6" s="44"/>
      <c r="M6" s="44"/>
      <c r="N6" s="44"/>
      <c r="O6" s="44"/>
      <c r="P6" s="51" t="s">
        <v>58</v>
      </c>
      <c r="Q6" s="54">
        <v>0.14537412548986117</v>
      </c>
      <c r="R6" s="54">
        <v>3.3513903219751534E-2</v>
      </c>
    </row>
    <row r="7" spans="1:18" ht="17.25" customHeight="1">
      <c r="A7" s="53">
        <v>2</v>
      </c>
      <c r="B7" s="39"/>
      <c r="C7" s="17"/>
      <c r="D7" s="48"/>
      <c r="E7" s="48"/>
      <c r="F7" s="48"/>
      <c r="G7" s="44"/>
      <c r="H7" s="44"/>
      <c r="I7" s="55" t="s">
        <v>73</v>
      </c>
      <c r="J7" s="56" t="e">
        <f>AVERAGE(B6:B23)</f>
        <v>#DIV/0!</v>
      </c>
      <c r="K7" s="57" t="s">
        <v>74</v>
      </c>
      <c r="L7" s="58">
        <f>COUNT(B6:B23)</f>
        <v>0</v>
      </c>
      <c r="M7" s="57" t="s">
        <v>73</v>
      </c>
      <c r="N7" s="59" t="e">
        <f>_xlfn.VAR.S(B6:B23)</f>
        <v>#DIV/0!</v>
      </c>
      <c r="O7" s="44"/>
      <c r="P7" s="51" t="s">
        <v>59</v>
      </c>
      <c r="Q7" s="51">
        <v>18</v>
      </c>
      <c r="R7" s="51">
        <v>18</v>
      </c>
    </row>
    <row r="8" spans="1:18" ht="17.25" customHeight="1">
      <c r="A8" s="53">
        <v>3</v>
      </c>
      <c r="B8" s="39"/>
      <c r="C8" s="17"/>
      <c r="D8" s="48"/>
      <c r="E8" s="48"/>
      <c r="F8" s="48"/>
      <c r="G8" s="44"/>
      <c r="H8" s="44"/>
      <c r="I8" s="60" t="s">
        <v>73</v>
      </c>
      <c r="J8" s="56" t="e">
        <f>AVERAGE(C6:C23)</f>
        <v>#DIV/0!</v>
      </c>
      <c r="K8" s="57" t="s">
        <v>75</v>
      </c>
      <c r="L8" s="58">
        <f>COUNT(C6:C23)</f>
        <v>0</v>
      </c>
      <c r="M8" s="57" t="s">
        <v>73</v>
      </c>
      <c r="N8" s="59" t="e">
        <f>_xlfn.VAR.S(C6:C23)</f>
        <v>#DIV/0!</v>
      </c>
      <c r="O8" s="44"/>
      <c r="P8" s="51" t="s">
        <v>60</v>
      </c>
      <c r="Q8" s="54">
        <v>8.9444014354806353E-2</v>
      </c>
      <c r="R8" s="51"/>
    </row>
    <row r="9" spans="1:18" ht="17.25" customHeight="1">
      <c r="A9" s="53">
        <v>4</v>
      </c>
      <c r="B9" s="39"/>
      <c r="C9" s="17"/>
      <c r="D9" s="48"/>
      <c r="E9" s="48"/>
      <c r="F9" s="48"/>
      <c r="G9" s="44"/>
      <c r="H9" s="44"/>
      <c r="I9" s="44"/>
      <c r="J9" s="44"/>
      <c r="K9" s="44"/>
      <c r="L9" s="44"/>
      <c r="M9" s="57" t="s">
        <v>73</v>
      </c>
      <c r="N9" s="59" t="e">
        <f>((L7-1)*N7+(L8-1)*N8)/(L7+L8-2)</f>
        <v>#DIV/0!</v>
      </c>
      <c r="O9" s="44"/>
      <c r="P9" s="51" t="s">
        <v>61</v>
      </c>
      <c r="Q9" s="51">
        <v>0</v>
      </c>
      <c r="R9" s="51"/>
    </row>
    <row r="10" spans="1:18" ht="17.25" customHeight="1">
      <c r="A10" s="53">
        <v>5</v>
      </c>
      <c r="B10" s="39"/>
      <c r="C10" s="17"/>
      <c r="D10" s="48"/>
      <c r="E10" s="48"/>
      <c r="F10" s="48"/>
      <c r="G10" s="44"/>
      <c r="H10" s="44"/>
      <c r="I10" s="57" t="s">
        <v>76</v>
      </c>
      <c r="J10" s="61" t="e">
        <f>(J7-J8)/SQRT(N7/L7+N8/L8)</f>
        <v>#DIV/0!</v>
      </c>
      <c r="K10" s="44"/>
      <c r="L10" s="44"/>
      <c r="M10" s="44"/>
      <c r="N10" s="44"/>
      <c r="O10" s="44"/>
      <c r="P10" s="51" t="s">
        <v>62</v>
      </c>
      <c r="Q10" s="51">
        <v>34</v>
      </c>
      <c r="R10" s="51"/>
    </row>
    <row r="11" spans="1:18" ht="17.25" customHeight="1" thickBot="1">
      <c r="A11" s="53">
        <v>6</v>
      </c>
      <c r="B11" s="40"/>
      <c r="C11" s="34"/>
      <c r="D11" s="48"/>
      <c r="E11" s="48"/>
      <c r="F11" s="48"/>
      <c r="G11" s="44"/>
      <c r="H11" s="44"/>
      <c r="I11" s="44"/>
      <c r="J11" s="44"/>
      <c r="K11" s="44"/>
      <c r="L11" s="44"/>
      <c r="M11" s="62"/>
      <c r="N11" s="44" t="e">
        <f>J10</f>
        <v>#DIV/0!</v>
      </c>
      <c r="O11" s="44"/>
      <c r="P11" s="51" t="s">
        <v>63</v>
      </c>
      <c r="Q11" s="81">
        <v>1.5482602214075776</v>
      </c>
      <c r="R11" s="51"/>
    </row>
    <row r="12" spans="1:18" ht="17.25" customHeight="1">
      <c r="A12" s="53">
        <v>1</v>
      </c>
      <c r="B12" s="38"/>
      <c r="C12" s="30"/>
      <c r="D12" s="48"/>
      <c r="E12" s="48"/>
      <c r="F12" s="48"/>
      <c r="G12" s="44"/>
      <c r="H12" s="44"/>
      <c r="I12" s="44"/>
      <c r="J12" s="44"/>
      <c r="K12" s="44"/>
      <c r="L12" s="44"/>
      <c r="M12" s="62"/>
      <c r="N12" s="44"/>
      <c r="O12" s="44"/>
      <c r="P12" s="51" t="s">
        <v>64</v>
      </c>
      <c r="Q12" s="51">
        <v>6.5409292048025119E-2</v>
      </c>
      <c r="R12" s="51"/>
    </row>
    <row r="13" spans="1:18" ht="17.25" customHeight="1">
      <c r="A13" s="53">
        <v>2</v>
      </c>
      <c r="B13" s="39"/>
      <c r="C13" s="17"/>
      <c r="D13" s="48"/>
      <c r="E13" s="48"/>
      <c r="F13" s="48"/>
      <c r="G13" s="63" t="s">
        <v>77</v>
      </c>
      <c r="H13" s="63"/>
      <c r="I13" s="64" t="s">
        <v>78</v>
      </c>
      <c r="J13" s="65">
        <f>L7+L8-2</f>
        <v>-2</v>
      </c>
      <c r="K13" s="44"/>
      <c r="L13" s="44"/>
      <c r="M13" s="62"/>
      <c r="N13" s="66"/>
      <c r="O13" s="44"/>
      <c r="P13" s="51" t="s">
        <v>65</v>
      </c>
      <c r="Q13" s="51">
        <v>1.6909242551868542</v>
      </c>
      <c r="R13" s="51"/>
    </row>
    <row r="14" spans="1:18" ht="17.25" customHeight="1">
      <c r="A14" s="53">
        <v>3</v>
      </c>
      <c r="B14" s="39"/>
      <c r="C14" s="17"/>
      <c r="D14" s="48"/>
      <c r="E14" s="48"/>
      <c r="F14" s="48"/>
      <c r="G14" s="63"/>
      <c r="H14" s="63"/>
      <c r="I14" s="80" t="s">
        <v>79</v>
      </c>
      <c r="J14" s="67"/>
      <c r="K14" s="68"/>
      <c r="L14" s="44"/>
      <c r="M14" s="44"/>
      <c r="N14" s="66"/>
      <c r="O14" s="44"/>
      <c r="P14" s="51" t="s">
        <v>66</v>
      </c>
      <c r="Q14" s="54">
        <v>0.13081858409605024</v>
      </c>
      <c r="R14" s="51"/>
    </row>
    <row r="15" spans="1:18" ht="17.25" customHeight="1" thickBot="1">
      <c r="A15" s="53">
        <v>4</v>
      </c>
      <c r="B15" s="39"/>
      <c r="C15" s="17"/>
      <c r="D15" s="48"/>
      <c r="E15" s="48"/>
      <c r="F15" s="48"/>
      <c r="G15" s="63"/>
      <c r="H15" s="63"/>
      <c r="I15" s="63"/>
      <c r="J15" s="63"/>
      <c r="K15" s="44"/>
      <c r="L15" s="44"/>
      <c r="M15" s="44"/>
      <c r="N15" s="44"/>
      <c r="O15" s="44"/>
      <c r="P15" s="69" t="s">
        <v>67</v>
      </c>
      <c r="Q15" s="70">
        <v>2.0322445093177191</v>
      </c>
      <c r="R15" s="69"/>
    </row>
    <row r="16" spans="1:18" ht="17.25" customHeight="1">
      <c r="A16" s="53">
        <v>5</v>
      </c>
      <c r="B16" s="39"/>
      <c r="C16" s="17"/>
      <c r="D16" s="48"/>
      <c r="E16" s="48"/>
      <c r="F16" s="48"/>
      <c r="G16" s="63"/>
      <c r="H16" s="63"/>
      <c r="I16" s="71" t="s">
        <v>73</v>
      </c>
      <c r="J16" s="72" t="e">
        <f>_xlfn.T.INV.2T(J14,J13)</f>
        <v>#NUM!</v>
      </c>
      <c r="K16" s="73"/>
      <c r="L16" s="62" t="e">
        <f>-J16</f>
        <v>#NUM!</v>
      </c>
      <c r="M16" s="44"/>
      <c r="N16" s="74" t="e">
        <f>J16</f>
        <v>#NUM!</v>
      </c>
      <c r="O16" s="44"/>
    </row>
    <row r="17" spans="1:15" ht="17.25" customHeight="1">
      <c r="A17" s="53">
        <v>6</v>
      </c>
      <c r="B17" s="82"/>
      <c r="C17" s="83"/>
      <c r="D17" s="48"/>
      <c r="E17" s="48"/>
      <c r="F17" s="48"/>
      <c r="G17" s="63"/>
      <c r="H17" s="63"/>
      <c r="I17" s="63" t="s">
        <v>80</v>
      </c>
      <c r="J17" s="72" t="e">
        <f>_xlfn.T.DIST.2T(J10,J13)</f>
        <v>#DIV/0!</v>
      </c>
      <c r="K17" s="44" t="s">
        <v>83</v>
      </c>
      <c r="L17" s="44"/>
      <c r="M17" s="44"/>
      <c r="N17" s="44"/>
      <c r="O17" s="44"/>
    </row>
    <row r="18" spans="1:15" ht="17.25" customHeight="1">
      <c r="A18" s="85"/>
      <c r="B18" s="84"/>
      <c r="C18" s="84"/>
      <c r="D18" s="48"/>
      <c r="E18" s="48"/>
      <c r="F18" s="48"/>
      <c r="G18" s="44"/>
      <c r="H18" s="75"/>
      <c r="I18" s="44"/>
      <c r="J18" s="44"/>
      <c r="K18" s="44"/>
      <c r="L18" s="44"/>
      <c r="M18" s="44"/>
      <c r="N18" s="44"/>
      <c r="O18" s="44"/>
    </row>
    <row r="19" spans="1:15" ht="17.25" customHeight="1">
      <c r="A19" s="85"/>
      <c r="B19" s="84"/>
      <c r="C19" s="84"/>
      <c r="D19" s="48"/>
      <c r="E19" s="48"/>
      <c r="F19" s="48"/>
      <c r="G19" s="57" t="s">
        <v>81</v>
      </c>
      <c r="H19" s="76" t="s">
        <v>82</v>
      </c>
      <c r="I19" s="44"/>
      <c r="J19" s="44"/>
      <c r="K19" s="44"/>
      <c r="L19" s="44"/>
      <c r="M19" s="44"/>
      <c r="N19" s="44"/>
      <c r="O19" s="44"/>
    </row>
    <row r="20" spans="1:15" ht="17.25" customHeight="1">
      <c r="A20" s="85"/>
      <c r="B20" s="84"/>
      <c r="C20" s="84"/>
      <c r="D20" s="48"/>
      <c r="E20" s="48"/>
      <c r="F20" s="48"/>
      <c r="G20" s="57"/>
      <c r="H20" s="44"/>
      <c r="I20" s="44"/>
      <c r="J20" s="44"/>
      <c r="K20" s="44"/>
      <c r="L20" s="44"/>
      <c r="M20" s="44"/>
      <c r="N20" s="44"/>
      <c r="O20" s="44"/>
    </row>
    <row r="21" spans="1:15" ht="17.25" customHeight="1">
      <c r="A21" s="85"/>
      <c r="B21" s="84"/>
      <c r="C21" s="84"/>
      <c r="D21" s="48"/>
      <c r="E21" s="48"/>
      <c r="F21" s="48"/>
      <c r="G21" s="77"/>
      <c r="H21" s="44"/>
      <c r="I21" s="44"/>
      <c r="J21" s="44"/>
      <c r="K21" s="44"/>
      <c r="L21" s="44"/>
      <c r="M21" s="44"/>
      <c r="N21" s="44"/>
      <c r="O21" s="44"/>
    </row>
    <row r="22" spans="1:15" ht="17.25" customHeight="1">
      <c r="A22" s="85"/>
      <c r="B22" s="84"/>
      <c r="C22" s="84"/>
      <c r="D22" s="48"/>
      <c r="E22" s="44"/>
      <c r="F22" s="48"/>
      <c r="G22" s="44"/>
      <c r="H22" s="44"/>
      <c r="I22" s="44"/>
      <c r="J22" s="44"/>
      <c r="K22" s="44"/>
      <c r="L22" s="44"/>
      <c r="M22" s="44"/>
      <c r="N22" s="44"/>
      <c r="O22" s="44"/>
    </row>
    <row r="23" spans="1:15" ht="17.25" customHeight="1">
      <c r="A23" s="85"/>
      <c r="B23" s="84"/>
      <c r="C23" s="84"/>
      <c r="D23" s="48"/>
      <c r="E23" s="44"/>
      <c r="F23" s="44"/>
      <c r="G23" s="44"/>
      <c r="H23" s="44"/>
      <c r="I23" s="78"/>
      <c r="J23" s="79"/>
      <c r="K23" s="44"/>
      <c r="L23" s="44"/>
      <c r="M23" s="44"/>
      <c r="N23" s="44"/>
      <c r="O23" s="44"/>
    </row>
    <row r="24" spans="1:15" ht="17.25" customHeight="1">
      <c r="A24" s="85"/>
      <c r="B24" s="85"/>
      <c r="C24" s="85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</row>
    <row r="25" spans="1:15" ht="17.25" customHeight="1">
      <c r="A25" s="44"/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</row>
    <row r="26" spans="1:15" ht="17.25" customHeight="1">
      <c r="A26" s="44"/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</row>
    <row r="27" spans="1:15" ht="17.25" customHeight="1">
      <c r="A27" s="44"/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</row>
    <row r="28" spans="1:15" ht="17.25" customHeight="1">
      <c r="A28" s="44"/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</row>
    <row r="29" spans="1:15" ht="17.25" customHeight="1">
      <c r="A29" s="44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</row>
    <row r="30" spans="1:15" ht="17.25" customHeight="1">
      <c r="A30" s="44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</row>
    <row r="31" spans="1:15" ht="17.25" customHeight="1">
      <c r="A31" s="44"/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</row>
    <row r="32" spans="1:15" ht="17.25" customHeight="1">
      <c r="A32" s="44"/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</row>
    <row r="33" spans="1:15" ht="17.25" customHeight="1">
      <c r="A33" s="44"/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</row>
    <row r="34" spans="1:15" ht="17.25" customHeight="1">
      <c r="A34" s="44"/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</row>
    <row r="35" spans="1:15" ht="17.25" customHeight="1">
      <c r="A35" s="44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</row>
    <row r="36" spans="1:15" ht="17.25" customHeight="1">
      <c r="A36" s="44"/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</row>
    <row r="37" spans="1:15" ht="17.25" customHeight="1">
      <c r="A37" s="44"/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</row>
    <row r="38" spans="1:15" ht="17.25" customHeight="1">
      <c r="A38" s="44"/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</row>
    <row r="39" spans="1:15" ht="17.25" customHeight="1">
      <c r="A39" s="44"/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</row>
    <row r="40" spans="1:15" ht="17.25" customHeight="1">
      <c r="A40" s="44"/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</row>
    <row r="41" spans="1:15" ht="17.25" customHeight="1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</row>
    <row r="42" spans="1:15" ht="17.25" customHeight="1">
      <c r="A42" s="44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</row>
    <row r="43" spans="1:15" ht="17.25" customHeight="1">
      <c r="A43" s="44"/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</row>
    <row r="44" spans="1:15" ht="17.25" customHeight="1">
      <c r="A44" s="44"/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</row>
    <row r="45" spans="1:15" ht="17.25" customHeight="1">
      <c r="A45" s="44"/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</row>
    <row r="46" spans="1:15" ht="17.25" customHeight="1">
      <c r="A46" s="44"/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</row>
    <row r="47" spans="1:15" ht="17.25" customHeight="1">
      <c r="A47" s="44"/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</row>
    <row r="48" spans="1:15" ht="17.25" customHeight="1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</row>
    <row r="49" spans="1:15" ht="17.25" customHeight="1">
      <c r="A49" s="44"/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</row>
    <row r="50" spans="1:15" ht="17.25" customHeight="1">
      <c r="A50" s="44"/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</row>
    <row r="51" spans="1:15" ht="17.25" customHeight="1">
      <c r="A51" s="44"/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</row>
    <row r="52" spans="1:15" ht="17.25" customHeight="1">
      <c r="A52" s="44"/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</row>
    <row r="53" spans="1:15" ht="17.25" customHeight="1">
      <c r="A53" s="44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</row>
    <row r="54" spans="1:15" ht="17.25" customHeight="1">
      <c r="A54" s="44"/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</row>
    <row r="55" spans="1:15" ht="17.25" customHeight="1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</row>
    <row r="56" spans="1:15" ht="17.25" customHeight="1">
      <c r="A56" s="44"/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</row>
    <row r="57" spans="1:15" ht="17.25" customHeight="1">
      <c r="A57" s="44"/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</row>
    <row r="58" spans="1:15" ht="17.25" customHeight="1">
      <c r="A58" s="44"/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</row>
    <row r="59" spans="1:15" ht="17.25" customHeight="1">
      <c r="A59" s="44"/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</row>
    <row r="60" spans="1:15" ht="17.25" customHeight="1">
      <c r="A60" s="44"/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</row>
    <row r="61" spans="1:15" ht="17.25" customHeight="1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</row>
    <row r="62" spans="1:15" ht="17.25" customHeight="1">
      <c r="A62" s="44"/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</row>
    <row r="63" spans="1:15" ht="17.25" customHeight="1">
      <c r="A63" s="44"/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</row>
    <row r="64" spans="1:15" ht="17.25" customHeight="1">
      <c r="A64" s="44"/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</row>
    <row r="65" spans="1:15" ht="17.25" customHeight="1">
      <c r="A65" s="44"/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</row>
    <row r="66" spans="1:15" ht="17.25" customHeight="1">
      <c r="A66" s="44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</row>
    <row r="67" spans="1:15" ht="17.25" customHeight="1">
      <c r="A67" s="44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</row>
    <row r="68" spans="1:15" ht="17.25" customHeight="1">
      <c r="A68" s="44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</row>
    <row r="69" spans="1:15" ht="17.25" customHeight="1">
      <c r="A69" s="44"/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</row>
    <row r="70" spans="1:15" ht="17.25" customHeight="1">
      <c r="A70" s="44"/>
      <c r="B70" s="44"/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</row>
    <row r="71" spans="1:15" ht="17.25" customHeight="1">
      <c r="A71" s="44"/>
      <c r="B71" s="44"/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</row>
    <row r="72" spans="1:15" ht="17.25" customHeight="1">
      <c r="A72" s="44"/>
      <c r="B72" s="44"/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</row>
    <row r="73" spans="1:15" ht="17.25" customHeight="1">
      <c r="A73" s="44"/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</row>
    <row r="74" spans="1:15" ht="17.25" customHeight="1">
      <c r="A74" s="44"/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</row>
    <row r="75" spans="1:15" ht="17.25" customHeight="1">
      <c r="A75" s="44"/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</row>
    <row r="76" spans="1:15" ht="17.25" customHeight="1">
      <c r="A76" s="44"/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</row>
    <row r="77" spans="1:15" ht="17.25" customHeight="1">
      <c r="A77" s="44"/>
      <c r="B77" s="44"/>
      <c r="C77" s="44"/>
      <c r="D77" s="44"/>
      <c r="E77" s="44"/>
      <c r="F77" s="44"/>
      <c r="G77" s="44"/>
      <c r="H77" s="44"/>
      <c r="I77" s="44"/>
      <c r="J77" s="44"/>
      <c r="K77" s="44"/>
      <c r="L77" s="44"/>
      <c r="M77" s="44"/>
      <c r="N77" s="44"/>
      <c r="O77" s="44"/>
    </row>
    <row r="78" spans="1:15" ht="17.25" customHeight="1">
      <c r="A78" s="44"/>
      <c r="B78" s="44"/>
      <c r="C78" s="44"/>
      <c r="D78" s="44"/>
      <c r="E78" s="44"/>
      <c r="F78" s="44"/>
      <c r="G78" s="44"/>
      <c r="H78" s="44"/>
      <c r="I78" s="44"/>
      <c r="J78" s="44"/>
      <c r="K78" s="44"/>
      <c r="L78" s="44"/>
      <c r="M78" s="44"/>
      <c r="N78" s="44"/>
      <c r="O78" s="44"/>
    </row>
    <row r="79" spans="1:15" ht="17.25" customHeight="1">
      <c r="A79" s="44"/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</row>
    <row r="80" spans="1:15" ht="17.25" customHeight="1">
      <c r="A80" s="44"/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</row>
    <row r="81" spans="1:15" ht="17.25" customHeight="1">
      <c r="A81" s="44"/>
      <c r="B81" s="44"/>
      <c r="C81" s="44"/>
      <c r="D81" s="44"/>
      <c r="E81" s="44"/>
      <c r="F81" s="44"/>
      <c r="G81" s="44"/>
      <c r="H81" s="44"/>
      <c r="I81" s="44"/>
      <c r="J81" s="44"/>
      <c r="K81" s="44"/>
      <c r="L81" s="44"/>
      <c r="M81" s="44"/>
      <c r="N81" s="44"/>
      <c r="O81" s="44"/>
    </row>
    <row r="82" spans="1:15" ht="17.25" customHeight="1">
      <c r="A82" s="44"/>
      <c r="B82" s="44"/>
      <c r="C82" s="44"/>
      <c r="D82" s="44"/>
      <c r="E82" s="44"/>
      <c r="F82" s="44"/>
      <c r="G82" s="44"/>
      <c r="H82" s="44"/>
      <c r="I82" s="44"/>
      <c r="J82" s="44"/>
      <c r="K82" s="44"/>
      <c r="L82" s="44"/>
      <c r="M82" s="44"/>
      <c r="N82" s="44"/>
      <c r="O82" s="44"/>
    </row>
    <row r="83" spans="1:15" ht="17.25" customHeight="1">
      <c r="A83" s="44"/>
      <c r="B83" s="44"/>
      <c r="C83" s="44"/>
      <c r="D83" s="44"/>
      <c r="E83" s="44"/>
      <c r="F83" s="44"/>
      <c r="G83" s="44"/>
      <c r="H83" s="44"/>
      <c r="I83" s="44"/>
      <c r="J83" s="44"/>
      <c r="K83" s="44"/>
      <c r="L83" s="44"/>
      <c r="M83" s="44"/>
      <c r="N83" s="44"/>
      <c r="O83" s="44"/>
    </row>
    <row r="84" spans="1:15" ht="17.25" customHeight="1">
      <c r="A84" s="44"/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M84" s="44"/>
      <c r="N84" s="44"/>
      <c r="O84" s="44"/>
    </row>
    <row r="85" spans="1:15" ht="17.25" customHeight="1">
      <c r="A85" s="44"/>
      <c r="B85" s="44"/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</row>
    <row r="86" spans="1:15" ht="17.25" customHeight="1">
      <c r="A86" s="44"/>
      <c r="B86" s="44"/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</row>
    <row r="87" spans="1:15" ht="17.25" customHeight="1">
      <c r="A87" s="44"/>
      <c r="B87" s="44"/>
      <c r="C87" s="44"/>
      <c r="D87" s="44"/>
      <c r="E87" s="44"/>
      <c r="F87" s="44"/>
      <c r="G87" s="44"/>
      <c r="H87" s="44"/>
      <c r="I87" s="44"/>
      <c r="J87" s="44"/>
      <c r="K87" s="44"/>
      <c r="L87" s="44"/>
      <c r="M87" s="44"/>
      <c r="N87" s="44"/>
      <c r="O87" s="44"/>
    </row>
    <row r="88" spans="1:15" ht="17.25" customHeight="1">
      <c r="A88" s="44"/>
      <c r="B88" s="44"/>
      <c r="C88" s="44"/>
      <c r="D88" s="44"/>
      <c r="E88" s="44"/>
      <c r="F88" s="44"/>
      <c r="G88" s="44"/>
      <c r="H88" s="44"/>
      <c r="I88" s="44"/>
      <c r="J88" s="44"/>
      <c r="K88" s="44"/>
      <c r="L88" s="44"/>
      <c r="M88" s="44"/>
      <c r="N88" s="44"/>
      <c r="O88" s="44"/>
    </row>
    <row r="89" spans="1:15" ht="17.25" customHeight="1">
      <c r="A89" s="44"/>
      <c r="B89" s="44"/>
      <c r="C89" s="44"/>
      <c r="D89" s="44"/>
      <c r="E89" s="44"/>
      <c r="F89" s="44"/>
      <c r="G89" s="44"/>
      <c r="H89" s="44"/>
      <c r="I89" s="44"/>
      <c r="J89" s="44"/>
      <c r="K89" s="44"/>
      <c r="L89" s="44"/>
      <c r="M89" s="44"/>
      <c r="N89" s="44"/>
      <c r="O89" s="44"/>
    </row>
    <row r="90" spans="1:15" ht="17.25" customHeight="1">
      <c r="A90" s="44"/>
      <c r="B90" s="44"/>
      <c r="C90" s="44"/>
      <c r="D90" s="44"/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44"/>
    </row>
    <row r="91" spans="1:15" ht="17.25" customHeight="1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</row>
    <row r="92" spans="1:15" ht="17.25" customHeight="1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</row>
    <row r="93" spans="1:15" ht="17.25" customHeight="1">
      <c r="A93" s="44"/>
      <c r="B93" s="44"/>
      <c r="C93" s="44"/>
      <c r="D93" s="44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</row>
    <row r="94" spans="1:15" ht="17.25" customHeight="1">
      <c r="A94" s="44"/>
      <c r="B94" s="44"/>
      <c r="C94" s="44"/>
      <c r="D94" s="44"/>
      <c r="E94" s="44"/>
      <c r="F94" s="44"/>
      <c r="G94" s="44"/>
      <c r="H94" s="44"/>
      <c r="I94" s="44"/>
      <c r="J94" s="44"/>
      <c r="K94" s="44"/>
      <c r="L94" s="44"/>
      <c r="M94" s="44"/>
      <c r="N94" s="44"/>
      <c r="O94" s="44"/>
    </row>
    <row r="95" spans="1:15" ht="17.25" customHeight="1">
      <c r="A95" s="44"/>
      <c r="B95" s="44"/>
      <c r="C95" s="44"/>
      <c r="D95" s="44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</row>
    <row r="96" spans="1:15" ht="17.25" customHeight="1">
      <c r="A96" s="44"/>
      <c r="B96" s="44"/>
      <c r="C96" s="44"/>
      <c r="D96" s="44"/>
      <c r="E96" s="44"/>
      <c r="F96" s="44"/>
      <c r="G96" s="44"/>
      <c r="H96" s="44"/>
      <c r="I96" s="44"/>
      <c r="J96" s="44"/>
      <c r="K96" s="44"/>
      <c r="L96" s="44"/>
      <c r="M96" s="44"/>
      <c r="N96" s="44"/>
      <c r="O96" s="44"/>
    </row>
    <row r="97" spans="1:15" ht="17.25" customHeight="1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</row>
    <row r="98" spans="1:15" ht="17.25" customHeight="1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</row>
    <row r="99" spans="1:15" ht="17.25" customHeight="1">
      <c r="A99" s="44"/>
      <c r="B99" s="44"/>
      <c r="C99" s="44"/>
      <c r="D99" s="44"/>
      <c r="E99" s="44"/>
      <c r="F99" s="44"/>
      <c r="G99" s="44"/>
      <c r="H99" s="44"/>
      <c r="I99" s="44"/>
      <c r="J99" s="44"/>
      <c r="K99" s="44"/>
      <c r="L99" s="44"/>
      <c r="M99" s="44"/>
      <c r="N99" s="44"/>
      <c r="O99" s="44"/>
    </row>
    <row r="100" spans="1:15" ht="17.25" customHeight="1">
      <c r="A100" s="44"/>
      <c r="B100" s="44"/>
      <c r="C100" s="44"/>
      <c r="D100" s="44"/>
      <c r="E100" s="44"/>
      <c r="F100" s="44"/>
      <c r="G100" s="44"/>
      <c r="H100" s="44"/>
      <c r="I100" s="44"/>
      <c r="J100" s="44"/>
      <c r="K100" s="44"/>
      <c r="L100" s="44"/>
      <c r="M100" s="44"/>
      <c r="N100" s="44"/>
      <c r="O100" s="44"/>
    </row>
    <row r="101" spans="1:15" ht="17.25" customHeight="1">
      <c r="A101" s="44"/>
      <c r="B101" s="44"/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44"/>
    </row>
    <row r="102" spans="1:15" ht="17.25" customHeight="1">
      <c r="A102" s="44"/>
      <c r="B102" s="44"/>
      <c r="C102" s="44"/>
      <c r="D102" s="44"/>
      <c r="E102" s="44"/>
      <c r="F102" s="44"/>
      <c r="G102" s="44"/>
      <c r="H102" s="44"/>
      <c r="I102" s="44"/>
      <c r="J102" s="44"/>
      <c r="K102" s="44"/>
      <c r="L102" s="44"/>
      <c r="M102" s="44"/>
      <c r="N102" s="44"/>
      <c r="O102" s="44"/>
    </row>
    <row r="103" spans="1:15" ht="17.25" customHeight="1">
      <c r="A103" s="44"/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</row>
    <row r="104" spans="1:15" ht="17.25" customHeight="1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</row>
    <row r="105" spans="1:15" ht="17.25" customHeight="1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</row>
    <row r="106" spans="1:15" ht="17.25" customHeight="1">
      <c r="A106" s="44"/>
      <c r="B106" s="44"/>
      <c r="C106" s="44"/>
      <c r="D106" s="44"/>
      <c r="E106" s="44"/>
      <c r="F106" s="44"/>
      <c r="G106" s="44"/>
      <c r="H106" s="44"/>
      <c r="I106" s="44"/>
      <c r="J106" s="44"/>
      <c r="K106" s="44"/>
      <c r="L106" s="44"/>
      <c r="M106" s="44"/>
      <c r="N106" s="44"/>
      <c r="O106" s="44"/>
    </row>
    <row r="107" spans="1:15" ht="17.25" customHeight="1">
      <c r="A107" s="44"/>
      <c r="B107" s="44"/>
      <c r="C107" s="44"/>
      <c r="D107" s="44"/>
      <c r="E107" s="44"/>
      <c r="F107" s="44"/>
      <c r="G107" s="44"/>
      <c r="H107" s="44"/>
      <c r="I107" s="44"/>
      <c r="J107" s="44"/>
      <c r="K107" s="44"/>
      <c r="L107" s="44"/>
      <c r="M107" s="44"/>
      <c r="N107" s="44"/>
      <c r="O107" s="44"/>
    </row>
    <row r="108" spans="1:15" ht="17.25" customHeight="1">
      <c r="A108" s="44"/>
      <c r="B108" s="44"/>
      <c r="C108" s="44"/>
      <c r="D108" s="44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</row>
    <row r="109" spans="1:15" ht="17.25" customHeight="1">
      <c r="A109" s="44"/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  <c r="N109" s="44"/>
      <c r="O109" s="44"/>
    </row>
    <row r="110" spans="1:15" ht="17.25" customHeight="1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</row>
    <row r="111" spans="1:15" ht="17.25" customHeight="1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</row>
    <row r="112" spans="1:15" ht="17.25" customHeight="1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</row>
    <row r="113" spans="1:15" ht="17.25" customHeight="1">
      <c r="A113" s="44"/>
      <c r="B113" s="44"/>
      <c r="C113" s="44"/>
      <c r="D113" s="44"/>
      <c r="E113" s="44"/>
      <c r="F113" s="44"/>
      <c r="G113" s="44"/>
      <c r="H113" s="44"/>
      <c r="I113" s="44"/>
      <c r="J113" s="44"/>
      <c r="K113" s="44"/>
      <c r="L113" s="44"/>
      <c r="M113" s="44"/>
      <c r="N113" s="44"/>
      <c r="O113" s="44"/>
    </row>
    <row r="114" spans="1:15" ht="17.25" customHeight="1">
      <c r="A114" s="44"/>
      <c r="B114" s="44"/>
      <c r="C114" s="44"/>
      <c r="D114" s="44"/>
      <c r="E114" s="44"/>
      <c r="F114" s="44"/>
      <c r="G114" s="44"/>
      <c r="H114" s="44"/>
      <c r="I114" s="44"/>
      <c r="J114" s="44"/>
      <c r="K114" s="44"/>
      <c r="L114" s="44"/>
      <c r="M114" s="44"/>
      <c r="N114" s="44"/>
      <c r="O114" s="44"/>
    </row>
    <row r="115" spans="1:15" ht="17.25" customHeight="1">
      <c r="A115" s="44"/>
      <c r="B115" s="44"/>
      <c r="C115" s="44"/>
      <c r="D115" s="44"/>
      <c r="E115" s="44"/>
      <c r="F115" s="44"/>
      <c r="G115" s="44"/>
      <c r="H115" s="44"/>
      <c r="I115" s="44"/>
      <c r="J115" s="44"/>
      <c r="K115" s="44"/>
      <c r="L115" s="44"/>
      <c r="M115" s="44"/>
      <c r="N115" s="44"/>
      <c r="O115" s="44"/>
    </row>
    <row r="116" spans="1:15" ht="17.25" customHeight="1">
      <c r="A116" s="44"/>
      <c r="B116" s="44"/>
      <c r="C116" s="44"/>
      <c r="D116" s="44"/>
      <c r="E116" s="44"/>
      <c r="F116" s="44"/>
      <c r="G116" s="44"/>
      <c r="H116" s="44"/>
      <c r="I116" s="44"/>
      <c r="J116" s="44"/>
      <c r="K116" s="44"/>
      <c r="L116" s="44"/>
      <c r="M116" s="44"/>
      <c r="N116" s="44"/>
      <c r="O116" s="44"/>
    </row>
    <row r="117" spans="1:15" ht="17.25" customHeight="1">
      <c r="A117" s="44"/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</row>
    <row r="118" spans="1:15" ht="17.25" customHeight="1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</row>
    <row r="119" spans="1:15" ht="17.25" customHeight="1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</row>
    <row r="120" spans="1:15" ht="17.25" customHeight="1">
      <c r="A120" s="44"/>
      <c r="B120" s="44"/>
      <c r="C120" s="44"/>
      <c r="D120" s="44"/>
      <c r="E120" s="44"/>
      <c r="F120" s="44"/>
      <c r="G120" s="44"/>
      <c r="H120" s="44"/>
      <c r="I120" s="44"/>
      <c r="J120" s="44"/>
      <c r="K120" s="44"/>
      <c r="L120" s="44"/>
      <c r="M120" s="44"/>
      <c r="N120" s="44"/>
      <c r="O120" s="44"/>
    </row>
    <row r="121" spans="1:15" ht="17.25" customHeight="1">
      <c r="A121" s="44"/>
      <c r="B121" s="44"/>
      <c r="C121" s="44"/>
      <c r="D121" s="44"/>
      <c r="E121" s="44"/>
      <c r="F121" s="44"/>
      <c r="G121" s="44"/>
      <c r="H121" s="44"/>
      <c r="I121" s="44"/>
      <c r="J121" s="44"/>
      <c r="K121" s="44"/>
      <c r="L121" s="44"/>
      <c r="M121" s="44"/>
      <c r="N121" s="44"/>
      <c r="O121" s="44"/>
    </row>
    <row r="122" spans="1:15" ht="17.25" customHeight="1">
      <c r="A122" s="44"/>
      <c r="B122" s="44"/>
      <c r="C122" s="44"/>
      <c r="D122" s="44"/>
      <c r="E122" s="44"/>
      <c r="F122" s="44"/>
      <c r="G122" s="44"/>
      <c r="H122" s="44"/>
      <c r="I122" s="44"/>
      <c r="J122" s="44"/>
      <c r="K122" s="44"/>
      <c r="L122" s="44"/>
      <c r="M122" s="44"/>
      <c r="N122" s="44"/>
      <c r="O122" s="44"/>
    </row>
    <row r="123" spans="1:15" ht="17.25" customHeight="1">
      <c r="A123" s="44"/>
      <c r="B123" s="44"/>
      <c r="C123" s="44"/>
      <c r="D123" s="44"/>
      <c r="E123" s="44"/>
      <c r="F123" s="44"/>
      <c r="G123" s="44"/>
      <c r="H123" s="44"/>
      <c r="I123" s="44"/>
      <c r="J123" s="44"/>
      <c r="K123" s="44"/>
      <c r="L123" s="44"/>
      <c r="M123" s="44"/>
      <c r="N123" s="44"/>
      <c r="O123" s="44"/>
    </row>
    <row r="124" spans="1:15" ht="17.25" customHeight="1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</row>
    <row r="125" spans="1:15" ht="17.25" customHeight="1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</row>
    <row r="126" spans="1:15" ht="17.25" customHeight="1">
      <c r="A126" s="44"/>
      <c r="B126" s="44"/>
      <c r="C126" s="44"/>
      <c r="D126" s="44"/>
      <c r="E126" s="44"/>
      <c r="F126" s="44"/>
      <c r="G126" s="44"/>
      <c r="H126" s="44"/>
      <c r="I126" s="44"/>
      <c r="J126" s="44"/>
      <c r="K126" s="44"/>
      <c r="L126" s="44"/>
      <c r="M126" s="44"/>
      <c r="N126" s="44"/>
      <c r="O126" s="44"/>
    </row>
    <row r="127" spans="1:15" ht="17.25" customHeight="1">
      <c r="A127" s="44"/>
      <c r="B127" s="44"/>
      <c r="C127" s="44"/>
      <c r="D127" s="44"/>
      <c r="E127" s="44"/>
      <c r="F127" s="44"/>
      <c r="G127" s="44"/>
      <c r="H127" s="44"/>
      <c r="I127" s="44"/>
      <c r="J127" s="44"/>
      <c r="K127" s="44"/>
      <c r="L127" s="44"/>
      <c r="M127" s="44"/>
      <c r="N127" s="44"/>
      <c r="O127" s="44"/>
    </row>
    <row r="128" spans="1:15" ht="17.25" customHeight="1">
      <c r="A128" s="44"/>
      <c r="B128" s="44"/>
      <c r="C128" s="44"/>
      <c r="D128" s="44"/>
      <c r="E128" s="44"/>
      <c r="F128" s="44"/>
      <c r="G128" s="44"/>
      <c r="H128" s="44"/>
      <c r="I128" s="44"/>
      <c r="J128" s="44"/>
      <c r="K128" s="44"/>
      <c r="L128" s="44"/>
      <c r="M128" s="44"/>
      <c r="N128" s="44"/>
      <c r="O128" s="44"/>
    </row>
    <row r="129" spans="1:15" ht="17.25" customHeight="1">
      <c r="A129" s="44"/>
      <c r="B129" s="44"/>
      <c r="C129" s="44"/>
      <c r="D129" s="44"/>
      <c r="E129" s="44"/>
      <c r="F129" s="44"/>
      <c r="G129" s="44"/>
      <c r="H129" s="44"/>
      <c r="I129" s="44"/>
      <c r="J129" s="44"/>
      <c r="K129" s="44"/>
      <c r="L129" s="44"/>
      <c r="M129" s="44"/>
      <c r="N129" s="44"/>
      <c r="O129" s="44"/>
    </row>
    <row r="130" spans="1:15" ht="17.25" customHeight="1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</row>
    <row r="131" spans="1:15" ht="17.25" customHeight="1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</row>
    <row r="132" spans="1:15" ht="17.25" customHeight="1">
      <c r="A132" s="44"/>
      <c r="B132" s="44"/>
      <c r="C132" s="44"/>
      <c r="D132" s="44"/>
      <c r="E132" s="44"/>
      <c r="F132" s="44"/>
      <c r="G132" s="44"/>
      <c r="H132" s="44"/>
      <c r="I132" s="44"/>
      <c r="J132" s="44"/>
      <c r="K132" s="44"/>
      <c r="L132" s="44"/>
      <c r="M132" s="44"/>
      <c r="N132" s="44"/>
      <c r="O132" s="44"/>
    </row>
    <row r="133" spans="1:15" ht="17.25" customHeight="1">
      <c r="A133" s="44"/>
      <c r="B133" s="44"/>
      <c r="C133" s="44"/>
      <c r="D133" s="44"/>
      <c r="E133" s="44"/>
      <c r="F133" s="44"/>
      <c r="G133" s="44"/>
      <c r="H133" s="44"/>
      <c r="I133" s="44"/>
      <c r="J133" s="44"/>
      <c r="K133" s="44"/>
      <c r="L133" s="44"/>
      <c r="M133" s="44"/>
      <c r="N133" s="44"/>
      <c r="O133" s="44"/>
    </row>
    <row r="134" spans="1:15" ht="17.25" customHeight="1">
      <c r="A134" s="44"/>
      <c r="B134" s="44"/>
      <c r="C134" s="44"/>
      <c r="D134" s="44"/>
      <c r="E134" s="44"/>
      <c r="F134" s="44"/>
      <c r="G134" s="44"/>
      <c r="H134" s="44"/>
      <c r="I134" s="44"/>
      <c r="J134" s="44"/>
      <c r="K134" s="44"/>
      <c r="L134" s="44"/>
      <c r="M134" s="44"/>
      <c r="N134" s="44"/>
      <c r="O134" s="44"/>
    </row>
    <row r="135" spans="1:15" ht="17.25" customHeight="1">
      <c r="A135" s="44"/>
      <c r="B135" s="44"/>
      <c r="C135" s="44"/>
      <c r="D135" s="44"/>
      <c r="E135" s="44"/>
      <c r="F135" s="44"/>
      <c r="G135" s="44"/>
      <c r="H135" s="44"/>
      <c r="I135" s="44"/>
      <c r="J135" s="44"/>
      <c r="K135" s="44"/>
      <c r="L135" s="44"/>
      <c r="M135" s="44"/>
      <c r="N135" s="44"/>
      <c r="O135" s="44"/>
    </row>
    <row r="136" spans="1:15" ht="17.25" customHeight="1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</row>
    <row r="137" spans="1:15" ht="17.25" customHeight="1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</row>
    <row r="138" spans="1:15" ht="17.25" customHeight="1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</row>
    <row r="139" spans="1:15" ht="17.25" customHeight="1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</row>
    <row r="140" spans="1:15" ht="17.25" customHeight="1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</row>
    <row r="141" spans="1:15" ht="17.25" customHeight="1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</row>
    <row r="142" spans="1:15" ht="17.25" customHeight="1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</row>
    <row r="143" spans="1:15" ht="17.25" customHeight="1">
      <c r="A143" s="44"/>
      <c r="B143" s="44"/>
      <c r="C143" s="44"/>
      <c r="D143" s="44"/>
      <c r="E143" s="44"/>
      <c r="F143" s="44"/>
      <c r="G143" s="44"/>
      <c r="H143" s="44"/>
      <c r="I143" s="44"/>
      <c r="J143" s="44"/>
      <c r="K143" s="44"/>
      <c r="L143" s="44"/>
      <c r="M143" s="44"/>
      <c r="N143" s="44"/>
      <c r="O143" s="44"/>
    </row>
    <row r="144" spans="1:15" ht="17.25" customHeight="1">
      <c r="A144" s="44"/>
      <c r="B144" s="44"/>
      <c r="C144" s="44"/>
      <c r="D144" s="44"/>
      <c r="E144" s="44"/>
      <c r="F144" s="44"/>
      <c r="G144" s="44"/>
      <c r="H144" s="44"/>
      <c r="I144" s="44"/>
      <c r="J144" s="44"/>
      <c r="K144" s="44"/>
      <c r="L144" s="44"/>
      <c r="M144" s="44"/>
      <c r="N144" s="44"/>
      <c r="O144" s="44"/>
    </row>
    <row r="145" spans="1:15" ht="17.25" customHeight="1">
      <c r="A145" s="44"/>
      <c r="B145" s="44"/>
      <c r="C145" s="44"/>
      <c r="D145" s="44"/>
      <c r="E145" s="44"/>
      <c r="F145" s="44"/>
      <c r="G145" s="44"/>
      <c r="H145" s="44"/>
      <c r="I145" s="44"/>
      <c r="J145" s="44"/>
      <c r="K145" s="44"/>
      <c r="L145" s="44"/>
      <c r="M145" s="44"/>
      <c r="N145" s="44"/>
      <c r="O145" s="44"/>
    </row>
    <row r="146" spans="1:15" ht="17.25" customHeight="1">
      <c r="A146" s="44"/>
      <c r="B146" s="44"/>
      <c r="C146" s="44"/>
      <c r="D146" s="44"/>
      <c r="E146" s="44"/>
      <c r="F146" s="44"/>
      <c r="G146" s="44"/>
      <c r="H146" s="44"/>
      <c r="I146" s="44"/>
      <c r="J146" s="44"/>
      <c r="K146" s="44"/>
      <c r="L146" s="44"/>
      <c r="M146" s="44"/>
      <c r="N146" s="44"/>
      <c r="O146" s="44"/>
    </row>
    <row r="147" spans="1:15" ht="17.25" customHeight="1">
      <c r="A147" s="44"/>
      <c r="B147" s="44"/>
      <c r="C147" s="44"/>
      <c r="D147" s="44"/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44"/>
    </row>
    <row r="148" spans="1:15" ht="17.25" customHeight="1">
      <c r="A148" s="44"/>
      <c r="B148" s="44"/>
      <c r="C148" s="44"/>
      <c r="D148" s="44"/>
      <c r="E148" s="44"/>
      <c r="F148" s="44"/>
      <c r="G148" s="44"/>
      <c r="H148" s="44"/>
      <c r="I148" s="44"/>
      <c r="J148" s="44"/>
      <c r="K148" s="44"/>
      <c r="L148" s="44"/>
      <c r="M148" s="44"/>
      <c r="N148" s="44"/>
      <c r="O148" s="44"/>
    </row>
    <row r="149" spans="1:15" ht="17.25" customHeight="1">
      <c r="A149" s="44"/>
      <c r="B149" s="44"/>
      <c r="C149" s="44"/>
      <c r="D149" s="44"/>
      <c r="E149" s="44"/>
      <c r="F149" s="44"/>
      <c r="G149" s="44"/>
      <c r="H149" s="44"/>
      <c r="I149" s="44"/>
      <c r="J149" s="44"/>
      <c r="K149" s="44"/>
      <c r="L149" s="44"/>
      <c r="M149" s="44"/>
      <c r="N149" s="44"/>
      <c r="O149" s="44"/>
    </row>
    <row r="150" spans="1:15" ht="17.25" customHeight="1">
      <c r="A150" s="44"/>
      <c r="B150" s="44"/>
      <c r="C150" s="44"/>
      <c r="D150" s="44"/>
      <c r="E150" s="44"/>
      <c r="F150" s="44"/>
      <c r="G150" s="44"/>
      <c r="H150" s="44"/>
      <c r="I150" s="44"/>
      <c r="J150" s="44"/>
      <c r="K150" s="44"/>
      <c r="L150" s="44"/>
      <c r="M150" s="44"/>
      <c r="N150" s="44"/>
      <c r="O150" s="44"/>
    </row>
    <row r="151" spans="1:15" ht="17.25" customHeight="1">
      <c r="A151" s="44"/>
      <c r="B151" s="44"/>
      <c r="C151" s="44"/>
      <c r="D151" s="44"/>
      <c r="E151" s="44"/>
      <c r="F151" s="44"/>
      <c r="G151" s="44"/>
      <c r="H151" s="44"/>
      <c r="I151" s="44"/>
      <c r="J151" s="44"/>
      <c r="K151" s="44"/>
      <c r="L151" s="44"/>
      <c r="M151" s="44"/>
      <c r="N151" s="44"/>
      <c r="O151" s="44"/>
    </row>
    <row r="152" spans="1:15" ht="17.25" customHeight="1">
      <c r="A152" s="44"/>
      <c r="B152" s="44"/>
      <c r="C152" s="44"/>
      <c r="D152" s="44"/>
      <c r="E152" s="44"/>
      <c r="F152" s="44"/>
      <c r="G152" s="44"/>
      <c r="H152" s="44"/>
      <c r="I152" s="44"/>
      <c r="J152" s="44"/>
      <c r="K152" s="44"/>
      <c r="L152" s="44"/>
      <c r="M152" s="44"/>
      <c r="N152" s="44"/>
      <c r="O152" s="44"/>
    </row>
    <row r="153" spans="1:15" ht="17.25" customHeight="1">
      <c r="A153" s="44"/>
      <c r="B153" s="44"/>
      <c r="C153" s="44"/>
      <c r="D153" s="44"/>
      <c r="E153" s="44"/>
      <c r="F153" s="44"/>
      <c r="G153" s="44"/>
      <c r="H153" s="44"/>
      <c r="I153" s="44"/>
      <c r="J153" s="44"/>
      <c r="K153" s="44"/>
      <c r="L153" s="44"/>
      <c r="M153" s="44"/>
      <c r="N153" s="44"/>
      <c r="O153" s="44"/>
    </row>
    <row r="154" spans="1:15" ht="17.25" customHeight="1">
      <c r="A154" s="44"/>
      <c r="B154" s="44"/>
      <c r="C154" s="44"/>
      <c r="D154" s="44"/>
      <c r="E154" s="44"/>
      <c r="F154" s="44"/>
      <c r="G154" s="44"/>
      <c r="H154" s="44"/>
      <c r="I154" s="44"/>
      <c r="J154" s="44"/>
      <c r="K154" s="44"/>
      <c r="L154" s="44"/>
      <c r="M154" s="44"/>
      <c r="N154" s="44"/>
      <c r="O154" s="44"/>
    </row>
    <row r="155" spans="1:15" ht="17.25" customHeight="1">
      <c r="A155" s="44"/>
      <c r="B155" s="44"/>
      <c r="C155" s="44"/>
      <c r="D155" s="44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</row>
    <row r="156" spans="1:15" ht="17.25" customHeight="1">
      <c r="A156" s="44"/>
      <c r="B156" s="44"/>
      <c r="C156" s="44"/>
      <c r="D156" s="44"/>
      <c r="E156" s="44"/>
      <c r="F156" s="44"/>
      <c r="G156" s="44"/>
      <c r="H156" s="44"/>
      <c r="I156" s="44"/>
      <c r="J156" s="44"/>
      <c r="K156" s="44"/>
      <c r="L156" s="44"/>
      <c r="M156" s="44"/>
      <c r="N156" s="44"/>
      <c r="O156" s="44"/>
    </row>
    <row r="157" spans="1:15" ht="17.25" customHeight="1">
      <c r="A157" s="44"/>
      <c r="B157" s="44"/>
      <c r="C157" s="44"/>
      <c r="D157" s="44"/>
      <c r="E157" s="44"/>
      <c r="F157" s="44"/>
      <c r="G157" s="44"/>
      <c r="H157" s="44"/>
      <c r="I157" s="44"/>
      <c r="J157" s="44"/>
      <c r="K157" s="44"/>
      <c r="L157" s="44"/>
      <c r="M157" s="44"/>
      <c r="N157" s="44"/>
      <c r="O157" s="44"/>
    </row>
    <row r="158" spans="1:15" ht="17.25" customHeight="1">
      <c r="A158" s="44"/>
      <c r="B158" s="44"/>
      <c r="C158" s="44"/>
      <c r="D158" s="44"/>
      <c r="E158" s="44"/>
      <c r="F158" s="44"/>
      <c r="G158" s="44"/>
      <c r="H158" s="44"/>
      <c r="I158" s="44"/>
      <c r="J158" s="44"/>
      <c r="K158" s="44"/>
      <c r="L158" s="44"/>
      <c r="M158" s="44"/>
      <c r="N158" s="44"/>
      <c r="O158" s="44"/>
    </row>
    <row r="159" spans="1:15" ht="17.25" customHeight="1">
      <c r="A159" s="44"/>
      <c r="B159" s="44"/>
      <c r="C159" s="44"/>
      <c r="D159" s="44"/>
      <c r="E159" s="44"/>
      <c r="F159" s="44"/>
      <c r="G159" s="44"/>
      <c r="H159" s="44"/>
      <c r="I159" s="44"/>
      <c r="J159" s="44"/>
      <c r="K159" s="44"/>
      <c r="L159" s="44"/>
      <c r="M159" s="44"/>
      <c r="N159" s="44"/>
      <c r="O159" s="44"/>
    </row>
    <row r="160" spans="1:15" ht="17.25" customHeight="1">
      <c r="A160" s="44"/>
      <c r="B160" s="44"/>
      <c r="C160" s="44"/>
      <c r="D160" s="44"/>
      <c r="E160" s="44"/>
      <c r="F160" s="44"/>
      <c r="G160" s="44"/>
      <c r="H160" s="44"/>
      <c r="I160" s="44"/>
      <c r="J160" s="44"/>
      <c r="K160" s="44"/>
      <c r="L160" s="44"/>
      <c r="M160" s="44"/>
      <c r="N160" s="44"/>
      <c r="O160" s="44"/>
    </row>
    <row r="161" spans="1:15" ht="17.25" customHeight="1">
      <c r="A161" s="44"/>
      <c r="B161" s="44"/>
      <c r="C161" s="44"/>
      <c r="D161" s="44"/>
      <c r="E161" s="44"/>
      <c r="F161" s="44"/>
      <c r="G161" s="44"/>
      <c r="H161" s="44"/>
      <c r="I161" s="44"/>
      <c r="J161" s="44"/>
      <c r="K161" s="44"/>
      <c r="L161" s="44"/>
      <c r="M161" s="44"/>
      <c r="N161" s="44"/>
      <c r="O161" s="44"/>
    </row>
    <row r="162" spans="1:15" ht="17.25" customHeight="1">
      <c r="A162" s="44"/>
      <c r="B162" s="44"/>
      <c r="C162" s="44"/>
      <c r="D162" s="44"/>
      <c r="E162" s="44"/>
      <c r="F162" s="44"/>
      <c r="G162" s="44"/>
      <c r="H162" s="44"/>
      <c r="I162" s="44"/>
      <c r="J162" s="44"/>
      <c r="K162" s="44"/>
      <c r="L162" s="44"/>
      <c r="M162" s="44"/>
      <c r="N162" s="44"/>
      <c r="O162" s="44"/>
    </row>
    <row r="163" spans="1:15" ht="17.25" customHeight="1">
      <c r="A163" s="44"/>
      <c r="B163" s="44"/>
      <c r="C163" s="44"/>
      <c r="D163" s="44"/>
      <c r="E163" s="44"/>
      <c r="F163" s="44"/>
      <c r="G163" s="44"/>
      <c r="H163" s="44"/>
      <c r="I163" s="44"/>
      <c r="J163" s="44"/>
      <c r="K163" s="44"/>
      <c r="L163" s="44"/>
      <c r="M163" s="44"/>
      <c r="N163" s="44"/>
      <c r="O163" s="44"/>
    </row>
    <row r="164" spans="1:15" ht="17.25" customHeight="1">
      <c r="A164" s="44"/>
      <c r="B164" s="44"/>
      <c r="C164" s="44"/>
      <c r="D164" s="44"/>
      <c r="E164" s="44"/>
      <c r="F164" s="44"/>
      <c r="G164" s="44"/>
      <c r="H164" s="44"/>
      <c r="I164" s="44"/>
      <c r="J164" s="44"/>
      <c r="K164" s="44"/>
      <c r="L164" s="44"/>
      <c r="M164" s="44"/>
      <c r="N164" s="44"/>
      <c r="O164" s="44"/>
    </row>
    <row r="165" spans="1:15" ht="17.25" customHeight="1">
      <c r="A165" s="44"/>
      <c r="B165" s="44"/>
      <c r="C165" s="44"/>
      <c r="D165" s="44"/>
      <c r="E165" s="44"/>
      <c r="F165" s="44"/>
      <c r="G165" s="44"/>
      <c r="H165" s="44"/>
      <c r="I165" s="44"/>
      <c r="J165" s="44"/>
      <c r="K165" s="44"/>
      <c r="L165" s="44"/>
      <c r="M165" s="44"/>
      <c r="N165" s="44"/>
      <c r="O165" s="44"/>
    </row>
    <row r="166" spans="1:15" ht="17.25" customHeight="1">
      <c r="A166" s="44"/>
      <c r="B166" s="44"/>
      <c r="C166" s="44"/>
      <c r="D166" s="44"/>
      <c r="E166" s="44"/>
      <c r="F166" s="44"/>
      <c r="G166" s="44"/>
      <c r="H166" s="44"/>
      <c r="I166" s="44"/>
      <c r="J166" s="44"/>
      <c r="K166" s="44"/>
      <c r="L166" s="44"/>
      <c r="M166" s="44"/>
      <c r="N166" s="44"/>
      <c r="O166" s="44"/>
    </row>
    <row r="167" spans="1:15" ht="17.25" customHeight="1">
      <c r="A167" s="44"/>
      <c r="B167" s="44"/>
      <c r="C167" s="44"/>
      <c r="D167" s="44"/>
      <c r="E167" s="44"/>
      <c r="F167" s="44"/>
      <c r="G167" s="44"/>
      <c r="H167" s="44"/>
      <c r="I167" s="44"/>
      <c r="J167" s="44"/>
      <c r="K167" s="44"/>
      <c r="L167" s="44"/>
      <c r="M167" s="44"/>
      <c r="N167" s="44"/>
      <c r="O167" s="44"/>
    </row>
    <row r="168" spans="1:15" ht="17.25" customHeight="1">
      <c r="A168" s="44"/>
      <c r="B168" s="44"/>
      <c r="C168" s="44"/>
      <c r="D168" s="44"/>
      <c r="E168" s="44"/>
      <c r="F168" s="44"/>
      <c r="G168" s="44"/>
      <c r="H168" s="44"/>
      <c r="I168" s="44"/>
      <c r="J168" s="44"/>
      <c r="K168" s="44"/>
      <c r="L168" s="44"/>
      <c r="M168" s="44"/>
      <c r="N168" s="44"/>
      <c r="O168" s="44"/>
    </row>
    <row r="169" spans="1:15" ht="17.25" customHeight="1">
      <c r="A169" s="44"/>
      <c r="B169" s="44"/>
      <c r="C169" s="44"/>
      <c r="D169" s="44"/>
      <c r="E169" s="44"/>
      <c r="F169" s="44"/>
      <c r="G169" s="44"/>
      <c r="H169" s="44"/>
      <c r="I169" s="44"/>
      <c r="J169" s="44"/>
      <c r="K169" s="44"/>
      <c r="L169" s="44"/>
      <c r="M169" s="44"/>
      <c r="N169" s="44"/>
      <c r="O169" s="44"/>
    </row>
    <row r="170" spans="1:15" ht="17.25" customHeight="1">
      <c r="A170" s="44"/>
      <c r="B170" s="44"/>
      <c r="C170" s="44"/>
      <c r="D170" s="44"/>
      <c r="E170" s="44"/>
      <c r="F170" s="44"/>
      <c r="G170" s="44"/>
      <c r="H170" s="44"/>
      <c r="I170" s="44"/>
      <c r="J170" s="44"/>
      <c r="K170" s="44"/>
      <c r="L170" s="44"/>
      <c r="M170" s="44"/>
      <c r="N170" s="44"/>
      <c r="O170" s="44"/>
    </row>
    <row r="171" spans="1:15" ht="17.25" customHeight="1">
      <c r="A171" s="44"/>
      <c r="B171" s="44"/>
      <c r="C171" s="44"/>
      <c r="D171" s="44"/>
      <c r="E171" s="44"/>
      <c r="F171" s="44"/>
      <c r="G171" s="44"/>
      <c r="H171" s="44"/>
      <c r="I171" s="44"/>
      <c r="J171" s="44"/>
      <c r="K171" s="44"/>
      <c r="L171" s="44"/>
      <c r="M171" s="44"/>
      <c r="N171" s="44"/>
      <c r="O171" s="44"/>
    </row>
    <row r="172" spans="1:15" ht="17.25" customHeight="1">
      <c r="A172" s="44"/>
      <c r="B172" s="44"/>
      <c r="C172" s="44"/>
      <c r="D172" s="44"/>
      <c r="E172" s="44"/>
      <c r="F172" s="44"/>
      <c r="G172" s="44"/>
      <c r="H172" s="44"/>
      <c r="I172" s="44"/>
      <c r="J172" s="44"/>
      <c r="K172" s="44"/>
      <c r="L172" s="44"/>
      <c r="M172" s="44"/>
      <c r="N172" s="44"/>
      <c r="O172" s="44"/>
    </row>
    <row r="173" spans="1:15" ht="17.25" customHeight="1">
      <c r="A173" s="44"/>
      <c r="B173" s="44"/>
      <c r="C173" s="44"/>
      <c r="D173" s="44"/>
      <c r="E173" s="44"/>
      <c r="F173" s="44"/>
      <c r="G173" s="44"/>
      <c r="H173" s="44"/>
      <c r="I173" s="44"/>
      <c r="J173" s="44"/>
      <c r="K173" s="44"/>
      <c r="L173" s="44"/>
      <c r="M173" s="44"/>
      <c r="N173" s="44"/>
      <c r="O173" s="44"/>
    </row>
    <row r="174" spans="1:15" ht="17.25" customHeight="1">
      <c r="A174" s="44"/>
      <c r="B174" s="44"/>
      <c r="C174" s="44"/>
      <c r="D174" s="44"/>
      <c r="E174" s="44"/>
      <c r="F174" s="44"/>
      <c r="G174" s="44"/>
      <c r="H174" s="44"/>
      <c r="I174" s="44"/>
      <c r="J174" s="44"/>
      <c r="K174" s="44"/>
      <c r="L174" s="44"/>
      <c r="M174" s="44"/>
      <c r="N174" s="44"/>
      <c r="O174" s="44"/>
    </row>
    <row r="175" spans="1:15" ht="17.25" customHeight="1">
      <c r="A175" s="44"/>
      <c r="B175" s="44"/>
      <c r="C175" s="44"/>
      <c r="D175" s="44"/>
      <c r="E175" s="44"/>
      <c r="F175" s="44"/>
      <c r="G175" s="44"/>
      <c r="H175" s="44"/>
      <c r="I175" s="44"/>
      <c r="J175" s="44"/>
      <c r="K175" s="44"/>
      <c r="L175" s="44"/>
      <c r="M175" s="44"/>
      <c r="N175" s="44"/>
      <c r="O175" s="44"/>
    </row>
    <row r="176" spans="1:15" ht="17.25" customHeight="1">
      <c r="A176" s="44"/>
      <c r="B176" s="44"/>
      <c r="C176" s="44"/>
      <c r="D176" s="44"/>
      <c r="E176" s="44"/>
      <c r="F176" s="44"/>
      <c r="G176" s="44"/>
      <c r="H176" s="44"/>
      <c r="I176" s="44"/>
      <c r="J176" s="44"/>
      <c r="K176" s="44"/>
      <c r="L176" s="44"/>
      <c r="M176" s="44"/>
      <c r="N176" s="44"/>
      <c r="O176" s="44"/>
    </row>
    <row r="177" spans="1:15" ht="17.25" customHeight="1">
      <c r="A177" s="44"/>
      <c r="B177" s="44"/>
      <c r="C177" s="44"/>
      <c r="D177" s="44"/>
      <c r="E177" s="44"/>
      <c r="F177" s="44"/>
      <c r="G177" s="44"/>
      <c r="H177" s="44"/>
      <c r="I177" s="44"/>
      <c r="J177" s="44"/>
      <c r="K177" s="44"/>
      <c r="L177" s="44"/>
      <c r="M177" s="44"/>
      <c r="N177" s="44"/>
      <c r="O177" s="44"/>
    </row>
    <row r="178" spans="1:15" ht="17.25" customHeight="1">
      <c r="A178" s="44"/>
      <c r="B178" s="44"/>
      <c r="C178" s="44"/>
      <c r="D178" s="44"/>
      <c r="E178" s="44"/>
      <c r="F178" s="44"/>
      <c r="G178" s="44"/>
      <c r="H178" s="44"/>
      <c r="I178" s="44"/>
      <c r="J178" s="44"/>
      <c r="K178" s="44"/>
      <c r="L178" s="44"/>
      <c r="M178" s="44"/>
      <c r="N178" s="44"/>
      <c r="O178" s="44"/>
    </row>
    <row r="179" spans="1:15" ht="17.25" customHeight="1">
      <c r="A179" s="44"/>
      <c r="B179" s="44"/>
      <c r="C179" s="44"/>
      <c r="D179" s="44"/>
      <c r="E179" s="44"/>
      <c r="F179" s="44"/>
      <c r="G179" s="44"/>
      <c r="H179" s="44"/>
      <c r="I179" s="44"/>
      <c r="J179" s="44"/>
      <c r="K179" s="44"/>
      <c r="L179" s="44"/>
      <c r="M179" s="44"/>
      <c r="N179" s="44"/>
      <c r="O179" s="44"/>
    </row>
    <row r="180" spans="1:15" ht="17.25" customHeight="1">
      <c r="A180" s="44"/>
      <c r="B180" s="44"/>
      <c r="C180" s="44"/>
      <c r="D180" s="44"/>
      <c r="E180" s="44"/>
      <c r="F180" s="44"/>
      <c r="G180" s="44"/>
      <c r="H180" s="44"/>
      <c r="I180" s="44"/>
      <c r="J180" s="44"/>
      <c r="K180" s="44"/>
      <c r="L180" s="44"/>
      <c r="M180" s="44"/>
      <c r="N180" s="44"/>
      <c r="O180" s="44"/>
    </row>
    <row r="181" spans="1:15" ht="17.25" customHeight="1">
      <c r="A181" s="44"/>
      <c r="B181" s="44"/>
      <c r="C181" s="44"/>
      <c r="D181" s="44"/>
      <c r="E181" s="44"/>
      <c r="F181" s="44"/>
      <c r="G181" s="44"/>
      <c r="H181" s="44"/>
      <c r="I181" s="44"/>
      <c r="J181" s="44"/>
      <c r="K181" s="44"/>
      <c r="L181" s="44"/>
      <c r="M181" s="44"/>
      <c r="N181" s="44"/>
      <c r="O181" s="44"/>
    </row>
    <row r="182" spans="1:15" ht="17.25" customHeight="1">
      <c r="A182" s="44"/>
      <c r="B182" s="44"/>
      <c r="C182" s="44"/>
      <c r="D182" s="44"/>
      <c r="E182" s="44"/>
      <c r="F182" s="44"/>
      <c r="G182" s="44"/>
      <c r="H182" s="44"/>
      <c r="I182" s="44"/>
      <c r="J182" s="44"/>
      <c r="K182" s="44"/>
      <c r="L182" s="44"/>
      <c r="M182" s="44"/>
      <c r="N182" s="44"/>
      <c r="O182" s="44"/>
    </row>
    <row r="183" spans="1:15" ht="17.25" customHeight="1">
      <c r="A183" s="44"/>
      <c r="B183" s="44"/>
      <c r="C183" s="44"/>
      <c r="D183" s="44"/>
      <c r="E183" s="44"/>
      <c r="F183" s="44"/>
      <c r="G183" s="44"/>
      <c r="H183" s="44"/>
      <c r="I183" s="44"/>
      <c r="J183" s="44"/>
      <c r="K183" s="44"/>
      <c r="L183" s="44"/>
      <c r="M183" s="44"/>
      <c r="N183" s="44"/>
      <c r="O183" s="44"/>
    </row>
    <row r="184" spans="1:15" ht="17.25" customHeight="1">
      <c r="A184" s="44"/>
      <c r="B184" s="44"/>
      <c r="C184" s="44"/>
      <c r="D184" s="44"/>
      <c r="E184" s="44"/>
      <c r="F184" s="44"/>
      <c r="G184" s="44"/>
      <c r="H184" s="44"/>
      <c r="I184" s="44"/>
      <c r="J184" s="44"/>
      <c r="K184" s="44"/>
      <c r="L184" s="44"/>
      <c r="M184" s="44"/>
      <c r="N184" s="44"/>
      <c r="O184" s="44"/>
    </row>
    <row r="185" spans="1:15" ht="17.25" customHeight="1">
      <c r="A185" s="44"/>
      <c r="B185" s="44"/>
      <c r="C185" s="44"/>
      <c r="D185" s="44"/>
      <c r="E185" s="44"/>
      <c r="F185" s="44"/>
      <c r="G185" s="44"/>
      <c r="H185" s="44"/>
      <c r="I185" s="44"/>
      <c r="J185" s="44"/>
      <c r="K185" s="44"/>
      <c r="L185" s="44"/>
      <c r="M185" s="44"/>
      <c r="N185" s="44"/>
      <c r="O185" s="44"/>
    </row>
    <row r="186" spans="1:15" ht="17.25" customHeight="1">
      <c r="A186" s="44"/>
      <c r="B186" s="44"/>
      <c r="C186" s="44"/>
      <c r="D186" s="44"/>
      <c r="E186" s="44"/>
      <c r="F186" s="44"/>
      <c r="G186" s="44"/>
      <c r="H186" s="44"/>
      <c r="I186" s="44"/>
      <c r="J186" s="44"/>
      <c r="K186" s="44"/>
      <c r="L186" s="44"/>
      <c r="M186" s="44"/>
      <c r="N186" s="44"/>
      <c r="O186" s="44"/>
    </row>
    <row r="187" spans="1:15" ht="17.25" customHeight="1">
      <c r="A187" s="44"/>
      <c r="B187" s="44"/>
      <c r="C187" s="44"/>
      <c r="D187" s="44"/>
      <c r="E187" s="44"/>
      <c r="F187" s="44"/>
      <c r="G187" s="44"/>
      <c r="H187" s="44"/>
      <c r="I187" s="44"/>
      <c r="J187" s="44"/>
      <c r="K187" s="44"/>
      <c r="L187" s="44"/>
      <c r="M187" s="44"/>
      <c r="N187" s="44"/>
      <c r="O187" s="44"/>
    </row>
    <row r="188" spans="1:15" ht="17.25" customHeight="1">
      <c r="A188" s="44"/>
      <c r="B188" s="44"/>
      <c r="C188" s="44"/>
      <c r="D188" s="44"/>
      <c r="E188" s="44"/>
      <c r="F188" s="44"/>
      <c r="G188" s="44"/>
      <c r="H188" s="44"/>
      <c r="I188" s="44"/>
      <c r="J188" s="44"/>
      <c r="K188" s="44"/>
      <c r="L188" s="44"/>
      <c r="M188" s="44"/>
      <c r="N188" s="44"/>
      <c r="O188" s="44"/>
    </row>
    <row r="189" spans="1:15" ht="17.25" customHeight="1">
      <c r="A189" s="44"/>
      <c r="B189" s="44"/>
      <c r="C189" s="44"/>
      <c r="D189" s="44"/>
      <c r="E189" s="44"/>
      <c r="F189" s="44"/>
      <c r="G189" s="44"/>
      <c r="H189" s="44"/>
      <c r="I189" s="44"/>
      <c r="J189" s="44"/>
      <c r="K189" s="44"/>
      <c r="L189" s="44"/>
      <c r="M189" s="44"/>
      <c r="N189" s="44"/>
      <c r="O189" s="44"/>
    </row>
    <row r="190" spans="1:15" ht="17.25" customHeight="1">
      <c r="A190" s="44"/>
      <c r="B190" s="44"/>
      <c r="C190" s="44"/>
      <c r="D190" s="44"/>
      <c r="E190" s="44"/>
      <c r="F190" s="44"/>
      <c r="G190" s="44"/>
      <c r="H190" s="44"/>
      <c r="I190" s="44"/>
      <c r="J190" s="44"/>
      <c r="K190" s="44"/>
      <c r="L190" s="44"/>
      <c r="M190" s="44"/>
      <c r="N190" s="44"/>
      <c r="O190" s="44"/>
    </row>
    <row r="191" spans="1:15" ht="17.25" customHeight="1">
      <c r="A191" s="44"/>
      <c r="B191" s="44"/>
      <c r="C191" s="44"/>
      <c r="D191" s="44"/>
      <c r="E191" s="44"/>
      <c r="F191" s="44"/>
      <c r="G191" s="44"/>
      <c r="H191" s="44"/>
      <c r="I191" s="44"/>
      <c r="J191" s="44"/>
      <c r="K191" s="44"/>
      <c r="L191" s="44"/>
      <c r="M191" s="44"/>
      <c r="N191" s="44"/>
      <c r="O191" s="44"/>
    </row>
    <row r="192" spans="1:15" ht="17.25" customHeight="1">
      <c r="A192" s="44"/>
      <c r="B192" s="44"/>
      <c r="C192" s="44"/>
      <c r="D192" s="44"/>
      <c r="E192" s="44"/>
      <c r="F192" s="44"/>
      <c r="G192" s="44"/>
      <c r="H192" s="44"/>
      <c r="I192" s="44"/>
      <c r="J192" s="44"/>
      <c r="K192" s="44"/>
      <c r="L192" s="44"/>
      <c r="M192" s="44"/>
      <c r="N192" s="44"/>
      <c r="O192" s="44"/>
    </row>
    <row r="193" spans="1:15" ht="17.25" customHeight="1">
      <c r="A193" s="44"/>
      <c r="B193" s="44"/>
      <c r="C193" s="44"/>
      <c r="D193" s="44"/>
      <c r="E193" s="44"/>
      <c r="F193" s="44"/>
      <c r="G193" s="44"/>
      <c r="H193" s="44"/>
      <c r="I193" s="44"/>
      <c r="J193" s="44"/>
      <c r="K193" s="44"/>
      <c r="L193" s="44"/>
      <c r="M193" s="44"/>
      <c r="N193" s="44"/>
      <c r="O193" s="44"/>
    </row>
    <row r="194" spans="1:15" ht="17.25" customHeight="1">
      <c r="A194" s="44"/>
      <c r="B194" s="44"/>
      <c r="C194" s="44"/>
      <c r="D194" s="44"/>
      <c r="E194" s="44"/>
      <c r="F194" s="44"/>
      <c r="G194" s="44"/>
      <c r="H194" s="44"/>
      <c r="I194" s="44"/>
      <c r="J194" s="44"/>
      <c r="K194" s="44"/>
      <c r="L194" s="44"/>
      <c r="M194" s="44"/>
      <c r="N194" s="44"/>
      <c r="O194" s="44"/>
    </row>
    <row r="195" spans="1:15" ht="17.25" customHeight="1">
      <c r="A195" s="44"/>
      <c r="B195" s="44"/>
      <c r="C195" s="44"/>
      <c r="D195" s="44"/>
      <c r="E195" s="44"/>
      <c r="F195" s="44"/>
      <c r="G195" s="44"/>
      <c r="H195" s="44"/>
      <c r="I195" s="44"/>
      <c r="J195" s="44"/>
      <c r="K195" s="44"/>
      <c r="L195" s="44"/>
      <c r="M195" s="44"/>
      <c r="N195" s="44"/>
      <c r="O195" s="44"/>
    </row>
    <row r="196" spans="1:15" ht="17.25" customHeight="1">
      <c r="A196" s="44"/>
      <c r="B196" s="44"/>
      <c r="C196" s="44"/>
      <c r="D196" s="44"/>
      <c r="E196" s="44"/>
      <c r="F196" s="44"/>
      <c r="G196" s="44"/>
      <c r="H196" s="44"/>
      <c r="I196" s="44"/>
      <c r="J196" s="44"/>
      <c r="K196" s="44"/>
      <c r="L196" s="44"/>
      <c r="M196" s="44"/>
      <c r="N196" s="44"/>
      <c r="O196" s="44"/>
    </row>
    <row r="197" spans="1:15" ht="17.25" customHeight="1">
      <c r="A197" s="44"/>
      <c r="B197" s="44"/>
      <c r="C197" s="44"/>
      <c r="D197" s="44"/>
      <c r="E197" s="44"/>
      <c r="F197" s="44"/>
      <c r="G197" s="44"/>
      <c r="H197" s="44"/>
      <c r="I197" s="44"/>
      <c r="J197" s="44"/>
      <c r="K197" s="44"/>
      <c r="L197" s="44"/>
      <c r="M197" s="44"/>
      <c r="N197" s="44"/>
      <c r="O197" s="44"/>
    </row>
    <row r="198" spans="1:15" ht="17.25" customHeight="1">
      <c r="A198" s="44"/>
      <c r="B198" s="44"/>
      <c r="C198" s="44"/>
      <c r="D198" s="44"/>
      <c r="E198" s="44"/>
      <c r="F198" s="44"/>
      <c r="G198" s="44"/>
      <c r="H198" s="44"/>
      <c r="I198" s="44"/>
      <c r="J198" s="44"/>
      <c r="K198" s="44"/>
      <c r="L198" s="44"/>
      <c r="M198" s="44"/>
      <c r="N198" s="44"/>
      <c r="O198" s="44"/>
    </row>
    <row r="199" spans="1:15" ht="17.25" customHeight="1">
      <c r="A199" s="44"/>
      <c r="B199" s="44"/>
      <c r="C199" s="44"/>
      <c r="D199" s="44"/>
      <c r="E199" s="44"/>
      <c r="F199" s="44"/>
      <c r="G199" s="44"/>
      <c r="H199" s="44"/>
      <c r="I199" s="44"/>
      <c r="J199" s="44"/>
      <c r="K199" s="44"/>
      <c r="L199" s="44"/>
      <c r="M199" s="44"/>
      <c r="N199" s="44"/>
      <c r="O199" s="44"/>
    </row>
    <row r="200" spans="1:15" ht="17.25" customHeight="1">
      <c r="A200" s="44"/>
      <c r="B200" s="44"/>
      <c r="C200" s="44"/>
      <c r="D200" s="44"/>
      <c r="E200" s="44"/>
      <c r="F200" s="44"/>
      <c r="G200" s="44"/>
      <c r="H200" s="44"/>
      <c r="I200" s="44"/>
      <c r="J200" s="44"/>
      <c r="K200" s="44"/>
      <c r="L200" s="44"/>
      <c r="M200" s="44"/>
      <c r="N200" s="44"/>
      <c r="O200" s="44"/>
    </row>
    <row r="201" spans="1:15" ht="17.25" customHeight="1">
      <c r="A201" s="44"/>
      <c r="B201" s="44"/>
      <c r="C201" s="44"/>
      <c r="D201" s="44"/>
      <c r="E201" s="44"/>
      <c r="F201" s="44"/>
      <c r="G201" s="44"/>
      <c r="H201" s="44"/>
      <c r="I201" s="44"/>
      <c r="J201" s="44"/>
      <c r="K201" s="44"/>
      <c r="L201" s="44"/>
      <c r="M201" s="44"/>
      <c r="N201" s="44"/>
      <c r="O201" s="44"/>
    </row>
    <row r="202" spans="1:15" ht="17.25" customHeight="1">
      <c r="A202" s="44"/>
      <c r="B202" s="44"/>
      <c r="C202" s="44"/>
      <c r="D202" s="44"/>
      <c r="E202" s="44"/>
      <c r="F202" s="44"/>
      <c r="G202" s="44"/>
      <c r="H202" s="44"/>
      <c r="I202" s="44"/>
      <c r="J202" s="44"/>
      <c r="K202" s="44"/>
      <c r="L202" s="44"/>
      <c r="M202" s="44"/>
      <c r="N202" s="44"/>
      <c r="O202" s="44"/>
    </row>
    <row r="203" spans="1:15" ht="17.25" customHeight="1">
      <c r="A203" s="44"/>
      <c r="B203" s="44"/>
      <c r="C203" s="44"/>
      <c r="D203" s="44"/>
      <c r="E203" s="44"/>
      <c r="F203" s="44"/>
      <c r="G203" s="44"/>
      <c r="H203" s="44"/>
      <c r="I203" s="44"/>
      <c r="J203" s="44"/>
      <c r="K203" s="44"/>
      <c r="L203" s="44"/>
      <c r="M203" s="44"/>
      <c r="N203" s="44"/>
      <c r="O203" s="44"/>
    </row>
    <row r="204" spans="1:15" ht="17.25" customHeight="1">
      <c r="A204" s="44"/>
      <c r="B204" s="44"/>
      <c r="C204" s="44"/>
      <c r="D204" s="44"/>
      <c r="E204" s="44"/>
      <c r="F204" s="44"/>
      <c r="G204" s="44"/>
      <c r="H204" s="44"/>
      <c r="I204" s="44"/>
      <c r="J204" s="44"/>
      <c r="K204" s="44"/>
      <c r="L204" s="44"/>
      <c r="M204" s="44"/>
      <c r="N204" s="44"/>
      <c r="O204" s="44"/>
    </row>
    <row r="205" spans="1:15" ht="17.25" customHeight="1">
      <c r="A205" s="44"/>
      <c r="B205" s="44"/>
      <c r="C205" s="44"/>
      <c r="D205" s="44"/>
      <c r="E205" s="44"/>
      <c r="F205" s="44"/>
      <c r="G205" s="44"/>
      <c r="H205" s="44"/>
      <c r="I205" s="44"/>
      <c r="J205" s="44"/>
      <c r="K205" s="44"/>
      <c r="L205" s="44"/>
      <c r="M205" s="44"/>
      <c r="N205" s="44"/>
      <c r="O205" s="44"/>
    </row>
    <row r="206" spans="1:15" ht="17.25" customHeight="1">
      <c r="A206" s="44"/>
      <c r="B206" s="44"/>
      <c r="C206" s="44"/>
      <c r="D206" s="44"/>
      <c r="E206" s="44"/>
      <c r="F206" s="44"/>
      <c r="G206" s="44"/>
      <c r="H206" s="44"/>
      <c r="I206" s="44"/>
      <c r="J206" s="44"/>
      <c r="K206" s="44"/>
      <c r="L206" s="44"/>
      <c r="M206" s="44"/>
      <c r="N206" s="44"/>
      <c r="O206" s="44"/>
    </row>
    <row r="207" spans="1:15" ht="17.25" customHeight="1">
      <c r="A207" s="44"/>
      <c r="B207" s="44"/>
      <c r="C207" s="44"/>
      <c r="D207" s="44"/>
      <c r="E207" s="44"/>
      <c r="F207" s="44"/>
      <c r="G207" s="44"/>
      <c r="H207" s="44"/>
      <c r="I207" s="44"/>
      <c r="J207" s="44"/>
      <c r="K207" s="44"/>
      <c r="L207" s="44"/>
      <c r="M207" s="44"/>
      <c r="N207" s="44"/>
      <c r="O207" s="44"/>
    </row>
    <row r="208" spans="1:15" ht="17.25" customHeight="1">
      <c r="A208" s="44"/>
      <c r="B208" s="44"/>
      <c r="C208" s="44"/>
      <c r="D208" s="44"/>
      <c r="E208" s="44"/>
      <c r="F208" s="44"/>
      <c r="G208" s="44"/>
      <c r="H208" s="44"/>
      <c r="I208" s="44"/>
      <c r="J208" s="44"/>
      <c r="K208" s="44"/>
      <c r="L208" s="44"/>
      <c r="M208" s="44"/>
      <c r="N208" s="44"/>
      <c r="O208" s="44"/>
    </row>
    <row r="209" spans="1:15" ht="17.25" customHeight="1">
      <c r="A209" s="44"/>
      <c r="B209" s="44"/>
      <c r="C209" s="44"/>
      <c r="D209" s="44"/>
      <c r="E209" s="44"/>
      <c r="F209" s="44"/>
      <c r="G209" s="44"/>
      <c r="H209" s="44"/>
      <c r="I209" s="44"/>
      <c r="J209" s="44"/>
      <c r="K209" s="44"/>
      <c r="L209" s="44"/>
      <c r="M209" s="44"/>
      <c r="N209" s="44"/>
      <c r="O209" s="44"/>
    </row>
    <row r="210" spans="1:15" ht="17.25" customHeight="1">
      <c r="A210" s="44"/>
      <c r="B210" s="44"/>
      <c r="C210" s="44"/>
      <c r="D210" s="44"/>
      <c r="E210" s="44"/>
      <c r="F210" s="44"/>
      <c r="G210" s="44"/>
      <c r="H210" s="44"/>
      <c r="I210" s="44"/>
      <c r="J210" s="44"/>
      <c r="K210" s="44"/>
      <c r="L210" s="44"/>
      <c r="M210" s="44"/>
      <c r="N210" s="44"/>
      <c r="O210" s="44"/>
    </row>
    <row r="211" spans="1:15" ht="17.25" customHeight="1">
      <c r="A211" s="44"/>
      <c r="B211" s="44"/>
      <c r="C211" s="44"/>
      <c r="D211" s="44"/>
      <c r="E211" s="44"/>
      <c r="F211" s="44"/>
      <c r="G211" s="44"/>
      <c r="H211" s="44"/>
      <c r="I211" s="44"/>
      <c r="J211" s="44"/>
      <c r="K211" s="44"/>
      <c r="L211" s="44"/>
      <c r="M211" s="44"/>
      <c r="N211" s="44"/>
      <c r="O211" s="44"/>
    </row>
    <row r="212" spans="1:15" ht="17.25" customHeight="1">
      <c r="A212" s="44"/>
      <c r="B212" s="44"/>
      <c r="C212" s="44"/>
      <c r="D212" s="44"/>
      <c r="E212" s="44"/>
      <c r="F212" s="44"/>
      <c r="G212" s="44"/>
      <c r="H212" s="44"/>
      <c r="I212" s="44"/>
      <c r="J212" s="44"/>
      <c r="K212" s="44"/>
      <c r="L212" s="44"/>
      <c r="M212" s="44"/>
      <c r="N212" s="44"/>
      <c r="O212" s="44"/>
    </row>
    <row r="213" spans="1:15" ht="17.25" customHeight="1">
      <c r="A213" s="44"/>
      <c r="B213" s="44"/>
      <c r="C213" s="44"/>
      <c r="D213" s="44"/>
      <c r="E213" s="44"/>
      <c r="F213" s="44"/>
      <c r="G213" s="44"/>
      <c r="H213" s="44"/>
      <c r="I213" s="44"/>
      <c r="J213" s="44"/>
      <c r="K213" s="44"/>
      <c r="L213" s="44"/>
      <c r="M213" s="44"/>
      <c r="N213" s="44"/>
      <c r="O213" s="44"/>
    </row>
    <row r="214" spans="1:15" ht="17.25" customHeight="1">
      <c r="A214" s="44"/>
      <c r="B214" s="44"/>
      <c r="C214" s="44"/>
      <c r="D214" s="44"/>
      <c r="E214" s="44"/>
      <c r="F214" s="44"/>
      <c r="G214" s="44"/>
      <c r="H214" s="44"/>
      <c r="I214" s="44"/>
      <c r="J214" s="44"/>
      <c r="K214" s="44"/>
      <c r="L214" s="44"/>
      <c r="M214" s="44"/>
      <c r="N214" s="44"/>
      <c r="O214" s="44"/>
    </row>
    <row r="215" spans="1:15" ht="17.25" customHeight="1">
      <c r="A215" s="44"/>
      <c r="B215" s="44"/>
      <c r="C215" s="44"/>
      <c r="D215" s="44"/>
      <c r="E215" s="44"/>
      <c r="F215" s="44"/>
      <c r="G215" s="44"/>
      <c r="H215" s="44"/>
      <c r="I215" s="44"/>
      <c r="J215" s="44"/>
      <c r="K215" s="44"/>
      <c r="L215" s="44"/>
      <c r="M215" s="44"/>
      <c r="N215" s="44"/>
      <c r="O215" s="44"/>
    </row>
    <row r="216" spans="1:15" ht="17.25" customHeight="1">
      <c r="A216" s="44"/>
      <c r="B216" s="44"/>
      <c r="C216" s="44"/>
      <c r="D216" s="44"/>
      <c r="E216" s="44"/>
      <c r="F216" s="44"/>
      <c r="G216" s="44"/>
      <c r="H216" s="44"/>
      <c r="I216" s="44"/>
      <c r="J216" s="44"/>
      <c r="K216" s="44"/>
      <c r="L216" s="44"/>
      <c r="M216" s="44"/>
      <c r="N216" s="44"/>
      <c r="O216" s="44"/>
    </row>
    <row r="217" spans="1:15" ht="17.25" customHeight="1">
      <c r="A217" s="44"/>
      <c r="B217" s="44"/>
      <c r="C217" s="44"/>
      <c r="D217" s="44"/>
      <c r="E217" s="44"/>
      <c r="F217" s="44"/>
      <c r="G217" s="44"/>
      <c r="H217" s="44"/>
      <c r="I217" s="44"/>
      <c r="J217" s="44"/>
      <c r="K217" s="44"/>
      <c r="L217" s="44"/>
      <c r="M217" s="44"/>
      <c r="N217" s="44"/>
      <c r="O217" s="44"/>
    </row>
    <row r="218" spans="1:15" ht="17.25" customHeight="1">
      <c r="A218" s="44"/>
      <c r="B218" s="44"/>
      <c r="C218" s="44"/>
      <c r="D218" s="44"/>
      <c r="E218" s="44"/>
      <c r="F218" s="44"/>
      <c r="G218" s="44"/>
      <c r="H218" s="44"/>
      <c r="I218" s="44"/>
      <c r="J218" s="44"/>
      <c r="K218" s="44"/>
      <c r="L218" s="44"/>
      <c r="M218" s="44"/>
      <c r="N218" s="44"/>
      <c r="O218" s="44"/>
    </row>
    <row r="219" spans="1:15" ht="17.25" customHeight="1">
      <c r="A219" s="44"/>
      <c r="B219" s="44"/>
      <c r="C219" s="44"/>
      <c r="D219" s="44"/>
      <c r="E219" s="44"/>
      <c r="F219" s="44"/>
      <c r="G219" s="44"/>
      <c r="H219" s="44"/>
      <c r="I219" s="44"/>
      <c r="J219" s="44"/>
      <c r="K219" s="44"/>
      <c r="L219" s="44"/>
      <c r="M219" s="44"/>
      <c r="N219" s="44"/>
      <c r="O219" s="44"/>
    </row>
    <row r="220" spans="1:15" ht="17.25" customHeight="1">
      <c r="A220" s="44"/>
      <c r="B220" s="44"/>
      <c r="C220" s="44"/>
      <c r="D220" s="44"/>
      <c r="E220" s="44"/>
      <c r="F220" s="44"/>
      <c r="G220" s="44"/>
      <c r="H220" s="44"/>
      <c r="I220" s="44"/>
      <c r="J220" s="44"/>
      <c r="K220" s="44"/>
      <c r="L220" s="44"/>
      <c r="M220" s="44"/>
      <c r="N220" s="44"/>
      <c r="O220" s="44"/>
    </row>
    <row r="221" spans="1:15" ht="17.25" customHeight="1">
      <c r="A221" s="44"/>
      <c r="B221" s="44"/>
      <c r="C221" s="44"/>
      <c r="D221" s="44"/>
      <c r="E221" s="44"/>
      <c r="F221" s="44"/>
      <c r="G221" s="44"/>
      <c r="H221" s="44"/>
      <c r="I221" s="44"/>
      <c r="J221" s="44"/>
      <c r="K221" s="44"/>
      <c r="L221" s="44"/>
      <c r="M221" s="44"/>
      <c r="N221" s="44"/>
      <c r="O221" s="44"/>
    </row>
    <row r="222" spans="1:15" ht="17.25" customHeight="1">
      <c r="A222" s="44"/>
      <c r="B222" s="44"/>
      <c r="C222" s="44"/>
      <c r="D222" s="44"/>
      <c r="E222" s="44"/>
      <c r="F222" s="44"/>
      <c r="G222" s="44"/>
      <c r="H222" s="44"/>
      <c r="I222" s="44"/>
      <c r="J222" s="44"/>
      <c r="K222" s="44"/>
      <c r="L222" s="44"/>
      <c r="M222" s="44"/>
      <c r="N222" s="44"/>
      <c r="O222" s="44"/>
    </row>
    <row r="223" spans="1:15" ht="17.25" customHeight="1">
      <c r="A223" s="44"/>
      <c r="B223" s="44"/>
      <c r="C223" s="44"/>
      <c r="D223" s="44"/>
      <c r="E223" s="44"/>
      <c r="F223" s="44"/>
      <c r="G223" s="44"/>
      <c r="H223" s="44"/>
      <c r="I223" s="44"/>
      <c r="J223" s="44"/>
      <c r="K223" s="44"/>
      <c r="L223" s="44"/>
      <c r="M223" s="44"/>
      <c r="N223" s="44"/>
      <c r="O223" s="44"/>
    </row>
    <row r="224" spans="1:15" ht="17.25" customHeight="1">
      <c r="A224" s="44"/>
      <c r="B224" s="44"/>
      <c r="C224" s="44"/>
      <c r="D224" s="44"/>
      <c r="E224" s="44"/>
      <c r="F224" s="44"/>
      <c r="G224" s="44"/>
      <c r="H224" s="44"/>
      <c r="I224" s="44"/>
      <c r="J224" s="44"/>
      <c r="K224" s="44"/>
      <c r="L224" s="44"/>
      <c r="M224" s="44"/>
      <c r="N224" s="44"/>
      <c r="O224" s="44"/>
    </row>
    <row r="225" spans="1:15" ht="17.25" customHeight="1">
      <c r="A225" s="44"/>
      <c r="B225" s="44"/>
      <c r="C225" s="44"/>
      <c r="D225" s="44"/>
      <c r="E225" s="44"/>
      <c r="F225" s="44"/>
      <c r="G225" s="44"/>
      <c r="H225" s="44"/>
      <c r="I225" s="44"/>
      <c r="J225" s="44"/>
      <c r="K225" s="44"/>
      <c r="L225" s="44"/>
      <c r="M225" s="44"/>
      <c r="N225" s="44"/>
      <c r="O225" s="44"/>
    </row>
    <row r="226" spans="1:15" ht="17.25" customHeight="1">
      <c r="A226" s="44"/>
      <c r="B226" s="44"/>
      <c r="C226" s="44"/>
      <c r="D226" s="44"/>
      <c r="E226" s="44"/>
      <c r="F226" s="44"/>
      <c r="G226" s="44"/>
      <c r="H226" s="44"/>
      <c r="I226" s="44"/>
      <c r="J226" s="44"/>
      <c r="K226" s="44"/>
      <c r="L226" s="44"/>
      <c r="M226" s="44"/>
      <c r="N226" s="44"/>
      <c r="O226" s="44"/>
    </row>
    <row r="227" spans="1:15" ht="17.25" customHeight="1">
      <c r="A227" s="44"/>
      <c r="B227" s="44"/>
      <c r="C227" s="44"/>
      <c r="D227" s="44"/>
      <c r="E227" s="44"/>
      <c r="F227" s="44"/>
      <c r="G227" s="44"/>
      <c r="H227" s="44"/>
      <c r="I227" s="44"/>
      <c r="J227" s="44"/>
      <c r="K227" s="44"/>
      <c r="L227" s="44"/>
      <c r="M227" s="44"/>
      <c r="N227" s="44"/>
      <c r="O227" s="44"/>
    </row>
    <row r="228" spans="1:15" ht="17.25" customHeight="1">
      <c r="A228" s="44"/>
      <c r="B228" s="44"/>
      <c r="C228" s="44"/>
      <c r="D228" s="44"/>
      <c r="E228" s="44"/>
      <c r="F228" s="44"/>
      <c r="G228" s="44"/>
      <c r="H228" s="44"/>
      <c r="I228" s="44"/>
      <c r="J228" s="44"/>
      <c r="K228" s="44"/>
      <c r="L228" s="44"/>
      <c r="M228" s="44"/>
      <c r="N228" s="44"/>
      <c r="O228" s="44"/>
    </row>
    <row r="229" spans="1:15" ht="17.25" customHeight="1">
      <c r="A229" s="44"/>
      <c r="B229" s="44"/>
      <c r="C229" s="44"/>
      <c r="D229" s="44"/>
      <c r="E229" s="44"/>
      <c r="F229" s="44"/>
      <c r="G229" s="44"/>
      <c r="H229" s="44"/>
      <c r="I229" s="44"/>
      <c r="J229" s="44"/>
      <c r="K229" s="44"/>
      <c r="L229" s="44"/>
      <c r="M229" s="44"/>
      <c r="N229" s="44"/>
      <c r="O229" s="44"/>
    </row>
    <row r="230" spans="1:15" ht="17.25" customHeight="1">
      <c r="A230" s="44"/>
      <c r="B230" s="44"/>
      <c r="C230" s="44"/>
      <c r="D230" s="44"/>
      <c r="E230" s="44"/>
      <c r="F230" s="44"/>
      <c r="G230" s="44"/>
      <c r="H230" s="44"/>
      <c r="I230" s="44"/>
      <c r="J230" s="44"/>
      <c r="K230" s="44"/>
      <c r="L230" s="44"/>
      <c r="M230" s="44"/>
      <c r="N230" s="44"/>
      <c r="O230" s="44"/>
    </row>
    <row r="231" spans="1:15" ht="17.25" customHeight="1">
      <c r="A231" s="44"/>
      <c r="B231" s="44"/>
      <c r="C231" s="44"/>
      <c r="D231" s="44"/>
      <c r="E231" s="44"/>
      <c r="F231" s="44"/>
      <c r="G231" s="44"/>
      <c r="H231" s="44"/>
      <c r="I231" s="44"/>
      <c r="J231" s="44"/>
      <c r="K231" s="44"/>
      <c r="L231" s="44"/>
      <c r="M231" s="44"/>
      <c r="N231" s="44"/>
      <c r="O231" s="44"/>
    </row>
    <row r="232" spans="1:15" ht="17.25" customHeight="1">
      <c r="A232" s="44"/>
      <c r="B232" s="44"/>
      <c r="C232" s="44"/>
      <c r="D232" s="44"/>
      <c r="E232" s="44"/>
      <c r="F232" s="44"/>
      <c r="G232" s="44"/>
      <c r="H232" s="44"/>
      <c r="I232" s="44"/>
      <c r="J232" s="44"/>
      <c r="K232" s="44"/>
      <c r="L232" s="44"/>
      <c r="M232" s="44"/>
      <c r="N232" s="44"/>
      <c r="O232" s="44"/>
    </row>
    <row r="233" spans="1:15" ht="17.25" customHeight="1">
      <c r="A233" s="44"/>
      <c r="B233" s="44"/>
      <c r="C233" s="44"/>
      <c r="D233" s="44"/>
      <c r="E233" s="44"/>
      <c r="F233" s="44"/>
      <c r="G233" s="44"/>
      <c r="H233" s="44"/>
      <c r="I233" s="44"/>
      <c r="J233" s="44"/>
      <c r="K233" s="44"/>
      <c r="L233" s="44"/>
      <c r="M233" s="44"/>
      <c r="N233" s="44"/>
      <c r="O233" s="44"/>
    </row>
    <row r="234" spans="1:15" ht="17.25" customHeight="1">
      <c r="A234" s="44"/>
      <c r="B234" s="44"/>
      <c r="C234" s="44"/>
      <c r="D234" s="44"/>
      <c r="E234" s="44"/>
      <c r="F234" s="44"/>
      <c r="G234" s="44"/>
      <c r="H234" s="44"/>
      <c r="I234" s="44"/>
      <c r="J234" s="44"/>
      <c r="K234" s="44"/>
      <c r="L234" s="44"/>
      <c r="M234" s="44"/>
      <c r="N234" s="44"/>
      <c r="O234" s="44"/>
    </row>
    <row r="235" spans="1:15" ht="17.25" customHeight="1">
      <c r="A235" s="44"/>
      <c r="B235" s="44"/>
      <c r="C235" s="44"/>
      <c r="D235" s="44"/>
      <c r="E235" s="44"/>
      <c r="F235" s="44"/>
      <c r="G235" s="44"/>
      <c r="H235" s="44"/>
      <c r="I235" s="44"/>
      <c r="J235" s="44"/>
      <c r="K235" s="44"/>
      <c r="L235" s="44"/>
      <c r="M235" s="44"/>
      <c r="N235" s="44"/>
      <c r="O235" s="44"/>
    </row>
    <row r="236" spans="1:15" ht="17.25" customHeight="1">
      <c r="A236" s="44"/>
      <c r="B236" s="44"/>
      <c r="C236" s="44"/>
      <c r="D236" s="44"/>
      <c r="E236" s="44"/>
      <c r="F236" s="44"/>
      <c r="G236" s="44"/>
      <c r="H236" s="44"/>
      <c r="I236" s="44"/>
      <c r="J236" s="44"/>
      <c r="K236" s="44"/>
      <c r="L236" s="44"/>
      <c r="M236" s="44"/>
      <c r="N236" s="44"/>
      <c r="O236" s="44"/>
    </row>
    <row r="237" spans="1:15" ht="17.25" customHeight="1">
      <c r="A237" s="44"/>
      <c r="B237" s="44"/>
      <c r="C237" s="44"/>
      <c r="D237" s="44"/>
      <c r="E237" s="44"/>
      <c r="F237" s="44"/>
      <c r="G237" s="44"/>
      <c r="H237" s="44"/>
      <c r="I237" s="44"/>
      <c r="J237" s="44"/>
      <c r="K237" s="44"/>
      <c r="L237" s="44"/>
      <c r="M237" s="44"/>
      <c r="N237" s="44"/>
      <c r="O237" s="44"/>
    </row>
    <row r="238" spans="1:15" ht="17.25" customHeight="1">
      <c r="A238" s="44"/>
      <c r="B238" s="44"/>
      <c r="C238" s="44"/>
      <c r="D238" s="44"/>
      <c r="E238" s="44"/>
      <c r="F238" s="44"/>
      <c r="G238" s="44"/>
      <c r="H238" s="44"/>
      <c r="I238" s="44"/>
      <c r="J238" s="44"/>
      <c r="K238" s="44"/>
      <c r="L238" s="44"/>
      <c r="M238" s="44"/>
      <c r="N238" s="44"/>
      <c r="O238" s="44"/>
    </row>
    <row r="239" spans="1:15" ht="17.25" customHeight="1">
      <c r="A239" s="44"/>
      <c r="B239" s="44"/>
      <c r="C239" s="44"/>
      <c r="D239" s="44"/>
      <c r="E239" s="44"/>
      <c r="F239" s="44"/>
      <c r="G239" s="44"/>
      <c r="H239" s="44"/>
      <c r="I239" s="44"/>
      <c r="J239" s="44"/>
      <c r="K239" s="44"/>
      <c r="L239" s="44"/>
      <c r="M239" s="44"/>
      <c r="N239" s="44"/>
      <c r="O239" s="44"/>
    </row>
    <row r="240" spans="1:15" ht="17.25" customHeight="1">
      <c r="A240" s="44"/>
      <c r="B240" s="44"/>
      <c r="C240" s="44"/>
      <c r="D240" s="44"/>
      <c r="E240" s="44"/>
      <c r="F240" s="44"/>
      <c r="G240" s="44"/>
      <c r="H240" s="44"/>
      <c r="I240" s="44"/>
      <c r="J240" s="44"/>
      <c r="K240" s="44"/>
      <c r="L240" s="44"/>
      <c r="M240" s="44"/>
      <c r="N240" s="44"/>
      <c r="O240" s="44"/>
    </row>
    <row r="241" spans="1:15" ht="17.25" customHeight="1">
      <c r="A241" s="44"/>
      <c r="B241" s="44"/>
      <c r="C241" s="44"/>
      <c r="D241" s="44"/>
      <c r="E241" s="44"/>
      <c r="F241" s="44"/>
      <c r="G241" s="44"/>
      <c r="H241" s="44"/>
      <c r="I241" s="44"/>
      <c r="J241" s="44"/>
      <c r="K241" s="44"/>
      <c r="L241" s="44"/>
      <c r="M241" s="44"/>
      <c r="N241" s="44"/>
      <c r="O241" s="44"/>
    </row>
    <row r="242" spans="1:15" ht="17.25" customHeight="1">
      <c r="A242" s="44"/>
      <c r="B242" s="44"/>
      <c r="C242" s="44"/>
      <c r="D242" s="44"/>
      <c r="E242" s="44"/>
      <c r="F242" s="44"/>
      <c r="G242" s="44"/>
      <c r="H242" s="44"/>
      <c r="I242" s="44"/>
      <c r="J242" s="44"/>
      <c r="K242" s="44"/>
      <c r="L242" s="44"/>
      <c r="M242" s="44"/>
      <c r="N242" s="44"/>
      <c r="O242" s="44"/>
    </row>
    <row r="243" spans="1:15" ht="17.25" customHeight="1">
      <c r="A243" s="44"/>
      <c r="B243" s="44"/>
      <c r="C243" s="44"/>
      <c r="D243" s="44"/>
      <c r="E243" s="44"/>
      <c r="F243" s="44"/>
      <c r="G243" s="44"/>
      <c r="H243" s="44"/>
      <c r="I243" s="44"/>
      <c r="J243" s="44"/>
      <c r="K243" s="44"/>
      <c r="L243" s="44"/>
      <c r="M243" s="44"/>
      <c r="N243" s="44"/>
      <c r="O243" s="44"/>
    </row>
    <row r="244" spans="1:15" ht="17.25" customHeight="1">
      <c r="A244" s="44"/>
      <c r="B244" s="44"/>
      <c r="C244" s="44"/>
      <c r="D244" s="44"/>
      <c r="E244" s="44"/>
      <c r="F244" s="44"/>
      <c r="G244" s="44"/>
      <c r="H244" s="44"/>
      <c r="I244" s="44"/>
      <c r="J244" s="44"/>
      <c r="K244" s="44"/>
      <c r="L244" s="44"/>
      <c r="M244" s="44"/>
      <c r="N244" s="44"/>
      <c r="O244" s="44"/>
    </row>
    <row r="245" spans="1:15" ht="17.25" customHeight="1">
      <c r="A245" s="44"/>
      <c r="B245" s="44"/>
      <c r="C245" s="44"/>
      <c r="D245" s="44"/>
      <c r="E245" s="44"/>
      <c r="F245" s="44"/>
      <c r="G245" s="44"/>
      <c r="H245" s="44"/>
      <c r="I245" s="44"/>
      <c r="J245" s="44"/>
      <c r="K245" s="44"/>
      <c r="L245" s="44"/>
      <c r="M245" s="44"/>
      <c r="N245" s="44"/>
      <c r="O245" s="44"/>
    </row>
    <row r="246" spans="1:15" ht="17.25" customHeight="1">
      <c r="A246" s="44"/>
      <c r="B246" s="44"/>
      <c r="C246" s="44"/>
      <c r="D246" s="44"/>
      <c r="E246" s="44"/>
      <c r="F246" s="44"/>
      <c r="G246" s="44"/>
      <c r="H246" s="44"/>
      <c r="I246" s="44"/>
      <c r="J246" s="44"/>
      <c r="K246" s="44"/>
      <c r="L246" s="44"/>
      <c r="M246" s="44"/>
      <c r="N246" s="44"/>
      <c r="O246" s="44"/>
    </row>
    <row r="247" spans="1:15" ht="17.25" customHeight="1">
      <c r="A247" s="44"/>
      <c r="B247" s="44"/>
      <c r="C247" s="44"/>
      <c r="D247" s="44"/>
      <c r="E247" s="44"/>
      <c r="F247" s="44"/>
      <c r="G247" s="44"/>
      <c r="H247" s="44"/>
      <c r="I247" s="44"/>
      <c r="J247" s="44"/>
      <c r="K247" s="44"/>
      <c r="L247" s="44"/>
      <c r="M247" s="44"/>
      <c r="N247" s="44"/>
      <c r="O247" s="44"/>
    </row>
    <row r="248" spans="1:15" ht="17.25" customHeight="1">
      <c r="A248" s="44"/>
      <c r="B248" s="44"/>
      <c r="C248" s="44"/>
      <c r="D248" s="44"/>
      <c r="E248" s="44"/>
      <c r="F248" s="44"/>
      <c r="G248" s="44"/>
      <c r="H248" s="44"/>
      <c r="I248" s="44"/>
      <c r="J248" s="44"/>
      <c r="K248" s="44"/>
      <c r="L248" s="44"/>
      <c r="M248" s="44"/>
      <c r="N248" s="44"/>
      <c r="O248" s="44"/>
    </row>
    <row r="249" spans="1:15" ht="17.25" customHeight="1">
      <c r="A249" s="44"/>
      <c r="B249" s="44"/>
      <c r="C249" s="44"/>
      <c r="D249" s="44"/>
      <c r="E249" s="44"/>
      <c r="F249" s="44"/>
      <c r="G249" s="44"/>
      <c r="H249" s="44"/>
      <c r="I249" s="44"/>
      <c r="J249" s="44"/>
      <c r="K249" s="44"/>
      <c r="L249" s="44"/>
      <c r="M249" s="44"/>
      <c r="N249" s="44"/>
      <c r="O249" s="44"/>
    </row>
    <row r="250" spans="1:15" ht="17.25" customHeight="1">
      <c r="A250" s="44"/>
      <c r="B250" s="44"/>
      <c r="C250" s="44"/>
      <c r="D250" s="44"/>
      <c r="E250" s="44"/>
      <c r="F250" s="44"/>
      <c r="G250" s="44"/>
      <c r="H250" s="44"/>
      <c r="I250" s="44"/>
      <c r="J250" s="44"/>
      <c r="K250" s="44"/>
      <c r="L250" s="44"/>
      <c r="M250" s="44"/>
      <c r="N250" s="44"/>
      <c r="O250" s="44"/>
    </row>
    <row r="251" spans="1:15" ht="17.25" customHeight="1">
      <c r="A251" s="44"/>
      <c r="B251" s="44"/>
      <c r="C251" s="44"/>
      <c r="D251" s="44"/>
      <c r="E251" s="44"/>
      <c r="F251" s="44"/>
      <c r="G251" s="44"/>
      <c r="H251" s="44"/>
      <c r="I251" s="44"/>
      <c r="J251" s="44"/>
      <c r="K251" s="44"/>
      <c r="L251" s="44"/>
      <c r="M251" s="44"/>
      <c r="N251" s="44"/>
      <c r="O251" s="44"/>
    </row>
    <row r="252" spans="1:15" ht="17.25" customHeight="1">
      <c r="A252" s="44"/>
      <c r="B252" s="44"/>
      <c r="C252" s="44"/>
      <c r="D252" s="44"/>
      <c r="E252" s="44"/>
      <c r="F252" s="44"/>
      <c r="G252" s="44"/>
      <c r="H252" s="44"/>
      <c r="I252" s="44"/>
      <c r="J252" s="44"/>
      <c r="K252" s="44"/>
      <c r="L252" s="44"/>
      <c r="M252" s="44"/>
      <c r="N252" s="44"/>
      <c r="O252" s="44"/>
    </row>
    <row r="253" spans="1:15" ht="17.25" customHeight="1">
      <c r="A253" s="44"/>
      <c r="B253" s="44"/>
      <c r="C253" s="44"/>
      <c r="D253" s="44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4"/>
    </row>
    <row r="254" spans="1:15" ht="17.25" customHeight="1">
      <c r="A254" s="44"/>
      <c r="B254" s="44"/>
      <c r="C254" s="44"/>
      <c r="D254" s="44"/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O254" s="44"/>
    </row>
    <row r="255" spans="1:15" ht="17.25" customHeight="1">
      <c r="A255" s="44"/>
      <c r="B255" s="44"/>
      <c r="C255" s="44"/>
      <c r="D255" s="44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</row>
    <row r="256" spans="1:15" ht="17.25" customHeight="1">
      <c r="A256" s="44"/>
      <c r="B256" s="44"/>
      <c r="C256" s="44"/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</row>
    <row r="257" spans="1:15" ht="17.25" customHeight="1">
      <c r="A257" s="44"/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</row>
    <row r="258" spans="1:15" ht="17.25" customHeight="1">
      <c r="A258" s="44"/>
      <c r="B258" s="44"/>
      <c r="C258" s="44"/>
      <c r="D258" s="44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</row>
    <row r="259" spans="1:15" ht="17.25" customHeight="1">
      <c r="A259" s="44"/>
      <c r="B259" s="44"/>
      <c r="C259" s="44"/>
      <c r="D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</row>
    <row r="260" spans="1:15" ht="17.25" customHeight="1">
      <c r="A260" s="44"/>
      <c r="B260" s="44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</row>
    <row r="261" spans="1:15" ht="17.25" customHeight="1">
      <c r="A261" s="44"/>
      <c r="B261" s="44"/>
      <c r="C261" s="44"/>
      <c r="D261" s="44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</row>
    <row r="262" spans="1:15" ht="17.25" customHeight="1">
      <c r="A262" s="44"/>
      <c r="B262" s="44"/>
      <c r="C262" s="44"/>
      <c r="D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</row>
    <row r="263" spans="1:15" ht="17.25" customHeight="1">
      <c r="A263" s="44"/>
      <c r="B263" s="44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</row>
    <row r="264" spans="1:15" ht="17.25" customHeight="1">
      <c r="A264" s="44"/>
      <c r="B264" s="44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</row>
    <row r="265" spans="1:15" ht="17.25" customHeight="1">
      <c r="A265" s="44"/>
      <c r="B265" s="44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</row>
    <row r="266" spans="1:15" ht="17.25" customHeight="1">
      <c r="A266" s="44"/>
      <c r="B266" s="44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</row>
    <row r="267" spans="1:15" ht="17.25" customHeight="1">
      <c r="A267" s="44"/>
      <c r="B267" s="44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</row>
    <row r="268" spans="1:15" ht="17.25" customHeight="1">
      <c r="A268" s="44"/>
      <c r="B268" s="44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</row>
    <row r="269" spans="1:15" ht="17.25" customHeight="1">
      <c r="A269" s="44"/>
      <c r="B269" s="44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</row>
    <row r="270" spans="1:15" ht="17.25" customHeight="1">
      <c r="A270" s="44"/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</row>
    <row r="271" spans="1:15" ht="17.25" customHeight="1">
      <c r="A271" s="44"/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</row>
    <row r="272" spans="1:15" ht="17.25" customHeight="1">
      <c r="A272" s="44"/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</row>
    <row r="273" spans="1:15" ht="17.25" customHeight="1">
      <c r="A273" s="44"/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</row>
    <row r="274" spans="1:15" ht="17.25" customHeight="1">
      <c r="A274" s="44"/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</row>
    <row r="275" spans="1:15" ht="17.25" customHeight="1">
      <c r="A275" s="44"/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</row>
    <row r="276" spans="1:15" ht="17.25" customHeight="1">
      <c r="A276" s="44"/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</row>
    <row r="277" spans="1:15" ht="17.25" customHeight="1">
      <c r="A277" s="44"/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</row>
    <row r="278" spans="1:15" ht="17.25" customHeight="1">
      <c r="A278" s="44"/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</row>
    <row r="279" spans="1:15" ht="17.25" customHeight="1">
      <c r="A279" s="44"/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</row>
    <row r="280" spans="1:15" ht="17.25" customHeight="1">
      <c r="A280" s="44"/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</row>
    <row r="281" spans="1:15" ht="17.25" customHeight="1">
      <c r="A281" s="44"/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</row>
    <row r="282" spans="1:15" ht="17.25" customHeight="1">
      <c r="A282" s="44"/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</row>
    <row r="283" spans="1:15" ht="17.25" customHeight="1">
      <c r="A283" s="44"/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</row>
    <row r="284" spans="1:15" ht="17.25" customHeight="1">
      <c r="A284" s="44"/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</row>
    <row r="285" spans="1:15" ht="17.25" customHeight="1">
      <c r="A285" s="44"/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</row>
    <row r="286" spans="1:15" ht="17.25" customHeight="1">
      <c r="A286" s="44"/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</row>
    <row r="287" spans="1:15" ht="17.25" customHeight="1">
      <c r="A287" s="44"/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</row>
    <row r="288" spans="1:15" ht="17.25" customHeight="1">
      <c r="A288" s="44"/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</row>
    <row r="289" spans="1:15" ht="17.25" customHeight="1">
      <c r="A289" s="44"/>
      <c r="B289" s="44"/>
      <c r="C289" s="44"/>
      <c r="D289" s="44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</row>
    <row r="290" spans="1:15" ht="17.25" customHeight="1">
      <c r="A290" s="44"/>
      <c r="B290" s="44"/>
      <c r="C290" s="44"/>
      <c r="D290" s="44"/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44"/>
    </row>
    <row r="291" spans="1:15" ht="17.25" customHeight="1">
      <c r="A291" s="44"/>
      <c r="B291" s="44"/>
      <c r="C291" s="44"/>
      <c r="D291" s="44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</row>
    <row r="292" spans="1:15" ht="17.25" customHeight="1">
      <c r="A292" s="44"/>
      <c r="B292" s="44"/>
      <c r="C292" s="44"/>
      <c r="D292" s="44"/>
      <c r="E292" s="44"/>
      <c r="F292" s="44"/>
      <c r="G292" s="44"/>
      <c r="H292" s="44"/>
      <c r="I292" s="44"/>
      <c r="J292" s="44"/>
      <c r="K292" s="44"/>
      <c r="L292" s="44"/>
      <c r="M292" s="44"/>
      <c r="N292" s="44"/>
      <c r="O292" s="44"/>
    </row>
    <row r="293" spans="1:15" ht="17.25" customHeight="1">
      <c r="A293" s="44"/>
      <c r="B293" s="44"/>
      <c r="C293" s="44"/>
      <c r="D293" s="44"/>
      <c r="E293" s="44"/>
      <c r="F293" s="44"/>
      <c r="G293" s="44"/>
      <c r="H293" s="44"/>
      <c r="I293" s="44"/>
      <c r="J293" s="44"/>
      <c r="K293" s="44"/>
      <c r="L293" s="44"/>
      <c r="M293" s="44"/>
      <c r="N293" s="44"/>
      <c r="O293" s="44"/>
    </row>
    <row r="294" spans="1:15" ht="17.25" customHeight="1">
      <c r="A294" s="44"/>
      <c r="B294" s="44"/>
      <c r="C294" s="44"/>
      <c r="D294" s="44"/>
      <c r="E294" s="44"/>
      <c r="F294" s="44"/>
      <c r="G294" s="44"/>
      <c r="H294" s="44"/>
      <c r="I294" s="44"/>
      <c r="J294" s="44"/>
      <c r="K294" s="44"/>
      <c r="L294" s="44"/>
      <c r="M294" s="44"/>
      <c r="N294" s="44"/>
      <c r="O294" s="44"/>
    </row>
    <row r="295" spans="1:15" ht="17.25" customHeight="1">
      <c r="A295" s="44"/>
      <c r="B295" s="44"/>
      <c r="C295" s="44"/>
      <c r="D295" s="44"/>
      <c r="E295" s="44"/>
      <c r="F295" s="44"/>
      <c r="G295" s="44"/>
      <c r="H295" s="44"/>
      <c r="I295" s="44"/>
      <c r="J295" s="44"/>
      <c r="K295" s="44"/>
      <c r="L295" s="44"/>
      <c r="M295" s="44"/>
      <c r="N295" s="44"/>
      <c r="O295" s="44"/>
    </row>
    <row r="296" spans="1:15" ht="17.25" customHeight="1">
      <c r="A296" s="44"/>
      <c r="B296" s="44"/>
      <c r="C296" s="44"/>
      <c r="D296" s="44"/>
      <c r="E296" s="44"/>
      <c r="F296" s="44"/>
      <c r="G296" s="44"/>
      <c r="H296" s="44"/>
      <c r="I296" s="44"/>
      <c r="J296" s="44"/>
      <c r="K296" s="44"/>
      <c r="L296" s="44"/>
      <c r="M296" s="44"/>
      <c r="N296" s="44"/>
      <c r="O296" s="44"/>
    </row>
    <row r="297" spans="1:15" ht="17.25" customHeight="1">
      <c r="A297" s="44"/>
      <c r="B297" s="44"/>
      <c r="C297" s="44"/>
      <c r="D297" s="44"/>
      <c r="E297" s="44"/>
      <c r="F297" s="44"/>
      <c r="G297" s="44"/>
      <c r="H297" s="44"/>
      <c r="I297" s="44"/>
      <c r="J297" s="44"/>
      <c r="K297" s="44"/>
      <c r="L297" s="44"/>
      <c r="M297" s="44"/>
      <c r="N297" s="44"/>
      <c r="O297" s="44"/>
    </row>
    <row r="298" spans="1:15" ht="17.25" customHeight="1">
      <c r="A298" s="44"/>
      <c r="B298" s="44"/>
      <c r="C298" s="44"/>
      <c r="D298" s="44"/>
      <c r="E298" s="44"/>
      <c r="F298" s="44"/>
      <c r="G298" s="44"/>
      <c r="H298" s="44"/>
      <c r="I298" s="44"/>
      <c r="J298" s="44"/>
      <c r="K298" s="44"/>
      <c r="L298" s="44"/>
      <c r="M298" s="44"/>
      <c r="N298" s="44"/>
      <c r="O298" s="44"/>
    </row>
    <row r="299" spans="1:15" ht="17.25" customHeight="1">
      <c r="A299" s="44"/>
      <c r="B299" s="44"/>
      <c r="C299" s="44"/>
      <c r="D299" s="44"/>
      <c r="E299" s="44"/>
      <c r="F299" s="44"/>
      <c r="G299" s="44"/>
      <c r="H299" s="44"/>
      <c r="I299" s="44"/>
      <c r="J299" s="44"/>
      <c r="K299" s="44"/>
      <c r="L299" s="44"/>
      <c r="M299" s="44"/>
      <c r="N299" s="44"/>
      <c r="O299" s="44"/>
    </row>
    <row r="300" spans="1:15" ht="17.25" customHeight="1">
      <c r="A300" s="44"/>
      <c r="B300" s="44"/>
      <c r="C300" s="44"/>
      <c r="D300" s="44"/>
      <c r="E300" s="44"/>
      <c r="F300" s="44"/>
      <c r="G300" s="44"/>
      <c r="H300" s="44"/>
      <c r="I300" s="44"/>
      <c r="J300" s="44"/>
      <c r="K300" s="44"/>
      <c r="L300" s="44"/>
      <c r="M300" s="44"/>
      <c r="N300" s="44"/>
      <c r="O300" s="44"/>
    </row>
    <row r="301" spans="1:15" ht="17.25" customHeight="1">
      <c r="A301" s="44"/>
      <c r="B301" s="44"/>
      <c r="C301" s="44"/>
      <c r="D301" s="44"/>
      <c r="E301" s="44"/>
      <c r="F301" s="44"/>
      <c r="G301" s="44"/>
      <c r="H301" s="44"/>
      <c r="I301" s="44"/>
      <c r="J301" s="44"/>
      <c r="K301" s="44"/>
      <c r="L301" s="44"/>
      <c r="M301" s="44"/>
      <c r="N301" s="44"/>
      <c r="O301" s="44"/>
    </row>
    <row r="302" spans="1:15" ht="17.25" customHeight="1">
      <c r="A302" s="44"/>
      <c r="B302" s="44"/>
      <c r="C302" s="44"/>
      <c r="D302" s="44"/>
      <c r="E302" s="44"/>
      <c r="F302" s="44"/>
      <c r="G302" s="44"/>
      <c r="H302" s="44"/>
      <c r="I302" s="44"/>
      <c r="J302" s="44"/>
      <c r="K302" s="44"/>
      <c r="L302" s="44"/>
      <c r="M302" s="44"/>
      <c r="N302" s="44"/>
      <c r="O302" s="44"/>
    </row>
    <row r="303" spans="1:15" ht="17.25" customHeight="1">
      <c r="A303" s="44"/>
      <c r="B303" s="44"/>
      <c r="C303" s="44"/>
      <c r="D303" s="44"/>
      <c r="E303" s="44"/>
      <c r="F303" s="44"/>
      <c r="G303" s="44"/>
      <c r="H303" s="44"/>
      <c r="I303" s="44"/>
      <c r="J303" s="44"/>
      <c r="K303" s="44"/>
      <c r="L303" s="44"/>
      <c r="M303" s="44"/>
      <c r="N303" s="44"/>
      <c r="O303" s="44"/>
    </row>
    <row r="304" spans="1:15" ht="17.25" customHeight="1">
      <c r="A304" s="44"/>
      <c r="B304" s="44"/>
      <c r="C304" s="44"/>
      <c r="D304" s="44"/>
      <c r="E304" s="44"/>
      <c r="F304" s="44"/>
      <c r="G304" s="44"/>
      <c r="H304" s="44"/>
      <c r="I304" s="44"/>
      <c r="J304" s="44"/>
      <c r="K304" s="44"/>
      <c r="L304" s="44"/>
      <c r="M304" s="44"/>
      <c r="N304" s="44"/>
      <c r="O304" s="44"/>
    </row>
    <row r="305" spans="1:15" ht="17.25" customHeight="1">
      <c r="A305" s="44"/>
      <c r="B305" s="44"/>
      <c r="C305" s="44"/>
      <c r="D305" s="44"/>
      <c r="E305" s="44"/>
      <c r="F305" s="44"/>
      <c r="G305" s="44"/>
      <c r="H305" s="44"/>
      <c r="I305" s="44"/>
      <c r="J305" s="44"/>
      <c r="K305" s="44"/>
      <c r="L305" s="44"/>
      <c r="M305" s="44"/>
      <c r="N305" s="44"/>
      <c r="O305" s="44"/>
    </row>
    <row r="306" spans="1:15" ht="17.25" customHeight="1">
      <c r="A306" s="44"/>
      <c r="B306" s="44"/>
      <c r="C306" s="44"/>
      <c r="D306" s="44"/>
      <c r="E306" s="44"/>
      <c r="F306" s="44"/>
      <c r="G306" s="44"/>
      <c r="H306" s="44"/>
      <c r="I306" s="44"/>
      <c r="J306" s="44"/>
      <c r="K306" s="44"/>
      <c r="L306" s="44"/>
      <c r="M306" s="44"/>
      <c r="N306" s="44"/>
      <c r="O306" s="44"/>
    </row>
    <row r="307" spans="1:15" ht="17.25" customHeight="1">
      <c r="A307" s="44"/>
      <c r="B307" s="44"/>
      <c r="C307" s="44"/>
      <c r="D307" s="44"/>
      <c r="E307" s="44"/>
      <c r="F307" s="44"/>
      <c r="G307" s="44"/>
      <c r="H307" s="44"/>
      <c r="I307" s="44"/>
      <c r="J307" s="44"/>
      <c r="K307" s="44"/>
      <c r="L307" s="44"/>
      <c r="M307" s="44"/>
      <c r="N307" s="44"/>
      <c r="O307" s="44"/>
    </row>
    <row r="308" spans="1:15" ht="17.25" customHeight="1">
      <c r="A308" s="44"/>
      <c r="B308" s="44"/>
      <c r="C308" s="44"/>
      <c r="D308" s="44"/>
      <c r="E308" s="44"/>
      <c r="F308" s="44"/>
      <c r="G308" s="44"/>
      <c r="H308" s="44"/>
      <c r="I308" s="44"/>
      <c r="J308" s="44"/>
      <c r="K308" s="44"/>
      <c r="L308" s="44"/>
      <c r="M308" s="44"/>
      <c r="N308" s="44"/>
      <c r="O308" s="44"/>
    </row>
    <row r="309" spans="1:15" ht="17.25" customHeight="1">
      <c r="A309" s="44"/>
      <c r="B309" s="44"/>
      <c r="C309" s="44"/>
      <c r="D309" s="44"/>
      <c r="E309" s="44"/>
      <c r="F309" s="44"/>
      <c r="G309" s="44"/>
      <c r="H309" s="44"/>
      <c r="I309" s="44"/>
      <c r="J309" s="44"/>
      <c r="K309" s="44"/>
      <c r="L309" s="44"/>
      <c r="M309" s="44"/>
      <c r="N309" s="44"/>
      <c r="O309" s="44"/>
    </row>
    <row r="310" spans="1:15" ht="17.25" customHeight="1">
      <c r="A310" s="44"/>
      <c r="B310" s="44"/>
      <c r="C310" s="44"/>
      <c r="D310" s="44"/>
      <c r="E310" s="44"/>
      <c r="F310" s="44"/>
      <c r="G310" s="44"/>
      <c r="H310" s="44"/>
      <c r="I310" s="44"/>
      <c r="J310" s="44"/>
      <c r="K310" s="44"/>
      <c r="L310" s="44"/>
      <c r="M310" s="44"/>
      <c r="N310" s="44"/>
      <c r="O310" s="44"/>
    </row>
    <row r="311" spans="1:15" ht="17.25" customHeight="1">
      <c r="A311" s="44"/>
      <c r="B311" s="44"/>
      <c r="C311" s="44"/>
      <c r="D311" s="44"/>
      <c r="E311" s="44"/>
      <c r="F311" s="44"/>
      <c r="G311" s="44"/>
      <c r="H311" s="44"/>
      <c r="I311" s="44"/>
      <c r="J311" s="44"/>
      <c r="K311" s="44"/>
      <c r="L311" s="44"/>
      <c r="M311" s="44"/>
      <c r="N311" s="44"/>
      <c r="O311" s="44"/>
    </row>
    <row r="312" spans="1:15" ht="17.25" customHeight="1">
      <c r="A312" s="44"/>
      <c r="B312" s="44"/>
      <c r="C312" s="44"/>
      <c r="D312" s="44"/>
      <c r="E312" s="44"/>
      <c r="F312" s="44"/>
      <c r="G312" s="44"/>
      <c r="H312" s="44"/>
      <c r="I312" s="44"/>
      <c r="J312" s="44"/>
      <c r="K312" s="44"/>
      <c r="L312" s="44"/>
      <c r="M312" s="44"/>
      <c r="N312" s="44"/>
      <c r="O312" s="44"/>
    </row>
    <row r="313" spans="1:15" ht="17.25" customHeight="1">
      <c r="A313" s="44"/>
      <c r="B313" s="44"/>
      <c r="C313" s="44"/>
      <c r="D313" s="44"/>
      <c r="E313" s="44"/>
      <c r="F313" s="44"/>
      <c r="G313" s="44"/>
      <c r="H313" s="44"/>
      <c r="I313" s="44"/>
      <c r="J313" s="44"/>
      <c r="K313" s="44"/>
      <c r="L313" s="44"/>
      <c r="M313" s="44"/>
      <c r="N313" s="44"/>
      <c r="O313" s="44"/>
    </row>
    <row r="314" spans="1:15" ht="17.25" customHeight="1">
      <c r="A314" s="44"/>
      <c r="B314" s="44"/>
      <c r="C314" s="44"/>
      <c r="D314" s="44"/>
      <c r="E314" s="44"/>
      <c r="F314" s="44"/>
      <c r="G314" s="44"/>
      <c r="H314" s="44"/>
      <c r="I314" s="44"/>
      <c r="J314" s="44"/>
      <c r="K314" s="44"/>
      <c r="L314" s="44"/>
      <c r="M314" s="44"/>
      <c r="N314" s="44"/>
      <c r="O314" s="44"/>
    </row>
    <row r="315" spans="1:15" ht="17.25" customHeight="1">
      <c r="A315" s="44"/>
      <c r="B315" s="44"/>
      <c r="C315" s="44"/>
      <c r="D315" s="44"/>
      <c r="E315" s="44"/>
      <c r="F315" s="44"/>
      <c r="G315" s="44"/>
      <c r="H315" s="44"/>
      <c r="I315" s="44"/>
      <c r="J315" s="44"/>
      <c r="K315" s="44"/>
      <c r="L315" s="44"/>
      <c r="M315" s="44"/>
      <c r="N315" s="44"/>
      <c r="O315" s="44"/>
    </row>
    <row r="316" spans="1:15" ht="17.25" customHeight="1">
      <c r="A316" s="44"/>
      <c r="B316" s="44"/>
      <c r="C316" s="44"/>
      <c r="D316" s="44"/>
      <c r="E316" s="44"/>
      <c r="F316" s="44"/>
      <c r="G316" s="44"/>
      <c r="H316" s="44"/>
      <c r="I316" s="44"/>
      <c r="J316" s="44"/>
      <c r="K316" s="44"/>
      <c r="L316" s="44"/>
      <c r="M316" s="44"/>
      <c r="N316" s="44"/>
      <c r="O316" s="44"/>
    </row>
    <row r="317" spans="1:15" ht="17.25" customHeight="1">
      <c r="A317" s="44"/>
      <c r="B317" s="44"/>
      <c r="C317" s="44"/>
      <c r="D317" s="44"/>
      <c r="E317" s="44"/>
      <c r="F317" s="44"/>
      <c r="G317" s="44"/>
      <c r="H317" s="44"/>
      <c r="I317" s="44"/>
      <c r="J317" s="44"/>
      <c r="K317" s="44"/>
      <c r="L317" s="44"/>
      <c r="M317" s="44"/>
      <c r="N317" s="44"/>
      <c r="O317" s="44"/>
    </row>
    <row r="318" spans="1:15" ht="17.25" customHeight="1">
      <c r="A318" s="44"/>
      <c r="B318" s="44"/>
      <c r="C318" s="44"/>
      <c r="D318" s="44"/>
      <c r="E318" s="44"/>
      <c r="F318" s="44"/>
      <c r="G318" s="44"/>
      <c r="H318" s="44"/>
      <c r="I318" s="44"/>
      <c r="J318" s="44"/>
      <c r="K318" s="44"/>
      <c r="L318" s="44"/>
      <c r="M318" s="44"/>
      <c r="N318" s="44"/>
      <c r="O318" s="44"/>
    </row>
    <row r="319" spans="1:15" ht="17.25" customHeight="1">
      <c r="A319" s="44"/>
      <c r="B319" s="44"/>
      <c r="C319" s="44"/>
      <c r="D319" s="44"/>
      <c r="E319" s="44"/>
      <c r="F319" s="44"/>
      <c r="G319" s="44"/>
      <c r="H319" s="44"/>
      <c r="I319" s="44"/>
      <c r="J319" s="44"/>
      <c r="K319" s="44"/>
      <c r="L319" s="44"/>
      <c r="M319" s="44"/>
      <c r="N319" s="44"/>
      <c r="O319" s="44"/>
    </row>
    <row r="320" spans="1:15" ht="17.25" customHeight="1">
      <c r="A320" s="44"/>
      <c r="B320" s="44"/>
      <c r="C320" s="44"/>
      <c r="D320" s="44"/>
      <c r="E320" s="44"/>
      <c r="F320" s="44"/>
      <c r="G320" s="44"/>
      <c r="H320" s="44"/>
      <c r="I320" s="44"/>
      <c r="J320" s="44"/>
      <c r="K320" s="44"/>
      <c r="L320" s="44"/>
      <c r="M320" s="44"/>
      <c r="N320" s="44"/>
      <c r="O320" s="44"/>
    </row>
    <row r="321" spans="1:15" ht="17.25" customHeight="1">
      <c r="A321" s="44"/>
      <c r="B321" s="44"/>
      <c r="C321" s="44"/>
      <c r="D321" s="44"/>
      <c r="E321" s="44"/>
      <c r="F321" s="44"/>
      <c r="G321" s="44"/>
      <c r="H321" s="44"/>
      <c r="I321" s="44"/>
      <c r="J321" s="44"/>
      <c r="K321" s="44"/>
      <c r="L321" s="44"/>
      <c r="M321" s="44"/>
      <c r="N321" s="44"/>
      <c r="O321" s="44"/>
    </row>
    <row r="322" spans="1:15" ht="17.25" customHeight="1">
      <c r="A322" s="44"/>
      <c r="B322" s="44"/>
      <c r="C322" s="44"/>
      <c r="D322" s="44"/>
      <c r="E322" s="44"/>
      <c r="F322" s="44"/>
      <c r="G322" s="44"/>
      <c r="H322" s="44"/>
      <c r="I322" s="44"/>
      <c r="J322" s="44"/>
      <c r="K322" s="44"/>
      <c r="L322" s="44"/>
      <c r="M322" s="44"/>
      <c r="N322" s="44"/>
      <c r="O322" s="44"/>
    </row>
    <row r="323" spans="1:15" ht="17.25" customHeight="1">
      <c r="A323" s="44"/>
      <c r="B323" s="44"/>
      <c r="C323" s="44"/>
      <c r="D323" s="44"/>
      <c r="E323" s="44"/>
      <c r="F323" s="44"/>
      <c r="G323" s="44"/>
      <c r="H323" s="44"/>
      <c r="I323" s="44"/>
      <c r="J323" s="44"/>
      <c r="K323" s="44"/>
      <c r="L323" s="44"/>
      <c r="M323" s="44"/>
      <c r="N323" s="44"/>
      <c r="O323" s="44"/>
    </row>
    <row r="324" spans="1:15" ht="17.25" customHeight="1">
      <c r="A324" s="44"/>
      <c r="B324" s="44"/>
      <c r="C324" s="44"/>
      <c r="D324" s="44"/>
      <c r="E324" s="44"/>
      <c r="F324" s="44"/>
      <c r="G324" s="44"/>
      <c r="H324" s="44"/>
      <c r="I324" s="44"/>
      <c r="J324" s="44"/>
      <c r="K324" s="44"/>
      <c r="L324" s="44"/>
      <c r="M324" s="44"/>
      <c r="N324" s="44"/>
      <c r="O324" s="44"/>
    </row>
    <row r="325" spans="1:15" ht="17.25" customHeight="1">
      <c r="A325" s="44"/>
      <c r="B325" s="44"/>
      <c r="C325" s="44"/>
      <c r="D325" s="44"/>
      <c r="E325" s="44"/>
      <c r="F325" s="44"/>
      <c r="G325" s="44"/>
      <c r="H325" s="44"/>
      <c r="I325" s="44"/>
      <c r="J325" s="44"/>
      <c r="K325" s="44"/>
      <c r="L325" s="44"/>
      <c r="M325" s="44"/>
      <c r="N325" s="44"/>
      <c r="O325" s="44"/>
    </row>
    <row r="326" spans="1:15" ht="17.25" customHeight="1">
      <c r="A326" s="44"/>
      <c r="B326" s="44"/>
      <c r="C326" s="44"/>
      <c r="D326" s="44"/>
      <c r="E326" s="44"/>
      <c r="F326" s="44"/>
      <c r="G326" s="44"/>
      <c r="H326" s="44"/>
      <c r="I326" s="44"/>
      <c r="J326" s="44"/>
      <c r="K326" s="44"/>
      <c r="L326" s="44"/>
      <c r="M326" s="44"/>
      <c r="N326" s="44"/>
      <c r="O326" s="44"/>
    </row>
    <row r="327" spans="1:15" ht="17.25" customHeight="1">
      <c r="A327" s="44"/>
      <c r="B327" s="44"/>
      <c r="C327" s="44"/>
      <c r="D327" s="44"/>
      <c r="E327" s="44"/>
      <c r="F327" s="44"/>
      <c r="G327" s="44"/>
      <c r="H327" s="44"/>
      <c r="I327" s="44"/>
      <c r="J327" s="44"/>
      <c r="K327" s="44"/>
      <c r="L327" s="44"/>
      <c r="M327" s="44"/>
      <c r="N327" s="44"/>
      <c r="O327" s="44"/>
    </row>
    <row r="328" spans="1:15" ht="17.25" customHeight="1">
      <c r="A328" s="44"/>
      <c r="B328" s="44"/>
      <c r="C328" s="44"/>
      <c r="D328" s="44"/>
      <c r="E328" s="44"/>
      <c r="F328" s="44"/>
      <c r="G328" s="44"/>
      <c r="H328" s="44"/>
      <c r="I328" s="44"/>
      <c r="J328" s="44"/>
      <c r="K328" s="44"/>
      <c r="L328" s="44"/>
      <c r="M328" s="44"/>
      <c r="N328" s="44"/>
      <c r="O328" s="44"/>
    </row>
    <row r="329" spans="1:15" ht="17.25" customHeight="1">
      <c r="A329" s="44"/>
      <c r="B329" s="44"/>
      <c r="C329" s="44"/>
      <c r="D329" s="44"/>
      <c r="E329" s="44"/>
      <c r="F329" s="44"/>
      <c r="G329" s="44"/>
      <c r="H329" s="44"/>
      <c r="I329" s="44"/>
      <c r="J329" s="44"/>
      <c r="K329" s="44"/>
      <c r="L329" s="44"/>
      <c r="M329" s="44"/>
      <c r="N329" s="44"/>
      <c r="O329" s="44"/>
    </row>
    <row r="330" spans="1:15" ht="17.25" customHeight="1">
      <c r="A330" s="44"/>
      <c r="B330" s="44"/>
      <c r="C330" s="44"/>
      <c r="D330" s="44"/>
      <c r="E330" s="44"/>
      <c r="F330" s="44"/>
      <c r="G330" s="44"/>
      <c r="H330" s="44"/>
      <c r="I330" s="44"/>
      <c r="J330" s="44"/>
      <c r="K330" s="44"/>
      <c r="L330" s="44"/>
      <c r="M330" s="44"/>
      <c r="N330" s="44"/>
      <c r="O330" s="44"/>
    </row>
    <row r="331" spans="1:15" ht="17.25" customHeight="1">
      <c r="A331" s="44"/>
      <c r="B331" s="44"/>
      <c r="C331" s="44"/>
      <c r="D331" s="44"/>
      <c r="E331" s="44"/>
      <c r="F331" s="44"/>
      <c r="G331" s="44"/>
      <c r="H331" s="44"/>
      <c r="I331" s="44"/>
      <c r="J331" s="44"/>
      <c r="K331" s="44"/>
      <c r="L331" s="44"/>
      <c r="M331" s="44"/>
      <c r="N331" s="44"/>
      <c r="O331" s="44"/>
    </row>
    <row r="332" spans="1:15" ht="17.25" customHeight="1">
      <c r="A332" s="44"/>
      <c r="B332" s="44"/>
      <c r="C332" s="44"/>
      <c r="D332" s="44"/>
      <c r="E332" s="44"/>
      <c r="F332" s="44"/>
      <c r="G332" s="44"/>
      <c r="H332" s="44"/>
      <c r="I332" s="44"/>
      <c r="J332" s="44"/>
      <c r="K332" s="44"/>
      <c r="L332" s="44"/>
      <c r="M332" s="44"/>
      <c r="N332" s="44"/>
      <c r="O332" s="44"/>
    </row>
    <row r="333" spans="1:15" ht="17.25" customHeight="1">
      <c r="A333" s="44"/>
      <c r="B333" s="44"/>
      <c r="C333" s="44"/>
      <c r="D333" s="44"/>
      <c r="E333" s="44"/>
      <c r="F333" s="44"/>
      <c r="G333" s="44"/>
      <c r="H333" s="44"/>
      <c r="I333" s="44"/>
      <c r="J333" s="44"/>
      <c r="K333" s="44"/>
      <c r="L333" s="44"/>
      <c r="M333" s="44"/>
      <c r="N333" s="44"/>
      <c r="O333" s="44"/>
    </row>
    <row r="334" spans="1:15" ht="17.25" customHeight="1">
      <c r="A334" s="44"/>
      <c r="B334" s="44"/>
      <c r="C334" s="44"/>
      <c r="D334" s="44"/>
      <c r="E334" s="44"/>
      <c r="F334" s="44"/>
      <c r="G334" s="44"/>
      <c r="H334" s="44"/>
      <c r="I334" s="44"/>
      <c r="J334" s="44"/>
      <c r="K334" s="44"/>
      <c r="L334" s="44"/>
      <c r="M334" s="44"/>
      <c r="N334" s="44"/>
      <c r="O334" s="44"/>
    </row>
    <row r="335" spans="1:15" ht="17.25" customHeight="1">
      <c r="A335" s="44"/>
      <c r="B335" s="44"/>
      <c r="C335" s="44"/>
      <c r="D335" s="44"/>
      <c r="E335" s="44"/>
      <c r="F335" s="44"/>
      <c r="G335" s="44"/>
      <c r="H335" s="44"/>
      <c r="I335" s="44"/>
      <c r="J335" s="44"/>
      <c r="K335" s="44"/>
      <c r="L335" s="44"/>
      <c r="M335" s="44"/>
      <c r="N335" s="44"/>
      <c r="O335" s="44"/>
    </row>
    <row r="336" spans="1:15" ht="17.25" customHeight="1">
      <c r="A336" s="44"/>
      <c r="B336" s="44"/>
      <c r="C336" s="44"/>
      <c r="D336" s="44"/>
      <c r="E336" s="44"/>
      <c r="F336" s="44"/>
      <c r="G336" s="44"/>
      <c r="H336" s="44"/>
      <c r="I336" s="44"/>
      <c r="J336" s="44"/>
      <c r="K336" s="44"/>
      <c r="L336" s="44"/>
      <c r="M336" s="44"/>
      <c r="N336" s="44"/>
      <c r="O336" s="44"/>
    </row>
    <row r="337" spans="1:15" ht="17.25" customHeight="1">
      <c r="A337" s="44"/>
      <c r="B337" s="44"/>
      <c r="C337" s="44"/>
      <c r="D337" s="44"/>
      <c r="E337" s="44"/>
      <c r="F337" s="44"/>
      <c r="G337" s="44"/>
      <c r="H337" s="44"/>
      <c r="I337" s="44"/>
      <c r="J337" s="44"/>
      <c r="K337" s="44"/>
      <c r="L337" s="44"/>
      <c r="M337" s="44"/>
      <c r="N337" s="44"/>
      <c r="O337" s="44"/>
    </row>
    <row r="338" spans="1:15" ht="17.25" customHeight="1">
      <c r="A338" s="44"/>
      <c r="B338" s="44"/>
      <c r="C338" s="44"/>
      <c r="D338" s="44"/>
      <c r="E338" s="44"/>
      <c r="F338" s="44"/>
      <c r="G338" s="44"/>
      <c r="H338" s="44"/>
      <c r="I338" s="44"/>
      <c r="J338" s="44"/>
      <c r="K338" s="44"/>
      <c r="L338" s="44"/>
      <c r="M338" s="44"/>
      <c r="N338" s="44"/>
      <c r="O338" s="44"/>
    </row>
    <row r="339" spans="1:15" ht="17.25" customHeight="1">
      <c r="A339" s="44"/>
      <c r="B339" s="44"/>
      <c r="C339" s="44"/>
      <c r="D339" s="44"/>
      <c r="E339" s="44"/>
      <c r="F339" s="44"/>
      <c r="G339" s="44"/>
      <c r="H339" s="44"/>
      <c r="I339" s="44"/>
      <c r="J339" s="44"/>
      <c r="K339" s="44"/>
      <c r="L339" s="44"/>
      <c r="M339" s="44"/>
      <c r="N339" s="44"/>
      <c r="O339" s="44"/>
    </row>
    <row r="340" spans="1:15" ht="17.25" customHeight="1">
      <c r="A340" s="44"/>
      <c r="B340" s="44"/>
      <c r="C340" s="44"/>
      <c r="D340" s="44"/>
      <c r="E340" s="44"/>
      <c r="F340" s="44"/>
      <c r="G340" s="44"/>
      <c r="H340" s="44"/>
      <c r="I340" s="44"/>
      <c r="J340" s="44"/>
      <c r="K340" s="44"/>
      <c r="L340" s="44"/>
      <c r="M340" s="44"/>
      <c r="N340" s="44"/>
      <c r="O340" s="44"/>
    </row>
    <row r="341" spans="1:15" ht="17.25" customHeight="1">
      <c r="A341" s="44"/>
      <c r="B341" s="44"/>
      <c r="C341" s="44"/>
      <c r="D341" s="44"/>
      <c r="E341" s="44"/>
      <c r="F341" s="44"/>
      <c r="G341" s="44"/>
      <c r="H341" s="44"/>
      <c r="I341" s="44"/>
      <c r="J341" s="44"/>
      <c r="K341" s="44"/>
      <c r="L341" s="44"/>
      <c r="M341" s="44"/>
      <c r="N341" s="44"/>
      <c r="O341" s="44"/>
    </row>
    <row r="342" spans="1:15" ht="17.25" customHeight="1">
      <c r="A342" s="44"/>
      <c r="B342" s="44"/>
      <c r="C342" s="44"/>
      <c r="D342" s="44"/>
      <c r="E342" s="44"/>
      <c r="F342" s="44"/>
      <c r="G342" s="44"/>
      <c r="H342" s="44"/>
      <c r="I342" s="44"/>
      <c r="J342" s="44"/>
      <c r="K342" s="44"/>
      <c r="L342" s="44"/>
      <c r="M342" s="44"/>
      <c r="N342" s="44"/>
      <c r="O342" s="44"/>
    </row>
    <row r="343" spans="1:15" ht="17.25" customHeight="1">
      <c r="A343" s="44"/>
      <c r="B343" s="44"/>
      <c r="C343" s="44"/>
      <c r="D343" s="44"/>
      <c r="E343" s="44"/>
      <c r="F343" s="44"/>
      <c r="G343" s="44"/>
      <c r="H343" s="44"/>
      <c r="I343" s="44"/>
      <c r="J343" s="44"/>
      <c r="K343" s="44"/>
      <c r="L343" s="44"/>
      <c r="M343" s="44"/>
      <c r="N343" s="44"/>
      <c r="O343" s="44"/>
    </row>
    <row r="344" spans="1:15" ht="17.25" customHeight="1">
      <c r="A344" s="44"/>
      <c r="B344" s="44"/>
      <c r="C344" s="44"/>
      <c r="D344" s="44"/>
      <c r="E344" s="44"/>
      <c r="F344" s="44"/>
      <c r="G344" s="44"/>
      <c r="H344" s="44"/>
      <c r="I344" s="44"/>
      <c r="J344" s="44"/>
      <c r="K344" s="44"/>
      <c r="L344" s="44"/>
      <c r="M344" s="44"/>
      <c r="N344" s="44"/>
      <c r="O344" s="44"/>
    </row>
    <row r="345" spans="1:15" ht="17.25" customHeight="1">
      <c r="A345" s="44"/>
      <c r="B345" s="44"/>
      <c r="C345" s="44"/>
      <c r="D345" s="44"/>
      <c r="E345" s="44"/>
      <c r="F345" s="44"/>
      <c r="G345" s="44"/>
      <c r="H345" s="44"/>
      <c r="I345" s="44"/>
      <c r="J345" s="44"/>
      <c r="K345" s="44"/>
      <c r="L345" s="44"/>
      <c r="M345" s="44"/>
      <c r="N345" s="44"/>
      <c r="O345" s="44"/>
    </row>
    <row r="346" spans="1:15" ht="17.25" customHeight="1">
      <c r="A346" s="44"/>
      <c r="B346" s="44"/>
      <c r="C346" s="44"/>
      <c r="D346" s="44"/>
      <c r="E346" s="44"/>
      <c r="F346" s="44"/>
      <c r="G346" s="44"/>
      <c r="H346" s="44"/>
      <c r="I346" s="44"/>
      <c r="J346" s="44"/>
      <c r="K346" s="44"/>
      <c r="L346" s="44"/>
      <c r="M346" s="44"/>
      <c r="N346" s="44"/>
      <c r="O346" s="44"/>
    </row>
    <row r="347" spans="1:15" ht="17.25" customHeight="1">
      <c r="A347" s="44"/>
      <c r="B347" s="44"/>
      <c r="C347" s="44"/>
      <c r="D347" s="44"/>
      <c r="E347" s="44"/>
      <c r="F347" s="44"/>
      <c r="G347" s="44"/>
      <c r="H347" s="44"/>
      <c r="I347" s="44"/>
      <c r="J347" s="44"/>
      <c r="K347" s="44"/>
      <c r="L347" s="44"/>
      <c r="M347" s="44"/>
      <c r="N347" s="44"/>
      <c r="O347" s="44"/>
    </row>
    <row r="348" spans="1:15" ht="17.25" customHeight="1">
      <c r="A348" s="44"/>
      <c r="B348" s="44"/>
      <c r="C348" s="44"/>
      <c r="D348" s="44"/>
      <c r="E348" s="44"/>
      <c r="F348" s="44"/>
      <c r="G348" s="44"/>
      <c r="H348" s="44"/>
      <c r="I348" s="44"/>
      <c r="J348" s="44"/>
      <c r="K348" s="44"/>
      <c r="L348" s="44"/>
      <c r="M348" s="44"/>
      <c r="N348" s="44"/>
      <c r="O348" s="44"/>
    </row>
    <row r="349" spans="1:15" ht="17.25" customHeight="1">
      <c r="A349" s="44"/>
      <c r="B349" s="44"/>
      <c r="C349" s="44"/>
      <c r="D349" s="44"/>
      <c r="E349" s="44"/>
      <c r="F349" s="44"/>
      <c r="G349" s="44"/>
      <c r="H349" s="44"/>
      <c r="I349" s="44"/>
      <c r="J349" s="44"/>
      <c r="K349" s="44"/>
      <c r="L349" s="44"/>
      <c r="M349" s="44"/>
      <c r="N349" s="44"/>
      <c r="O349" s="44"/>
    </row>
    <row r="350" spans="1:15" ht="17.25" customHeight="1">
      <c r="A350" s="44"/>
      <c r="B350" s="44"/>
      <c r="C350" s="44"/>
      <c r="D350" s="44"/>
      <c r="E350" s="44"/>
      <c r="F350" s="44"/>
      <c r="G350" s="44"/>
      <c r="H350" s="44"/>
      <c r="I350" s="44"/>
      <c r="J350" s="44"/>
      <c r="K350" s="44"/>
      <c r="L350" s="44"/>
      <c r="M350" s="44"/>
      <c r="N350" s="44"/>
      <c r="O350" s="44"/>
    </row>
    <row r="351" spans="1:15" ht="17.25" customHeight="1">
      <c r="A351" s="44"/>
      <c r="B351" s="44"/>
      <c r="C351" s="44"/>
      <c r="D351" s="44"/>
      <c r="E351" s="44"/>
      <c r="F351" s="44"/>
      <c r="G351" s="44"/>
      <c r="H351" s="44"/>
      <c r="I351" s="44"/>
      <c r="J351" s="44"/>
      <c r="K351" s="44"/>
      <c r="L351" s="44"/>
      <c r="M351" s="44"/>
      <c r="N351" s="44"/>
      <c r="O351" s="44"/>
    </row>
    <row r="352" spans="1:15" ht="17.25" customHeight="1">
      <c r="A352" s="44"/>
      <c r="B352" s="44"/>
      <c r="C352" s="44"/>
      <c r="D352" s="44"/>
      <c r="E352" s="44"/>
      <c r="F352" s="44"/>
      <c r="G352" s="44"/>
      <c r="H352" s="44"/>
      <c r="I352" s="44"/>
      <c r="J352" s="44"/>
      <c r="K352" s="44"/>
      <c r="L352" s="44"/>
      <c r="M352" s="44"/>
      <c r="N352" s="44"/>
      <c r="O352" s="44"/>
    </row>
    <row r="353" spans="1:15" ht="17.25" customHeight="1">
      <c r="A353" s="44"/>
      <c r="B353" s="44"/>
      <c r="C353" s="44"/>
      <c r="D353" s="44"/>
      <c r="E353" s="44"/>
      <c r="F353" s="44"/>
      <c r="G353" s="44"/>
      <c r="H353" s="44"/>
      <c r="I353" s="44"/>
      <c r="J353" s="44"/>
      <c r="K353" s="44"/>
      <c r="L353" s="44"/>
      <c r="M353" s="44"/>
      <c r="N353" s="44"/>
      <c r="O353" s="44"/>
    </row>
    <row r="354" spans="1:15" ht="17.25" customHeight="1">
      <c r="A354" s="44"/>
      <c r="B354" s="44"/>
      <c r="C354" s="44"/>
      <c r="D354" s="44"/>
      <c r="E354" s="44"/>
      <c r="F354" s="44"/>
      <c r="G354" s="44"/>
      <c r="H354" s="44"/>
      <c r="I354" s="44"/>
      <c r="J354" s="44"/>
      <c r="K354" s="44"/>
      <c r="L354" s="44"/>
      <c r="M354" s="44"/>
      <c r="N354" s="44"/>
      <c r="O354" s="44"/>
    </row>
    <row r="355" spans="1:15" ht="17.25" customHeight="1">
      <c r="A355" s="44"/>
      <c r="B355" s="44"/>
      <c r="C355" s="44"/>
      <c r="D355" s="44"/>
      <c r="E355" s="44"/>
      <c r="F355" s="44"/>
      <c r="G355" s="44"/>
      <c r="H355" s="44"/>
      <c r="I355" s="44"/>
      <c r="J355" s="44"/>
      <c r="K355" s="44"/>
      <c r="L355" s="44"/>
      <c r="M355" s="44"/>
      <c r="N355" s="44"/>
      <c r="O355" s="44"/>
    </row>
    <row r="356" spans="1:15" ht="17.25" customHeight="1">
      <c r="A356" s="44"/>
      <c r="B356" s="44"/>
      <c r="C356" s="44"/>
      <c r="D356" s="44"/>
      <c r="E356" s="44"/>
      <c r="F356" s="44"/>
      <c r="G356" s="44"/>
      <c r="H356" s="44"/>
      <c r="I356" s="44"/>
      <c r="J356" s="44"/>
      <c r="K356" s="44"/>
      <c r="L356" s="44"/>
      <c r="M356" s="44"/>
      <c r="N356" s="44"/>
      <c r="O356" s="44"/>
    </row>
    <row r="357" spans="1:15" ht="17.25" customHeight="1">
      <c r="A357" s="44"/>
      <c r="B357" s="44"/>
      <c r="C357" s="44"/>
      <c r="D357" s="44"/>
      <c r="E357" s="44"/>
      <c r="F357" s="44"/>
      <c r="G357" s="44"/>
      <c r="H357" s="44"/>
      <c r="I357" s="44"/>
      <c r="J357" s="44"/>
      <c r="K357" s="44"/>
      <c r="L357" s="44"/>
      <c r="M357" s="44"/>
      <c r="N357" s="44"/>
      <c r="O357" s="44"/>
    </row>
    <row r="358" spans="1:15" ht="17.25" customHeight="1">
      <c r="A358" s="44"/>
      <c r="B358" s="44"/>
      <c r="C358" s="44"/>
      <c r="D358" s="44"/>
      <c r="E358" s="44"/>
      <c r="F358" s="44"/>
      <c r="G358" s="44"/>
      <c r="H358" s="44"/>
      <c r="I358" s="44"/>
      <c r="J358" s="44"/>
      <c r="K358" s="44"/>
      <c r="L358" s="44"/>
      <c r="M358" s="44"/>
      <c r="N358" s="44"/>
      <c r="O358" s="44"/>
    </row>
    <row r="359" spans="1:15" ht="17.25" customHeight="1">
      <c r="A359" s="44"/>
      <c r="B359" s="44"/>
      <c r="C359" s="44"/>
      <c r="D359" s="44"/>
      <c r="E359" s="44"/>
      <c r="F359" s="44"/>
      <c r="G359" s="44"/>
      <c r="H359" s="44"/>
      <c r="I359" s="44"/>
      <c r="J359" s="44"/>
      <c r="K359" s="44"/>
      <c r="L359" s="44"/>
      <c r="M359" s="44"/>
      <c r="N359" s="44"/>
      <c r="O359" s="44"/>
    </row>
    <row r="360" spans="1:15" ht="17.25" customHeight="1">
      <c r="A360" s="44"/>
      <c r="B360" s="44"/>
      <c r="C360" s="44"/>
      <c r="D360" s="44"/>
      <c r="E360" s="44"/>
      <c r="F360" s="44"/>
      <c r="G360" s="44"/>
      <c r="H360" s="44"/>
      <c r="I360" s="44"/>
      <c r="J360" s="44"/>
      <c r="K360" s="44"/>
      <c r="L360" s="44"/>
      <c r="M360" s="44"/>
      <c r="N360" s="44"/>
      <c r="O360" s="44"/>
    </row>
    <row r="361" spans="1:15" ht="17.25" customHeight="1">
      <c r="A361" s="44"/>
      <c r="B361" s="44"/>
      <c r="C361" s="44"/>
      <c r="D361" s="44"/>
      <c r="E361" s="44"/>
      <c r="F361" s="44"/>
      <c r="G361" s="44"/>
      <c r="H361" s="44"/>
      <c r="I361" s="44"/>
      <c r="J361" s="44"/>
      <c r="K361" s="44"/>
      <c r="L361" s="44"/>
      <c r="M361" s="44"/>
      <c r="N361" s="44"/>
      <c r="O361" s="44"/>
    </row>
    <row r="362" spans="1:15" ht="17.25" customHeight="1">
      <c r="A362" s="44"/>
      <c r="B362" s="44"/>
      <c r="C362" s="44"/>
      <c r="D362" s="44"/>
      <c r="E362" s="44"/>
      <c r="F362" s="44"/>
      <c r="G362" s="44"/>
      <c r="H362" s="44"/>
      <c r="I362" s="44"/>
      <c r="J362" s="44"/>
      <c r="K362" s="44"/>
      <c r="L362" s="44"/>
      <c r="M362" s="44"/>
      <c r="N362" s="44"/>
      <c r="O362" s="44"/>
    </row>
    <row r="363" spans="1:15" ht="17.25" customHeight="1">
      <c r="A363" s="44"/>
      <c r="B363" s="44"/>
      <c r="C363" s="44"/>
      <c r="D363" s="44"/>
      <c r="E363" s="44"/>
      <c r="F363" s="44"/>
      <c r="G363" s="44"/>
      <c r="H363" s="44"/>
      <c r="I363" s="44"/>
      <c r="J363" s="44"/>
      <c r="K363" s="44"/>
      <c r="L363" s="44"/>
      <c r="M363" s="44"/>
      <c r="N363" s="44"/>
      <c r="O363" s="44"/>
    </row>
    <row r="364" spans="1:15" ht="17.25" customHeight="1">
      <c r="A364" s="44"/>
      <c r="B364" s="44"/>
      <c r="C364" s="44"/>
      <c r="D364" s="44"/>
      <c r="E364" s="44"/>
      <c r="F364" s="44"/>
      <c r="G364" s="44"/>
      <c r="H364" s="44"/>
      <c r="I364" s="44"/>
      <c r="J364" s="44"/>
      <c r="K364" s="44"/>
      <c r="L364" s="44"/>
      <c r="M364" s="44"/>
      <c r="N364" s="44"/>
      <c r="O364" s="44"/>
    </row>
    <row r="365" spans="1:15" ht="17.25" customHeight="1">
      <c r="A365" s="44"/>
      <c r="B365" s="44"/>
      <c r="C365" s="44"/>
      <c r="D365" s="44"/>
      <c r="E365" s="44"/>
      <c r="F365" s="44"/>
      <c r="G365" s="44"/>
      <c r="H365" s="44"/>
      <c r="I365" s="44"/>
      <c r="J365" s="44"/>
      <c r="K365" s="44"/>
      <c r="L365" s="44"/>
      <c r="M365" s="44"/>
      <c r="N365" s="44"/>
      <c r="O365" s="44"/>
    </row>
    <row r="366" spans="1:15" ht="17.25" customHeight="1">
      <c r="A366" s="44"/>
      <c r="B366" s="44"/>
      <c r="C366" s="44"/>
      <c r="D366" s="44"/>
      <c r="E366" s="44"/>
      <c r="F366" s="44"/>
      <c r="G366" s="44"/>
      <c r="H366" s="44"/>
      <c r="I366" s="44"/>
      <c r="J366" s="44"/>
      <c r="K366" s="44"/>
      <c r="L366" s="44"/>
      <c r="M366" s="44"/>
      <c r="N366" s="44"/>
      <c r="O366" s="44"/>
    </row>
    <row r="367" spans="1:15" ht="17.25" customHeight="1">
      <c r="A367" s="44"/>
      <c r="B367" s="44"/>
      <c r="C367" s="44"/>
      <c r="D367" s="44"/>
      <c r="E367" s="44"/>
      <c r="F367" s="44"/>
      <c r="G367" s="44"/>
      <c r="H367" s="44"/>
      <c r="I367" s="44"/>
      <c r="J367" s="44"/>
      <c r="K367" s="44"/>
      <c r="L367" s="44"/>
      <c r="M367" s="44"/>
      <c r="N367" s="44"/>
      <c r="O367" s="44"/>
    </row>
    <row r="368" spans="1:15" ht="17.25" customHeight="1">
      <c r="A368" s="44"/>
      <c r="B368" s="44"/>
      <c r="C368" s="44"/>
      <c r="D368" s="44"/>
      <c r="E368" s="44"/>
      <c r="F368" s="44"/>
      <c r="G368" s="44"/>
      <c r="H368" s="44"/>
      <c r="I368" s="44"/>
      <c r="J368" s="44"/>
      <c r="K368" s="44"/>
      <c r="L368" s="44"/>
      <c r="M368" s="44"/>
      <c r="N368" s="44"/>
      <c r="O368" s="44"/>
    </row>
    <row r="369" spans="1:15" ht="17.25" customHeight="1">
      <c r="A369" s="44"/>
      <c r="B369" s="44"/>
      <c r="C369" s="44"/>
      <c r="D369" s="44"/>
      <c r="E369" s="44"/>
      <c r="F369" s="44"/>
      <c r="G369" s="44"/>
      <c r="H369" s="44"/>
      <c r="I369" s="44"/>
      <c r="J369" s="44"/>
      <c r="K369" s="44"/>
      <c r="L369" s="44"/>
      <c r="M369" s="44"/>
      <c r="N369" s="44"/>
      <c r="O369" s="44"/>
    </row>
    <row r="370" spans="1:15" ht="17.25" customHeight="1">
      <c r="A370" s="44"/>
      <c r="B370" s="44"/>
      <c r="C370" s="44"/>
      <c r="D370" s="44"/>
      <c r="E370" s="44"/>
      <c r="F370" s="44"/>
      <c r="G370" s="44"/>
      <c r="H370" s="44"/>
      <c r="I370" s="44"/>
      <c r="J370" s="44"/>
      <c r="K370" s="44"/>
      <c r="L370" s="44"/>
      <c r="M370" s="44"/>
      <c r="N370" s="44"/>
      <c r="O370" s="44"/>
    </row>
    <row r="371" spans="1:15" ht="17.25" customHeight="1">
      <c r="A371" s="44"/>
      <c r="B371" s="44"/>
      <c r="C371" s="44"/>
      <c r="D371" s="44"/>
      <c r="E371" s="44"/>
      <c r="F371" s="44"/>
      <c r="G371" s="44"/>
      <c r="H371" s="44"/>
      <c r="I371" s="44"/>
      <c r="J371" s="44"/>
      <c r="K371" s="44"/>
      <c r="L371" s="44"/>
      <c r="M371" s="44"/>
      <c r="N371" s="44"/>
      <c r="O371" s="44"/>
    </row>
    <row r="372" spans="1:15" ht="17.25" customHeight="1">
      <c r="A372" s="44"/>
      <c r="B372" s="44"/>
      <c r="C372" s="44"/>
      <c r="D372" s="44"/>
      <c r="E372" s="44"/>
      <c r="F372" s="44"/>
      <c r="G372" s="44"/>
      <c r="H372" s="44"/>
      <c r="I372" s="44"/>
      <c r="J372" s="44"/>
      <c r="K372" s="44"/>
      <c r="L372" s="44"/>
      <c r="M372" s="44"/>
      <c r="N372" s="44"/>
      <c r="O372" s="44"/>
    </row>
    <row r="373" spans="1:15" ht="17.25" customHeight="1">
      <c r="A373" s="44"/>
      <c r="B373" s="44"/>
      <c r="C373" s="44"/>
      <c r="D373" s="44"/>
      <c r="E373" s="44"/>
      <c r="F373" s="44"/>
      <c r="G373" s="44"/>
      <c r="H373" s="44"/>
      <c r="I373" s="44"/>
      <c r="J373" s="44"/>
      <c r="K373" s="44"/>
      <c r="L373" s="44"/>
      <c r="M373" s="44"/>
      <c r="N373" s="44"/>
      <c r="O373" s="44"/>
    </row>
    <row r="374" spans="1:15" ht="17.25" customHeight="1">
      <c r="A374" s="44"/>
      <c r="B374" s="44"/>
      <c r="C374" s="44"/>
      <c r="D374" s="44"/>
      <c r="E374" s="44"/>
      <c r="F374" s="44"/>
      <c r="G374" s="44"/>
      <c r="H374" s="44"/>
      <c r="I374" s="44"/>
      <c r="J374" s="44"/>
      <c r="K374" s="44"/>
      <c r="L374" s="44"/>
      <c r="M374" s="44"/>
      <c r="N374" s="44"/>
      <c r="O374" s="44"/>
    </row>
    <row r="375" spans="1:15" ht="17.25" customHeight="1">
      <c r="A375" s="44"/>
      <c r="B375" s="44"/>
      <c r="C375" s="44"/>
      <c r="D375" s="44"/>
      <c r="E375" s="44"/>
      <c r="F375" s="44"/>
      <c r="G375" s="44"/>
      <c r="H375" s="44"/>
      <c r="I375" s="44"/>
      <c r="J375" s="44"/>
      <c r="K375" s="44"/>
      <c r="L375" s="44"/>
      <c r="M375" s="44"/>
      <c r="N375" s="44"/>
      <c r="O375" s="44"/>
    </row>
    <row r="376" spans="1:15" ht="17.25" customHeight="1">
      <c r="A376" s="44"/>
      <c r="B376" s="44"/>
      <c r="C376" s="44"/>
      <c r="D376" s="44"/>
      <c r="E376" s="44"/>
      <c r="F376" s="44"/>
      <c r="G376" s="44"/>
      <c r="H376" s="44"/>
      <c r="I376" s="44"/>
      <c r="J376" s="44"/>
      <c r="K376" s="44"/>
      <c r="L376" s="44"/>
      <c r="M376" s="44"/>
      <c r="N376" s="44"/>
      <c r="O376" s="44"/>
    </row>
    <row r="377" spans="1:15" ht="17.25" customHeight="1">
      <c r="A377" s="44"/>
      <c r="B377" s="44"/>
      <c r="C377" s="44"/>
      <c r="D377" s="44"/>
      <c r="E377" s="44"/>
      <c r="F377" s="44"/>
      <c r="G377" s="44"/>
      <c r="H377" s="44"/>
      <c r="I377" s="44"/>
      <c r="J377" s="44"/>
      <c r="K377" s="44"/>
      <c r="L377" s="44"/>
      <c r="M377" s="44"/>
      <c r="N377" s="44"/>
      <c r="O377" s="44"/>
    </row>
    <row r="378" spans="1:15" ht="17.25" customHeight="1">
      <c r="A378" s="44"/>
      <c r="B378" s="44"/>
      <c r="C378" s="44"/>
      <c r="D378" s="44"/>
      <c r="E378" s="44"/>
      <c r="F378" s="44"/>
      <c r="G378" s="44"/>
      <c r="H378" s="44"/>
      <c r="I378" s="44"/>
      <c r="J378" s="44"/>
      <c r="K378" s="44"/>
      <c r="L378" s="44"/>
      <c r="M378" s="44"/>
      <c r="N378" s="44"/>
      <c r="O378" s="44"/>
    </row>
    <row r="379" spans="1:15" ht="17.25" customHeight="1">
      <c r="A379" s="44"/>
      <c r="B379" s="44"/>
      <c r="C379" s="44"/>
      <c r="D379" s="44"/>
      <c r="E379" s="44"/>
      <c r="F379" s="44"/>
      <c r="G379" s="44"/>
      <c r="H379" s="44"/>
      <c r="I379" s="44"/>
      <c r="J379" s="44"/>
      <c r="K379" s="44"/>
      <c r="L379" s="44"/>
      <c r="M379" s="44"/>
      <c r="N379" s="44"/>
      <c r="O379" s="44"/>
    </row>
    <row r="380" spans="1:15" ht="17.25" customHeight="1">
      <c r="A380" s="44"/>
      <c r="B380" s="44"/>
      <c r="C380" s="44"/>
      <c r="D380" s="44"/>
      <c r="E380" s="44"/>
      <c r="F380" s="44"/>
      <c r="G380" s="44"/>
      <c r="H380" s="44"/>
      <c r="I380" s="44"/>
      <c r="J380" s="44"/>
      <c r="K380" s="44"/>
      <c r="L380" s="44"/>
      <c r="M380" s="44"/>
      <c r="N380" s="44"/>
      <c r="O380" s="44"/>
    </row>
    <row r="381" spans="1:15" ht="17.25" customHeight="1">
      <c r="A381" s="44"/>
      <c r="B381" s="44"/>
      <c r="C381" s="44"/>
      <c r="D381" s="44"/>
      <c r="E381" s="44"/>
      <c r="F381" s="44"/>
      <c r="G381" s="44"/>
      <c r="H381" s="44"/>
      <c r="I381" s="44"/>
      <c r="J381" s="44"/>
      <c r="K381" s="44"/>
      <c r="L381" s="44"/>
      <c r="M381" s="44"/>
      <c r="N381" s="44"/>
      <c r="O381" s="44"/>
    </row>
    <row r="382" spans="1:15" ht="17.25" customHeight="1">
      <c r="A382" s="44"/>
      <c r="B382" s="44"/>
      <c r="C382" s="44"/>
      <c r="D382" s="44"/>
      <c r="E382" s="44"/>
      <c r="F382" s="44"/>
      <c r="G382" s="44"/>
      <c r="H382" s="44"/>
      <c r="I382" s="44"/>
      <c r="J382" s="44"/>
      <c r="K382" s="44"/>
      <c r="L382" s="44"/>
      <c r="M382" s="44"/>
      <c r="N382" s="44"/>
      <c r="O382" s="44"/>
    </row>
    <row r="383" spans="1:15" ht="17.25" customHeight="1">
      <c r="A383" s="44"/>
      <c r="B383" s="44"/>
      <c r="C383" s="44"/>
      <c r="D383" s="44"/>
      <c r="E383" s="44"/>
      <c r="F383" s="44"/>
      <c r="G383" s="44"/>
      <c r="H383" s="44"/>
      <c r="I383" s="44"/>
      <c r="J383" s="44"/>
      <c r="K383" s="44"/>
      <c r="L383" s="44"/>
      <c r="M383" s="44"/>
      <c r="N383" s="44"/>
      <c r="O383" s="44"/>
    </row>
    <row r="384" spans="1:15" ht="17.25" customHeight="1">
      <c r="A384" s="44"/>
      <c r="B384" s="44"/>
      <c r="C384" s="44"/>
      <c r="D384" s="44"/>
      <c r="E384" s="44"/>
      <c r="F384" s="44"/>
      <c r="G384" s="44"/>
      <c r="H384" s="44"/>
      <c r="I384" s="44"/>
      <c r="J384" s="44"/>
      <c r="K384" s="44"/>
      <c r="L384" s="44"/>
      <c r="M384" s="44"/>
      <c r="N384" s="44"/>
      <c r="O384" s="44"/>
    </row>
    <row r="385" spans="1:15" ht="17.25" customHeight="1">
      <c r="A385" s="44"/>
      <c r="B385" s="44"/>
      <c r="C385" s="44"/>
      <c r="D385" s="44"/>
      <c r="E385" s="44"/>
      <c r="F385" s="44"/>
      <c r="G385" s="44"/>
      <c r="H385" s="44"/>
      <c r="I385" s="44"/>
      <c r="J385" s="44"/>
      <c r="K385" s="44"/>
      <c r="L385" s="44"/>
      <c r="M385" s="44"/>
      <c r="N385" s="44"/>
      <c r="O385" s="44"/>
    </row>
    <row r="386" spans="1:15" ht="17.25" customHeight="1">
      <c r="A386" s="44"/>
      <c r="B386" s="44"/>
      <c r="C386" s="44"/>
      <c r="D386" s="44"/>
      <c r="E386" s="44"/>
      <c r="F386" s="44"/>
      <c r="G386" s="44"/>
      <c r="H386" s="44"/>
      <c r="I386" s="44"/>
      <c r="J386" s="44"/>
      <c r="K386" s="44"/>
      <c r="L386" s="44"/>
      <c r="M386" s="44"/>
      <c r="N386" s="44"/>
      <c r="O386" s="44"/>
    </row>
    <row r="387" spans="1:15" ht="17.25" customHeight="1">
      <c r="A387" s="44"/>
      <c r="B387" s="44"/>
      <c r="C387" s="44"/>
      <c r="D387" s="44"/>
      <c r="E387" s="44"/>
      <c r="F387" s="44"/>
      <c r="G387" s="44"/>
      <c r="H387" s="44"/>
      <c r="I387" s="44"/>
      <c r="J387" s="44"/>
      <c r="K387" s="44"/>
      <c r="L387" s="44"/>
      <c r="M387" s="44"/>
      <c r="N387" s="44"/>
      <c r="O387" s="44"/>
    </row>
    <row r="388" spans="1:15" ht="17.25" customHeight="1">
      <c r="A388" s="44"/>
      <c r="B388" s="44"/>
      <c r="C388" s="44"/>
      <c r="D388" s="44"/>
      <c r="E388" s="44"/>
      <c r="F388" s="44"/>
      <c r="G388" s="44"/>
      <c r="H388" s="44"/>
      <c r="I388" s="44"/>
      <c r="J388" s="44"/>
      <c r="K388" s="44"/>
      <c r="L388" s="44"/>
      <c r="M388" s="44"/>
      <c r="N388" s="44"/>
      <c r="O388" s="44"/>
    </row>
    <row r="389" spans="1:15" ht="17.25" customHeight="1">
      <c r="A389" s="44"/>
      <c r="B389" s="44"/>
      <c r="C389" s="44"/>
      <c r="D389" s="44"/>
      <c r="E389" s="44"/>
      <c r="F389" s="44"/>
      <c r="G389" s="44"/>
      <c r="H389" s="44"/>
      <c r="I389" s="44"/>
      <c r="J389" s="44"/>
      <c r="K389" s="44"/>
      <c r="L389" s="44"/>
      <c r="M389" s="44"/>
      <c r="N389" s="44"/>
      <c r="O389" s="44"/>
    </row>
    <row r="390" spans="1:15" ht="17.25" customHeight="1">
      <c r="A390" s="44"/>
      <c r="B390" s="44"/>
      <c r="C390" s="44"/>
      <c r="D390" s="44"/>
      <c r="E390" s="44"/>
      <c r="F390" s="44"/>
      <c r="G390" s="44"/>
      <c r="H390" s="44"/>
      <c r="I390" s="44"/>
      <c r="J390" s="44"/>
      <c r="K390" s="44"/>
      <c r="L390" s="44"/>
      <c r="M390" s="44"/>
      <c r="N390" s="44"/>
      <c r="O390" s="44"/>
    </row>
    <row r="391" spans="1:15" ht="17.25" customHeight="1">
      <c r="A391" s="44"/>
      <c r="B391" s="44"/>
      <c r="C391" s="44"/>
      <c r="D391" s="44"/>
      <c r="E391" s="44"/>
      <c r="F391" s="44"/>
      <c r="G391" s="44"/>
      <c r="H391" s="44"/>
      <c r="I391" s="44"/>
      <c r="J391" s="44"/>
      <c r="K391" s="44"/>
      <c r="L391" s="44"/>
      <c r="M391" s="44"/>
      <c r="N391" s="44"/>
      <c r="O391" s="44"/>
    </row>
    <row r="392" spans="1:15" ht="17.25" customHeight="1">
      <c r="A392" s="44"/>
      <c r="B392" s="44"/>
      <c r="C392" s="44"/>
      <c r="D392" s="44"/>
      <c r="E392" s="44"/>
      <c r="F392" s="44"/>
      <c r="G392" s="44"/>
      <c r="H392" s="44"/>
      <c r="I392" s="44"/>
      <c r="J392" s="44"/>
      <c r="K392" s="44"/>
      <c r="L392" s="44"/>
      <c r="M392" s="44"/>
      <c r="N392" s="44"/>
      <c r="O392" s="44"/>
    </row>
    <row r="393" spans="1:15" ht="17.25" customHeight="1">
      <c r="A393" s="44"/>
      <c r="B393" s="44"/>
      <c r="C393" s="44"/>
      <c r="D393" s="44"/>
      <c r="E393" s="44"/>
      <c r="F393" s="44"/>
      <c r="G393" s="44"/>
      <c r="H393" s="44"/>
      <c r="I393" s="44"/>
      <c r="J393" s="44"/>
      <c r="K393" s="44"/>
      <c r="L393" s="44"/>
      <c r="M393" s="44"/>
      <c r="N393" s="44"/>
      <c r="O393" s="44"/>
    </row>
    <row r="394" spans="1:15" ht="17.25" customHeight="1">
      <c r="A394" s="44"/>
      <c r="B394" s="44"/>
      <c r="C394" s="44"/>
      <c r="D394" s="44"/>
      <c r="E394" s="44"/>
      <c r="F394" s="44"/>
      <c r="G394" s="44"/>
      <c r="H394" s="44"/>
      <c r="I394" s="44"/>
      <c r="J394" s="44"/>
      <c r="K394" s="44"/>
      <c r="L394" s="44"/>
      <c r="M394" s="44"/>
      <c r="N394" s="44"/>
      <c r="O394" s="44"/>
    </row>
    <row r="395" spans="1:15" ht="17.25" customHeight="1">
      <c r="A395" s="44"/>
      <c r="B395" s="44"/>
      <c r="C395" s="44"/>
      <c r="D395" s="44"/>
      <c r="E395" s="44"/>
      <c r="F395" s="44"/>
      <c r="G395" s="44"/>
      <c r="H395" s="44"/>
      <c r="I395" s="44"/>
      <c r="J395" s="44"/>
      <c r="K395" s="44"/>
      <c r="L395" s="44"/>
      <c r="M395" s="44"/>
      <c r="N395" s="44"/>
      <c r="O395" s="44"/>
    </row>
    <row r="396" spans="1:15" ht="17.25" customHeight="1">
      <c r="A396" s="44"/>
      <c r="B396" s="44"/>
      <c r="C396" s="44"/>
      <c r="D396" s="44"/>
      <c r="E396" s="44"/>
      <c r="F396" s="44"/>
      <c r="G396" s="44"/>
      <c r="H396" s="44"/>
      <c r="I396" s="44"/>
      <c r="J396" s="44"/>
      <c r="K396" s="44"/>
      <c r="L396" s="44"/>
      <c r="M396" s="44"/>
      <c r="N396" s="44"/>
      <c r="O396" s="44"/>
    </row>
    <row r="397" spans="1:15" ht="17.25" customHeight="1">
      <c r="A397" s="44"/>
      <c r="B397" s="44"/>
      <c r="C397" s="44"/>
      <c r="D397" s="44"/>
      <c r="E397" s="44"/>
      <c r="F397" s="44"/>
      <c r="G397" s="44"/>
      <c r="H397" s="44"/>
      <c r="I397" s="44"/>
      <c r="J397" s="44"/>
      <c r="K397" s="44"/>
      <c r="L397" s="44"/>
      <c r="M397" s="44"/>
      <c r="N397" s="44"/>
      <c r="O397" s="44"/>
    </row>
    <row r="398" spans="1:15" ht="17.25" customHeight="1">
      <c r="A398" s="44"/>
      <c r="B398" s="44"/>
      <c r="C398" s="44"/>
      <c r="D398" s="44"/>
      <c r="E398" s="44"/>
      <c r="F398" s="44"/>
      <c r="G398" s="44"/>
      <c r="H398" s="44"/>
      <c r="I398" s="44"/>
      <c r="J398" s="44"/>
      <c r="K398" s="44"/>
      <c r="L398" s="44"/>
      <c r="M398" s="44"/>
      <c r="N398" s="44"/>
      <c r="O398" s="44"/>
    </row>
    <row r="399" spans="1:15" ht="17.25" customHeight="1">
      <c r="A399" s="44"/>
      <c r="B399" s="44"/>
      <c r="C399" s="44"/>
      <c r="D399" s="44"/>
      <c r="E399" s="44"/>
      <c r="F399" s="44"/>
      <c r="G399" s="44"/>
      <c r="H399" s="44"/>
      <c r="I399" s="44"/>
      <c r="J399" s="44"/>
      <c r="K399" s="44"/>
      <c r="L399" s="44"/>
      <c r="M399" s="44"/>
      <c r="N399" s="44"/>
      <c r="O399" s="44"/>
    </row>
    <row r="400" spans="1:15" ht="17.25" customHeight="1">
      <c r="A400" s="44"/>
      <c r="B400" s="44"/>
      <c r="C400" s="44"/>
      <c r="D400" s="44"/>
      <c r="E400" s="44"/>
      <c r="F400" s="44"/>
      <c r="G400" s="44"/>
      <c r="H400" s="44"/>
      <c r="I400" s="44"/>
      <c r="J400" s="44"/>
      <c r="K400" s="44"/>
      <c r="L400" s="44"/>
      <c r="M400" s="44"/>
      <c r="N400" s="44"/>
      <c r="O400" s="44"/>
    </row>
    <row r="401" spans="1:15" ht="17.25" customHeight="1">
      <c r="A401" s="44"/>
      <c r="B401" s="44"/>
      <c r="C401" s="44"/>
      <c r="D401" s="44"/>
      <c r="E401" s="44"/>
      <c r="F401" s="44"/>
      <c r="G401" s="44"/>
      <c r="H401" s="44"/>
      <c r="I401" s="44"/>
      <c r="J401" s="44"/>
      <c r="K401" s="44"/>
      <c r="L401" s="44"/>
      <c r="M401" s="44"/>
      <c r="N401" s="44"/>
      <c r="O401" s="44"/>
    </row>
    <row r="402" spans="1:15" ht="17.25" customHeight="1">
      <c r="A402" s="44"/>
      <c r="B402" s="44"/>
      <c r="C402" s="44"/>
      <c r="D402" s="44"/>
      <c r="E402" s="44"/>
      <c r="F402" s="44"/>
      <c r="G402" s="44"/>
      <c r="H402" s="44"/>
      <c r="I402" s="44"/>
      <c r="J402" s="44"/>
      <c r="K402" s="44"/>
      <c r="L402" s="44"/>
      <c r="M402" s="44"/>
      <c r="N402" s="44"/>
      <c r="O402" s="44"/>
    </row>
    <row r="403" spans="1:15" ht="17.25" customHeight="1">
      <c r="A403" s="44"/>
      <c r="B403" s="44"/>
      <c r="C403" s="44"/>
      <c r="D403" s="44"/>
      <c r="E403" s="44"/>
      <c r="F403" s="44"/>
      <c r="G403" s="44"/>
      <c r="H403" s="44"/>
      <c r="I403" s="44"/>
      <c r="J403" s="44"/>
      <c r="K403" s="44"/>
      <c r="L403" s="44"/>
      <c r="M403" s="44"/>
      <c r="N403" s="44"/>
      <c r="O403" s="44"/>
    </row>
    <row r="404" spans="1:15" ht="17.25" customHeight="1">
      <c r="A404" s="44"/>
      <c r="B404" s="44"/>
      <c r="C404" s="44"/>
      <c r="D404" s="44"/>
      <c r="E404" s="44"/>
      <c r="F404" s="44"/>
      <c r="G404" s="44"/>
      <c r="H404" s="44"/>
      <c r="I404" s="44"/>
      <c r="J404" s="44"/>
      <c r="K404" s="44"/>
      <c r="L404" s="44"/>
      <c r="M404" s="44"/>
      <c r="N404" s="44"/>
      <c r="O404" s="44"/>
    </row>
    <row r="405" spans="1:15" ht="17.25" customHeight="1">
      <c r="A405" s="44"/>
      <c r="B405" s="44"/>
      <c r="C405" s="44"/>
      <c r="D405" s="44"/>
      <c r="E405" s="44"/>
      <c r="F405" s="44"/>
      <c r="G405" s="44"/>
      <c r="H405" s="44"/>
      <c r="I405" s="44"/>
      <c r="J405" s="44"/>
      <c r="K405" s="44"/>
      <c r="L405" s="44"/>
      <c r="M405" s="44"/>
      <c r="N405" s="44"/>
      <c r="O405" s="44"/>
    </row>
    <row r="406" spans="1:15" ht="17.25" customHeight="1">
      <c r="A406" s="44"/>
      <c r="B406" s="44"/>
      <c r="C406" s="44"/>
      <c r="D406" s="44"/>
      <c r="E406" s="44"/>
      <c r="F406" s="44"/>
      <c r="G406" s="44"/>
      <c r="H406" s="44"/>
      <c r="I406" s="44"/>
      <c r="J406" s="44"/>
      <c r="K406" s="44"/>
      <c r="L406" s="44"/>
      <c r="M406" s="44"/>
      <c r="N406" s="44"/>
      <c r="O406" s="44"/>
    </row>
    <row r="407" spans="1:15" ht="17.25" customHeight="1">
      <c r="A407" s="44"/>
      <c r="B407" s="44"/>
      <c r="C407" s="44"/>
      <c r="D407" s="44"/>
      <c r="E407" s="44"/>
      <c r="F407" s="44"/>
      <c r="G407" s="44"/>
      <c r="H407" s="44"/>
      <c r="I407" s="44"/>
      <c r="J407" s="44"/>
      <c r="K407" s="44"/>
      <c r="L407" s="44"/>
      <c r="M407" s="44"/>
      <c r="N407" s="44"/>
      <c r="O407" s="44"/>
    </row>
    <row r="408" spans="1:15" ht="17.25" customHeight="1">
      <c r="A408" s="44"/>
      <c r="B408" s="44"/>
      <c r="C408" s="44"/>
      <c r="D408" s="44"/>
      <c r="E408" s="44"/>
      <c r="F408" s="44"/>
      <c r="G408" s="44"/>
      <c r="H408" s="44"/>
      <c r="I408" s="44"/>
      <c r="J408" s="44"/>
      <c r="K408" s="44"/>
      <c r="L408" s="44"/>
      <c r="M408" s="44"/>
      <c r="N408" s="44"/>
      <c r="O408" s="44"/>
    </row>
    <row r="409" spans="1:15" ht="17.25" customHeight="1">
      <c r="A409" s="44"/>
      <c r="B409" s="44"/>
      <c r="C409" s="44"/>
      <c r="D409" s="44"/>
      <c r="E409" s="44"/>
      <c r="F409" s="44"/>
      <c r="G409" s="44"/>
      <c r="H409" s="44"/>
      <c r="I409" s="44"/>
      <c r="J409" s="44"/>
      <c r="K409" s="44"/>
      <c r="L409" s="44"/>
      <c r="M409" s="44"/>
      <c r="N409" s="44"/>
      <c r="O409" s="44"/>
    </row>
    <row r="410" spans="1:15" ht="17.25" customHeight="1">
      <c r="A410" s="44"/>
      <c r="B410" s="44"/>
      <c r="C410" s="44"/>
      <c r="D410" s="44"/>
      <c r="E410" s="44"/>
      <c r="F410" s="44"/>
      <c r="G410" s="44"/>
      <c r="H410" s="44"/>
      <c r="I410" s="44"/>
      <c r="J410" s="44"/>
      <c r="K410" s="44"/>
      <c r="L410" s="44"/>
      <c r="M410" s="44"/>
      <c r="N410" s="44"/>
      <c r="O410" s="44"/>
    </row>
    <row r="411" spans="1:15" ht="17.25" customHeight="1">
      <c r="A411" s="44"/>
      <c r="B411" s="44"/>
      <c r="C411" s="44"/>
      <c r="D411" s="44"/>
      <c r="E411" s="44"/>
      <c r="F411" s="44"/>
      <c r="G411" s="44"/>
      <c r="H411" s="44"/>
      <c r="I411" s="44"/>
      <c r="J411" s="44"/>
      <c r="K411" s="44"/>
      <c r="L411" s="44"/>
      <c r="M411" s="44"/>
      <c r="N411" s="44"/>
      <c r="O411" s="44"/>
    </row>
    <row r="412" spans="1:15" ht="17.25" customHeight="1">
      <c r="A412" s="44"/>
      <c r="B412" s="44"/>
      <c r="C412" s="44"/>
      <c r="D412" s="44"/>
      <c r="E412" s="44"/>
      <c r="F412" s="44"/>
      <c r="G412" s="44"/>
      <c r="H412" s="44"/>
      <c r="I412" s="44"/>
      <c r="J412" s="44"/>
      <c r="K412" s="44"/>
      <c r="L412" s="44"/>
      <c r="M412" s="44"/>
      <c r="N412" s="44"/>
      <c r="O412" s="44"/>
    </row>
    <row r="413" spans="1:15" ht="17.25" customHeight="1">
      <c r="A413" s="44"/>
      <c r="B413" s="44"/>
      <c r="C413" s="44"/>
      <c r="D413" s="44"/>
      <c r="E413" s="44"/>
      <c r="F413" s="44"/>
      <c r="G413" s="44"/>
      <c r="H413" s="44"/>
      <c r="I413" s="44"/>
      <c r="J413" s="44"/>
      <c r="K413" s="44"/>
      <c r="L413" s="44"/>
      <c r="M413" s="44"/>
      <c r="N413" s="44"/>
      <c r="O413" s="44"/>
    </row>
    <row r="414" spans="1:15" ht="17.25" customHeight="1">
      <c r="A414" s="44"/>
      <c r="B414" s="44"/>
      <c r="C414" s="44"/>
      <c r="D414" s="44"/>
      <c r="E414" s="44"/>
      <c r="F414" s="44"/>
      <c r="G414" s="44"/>
      <c r="H414" s="44"/>
      <c r="I414" s="44"/>
      <c r="J414" s="44"/>
      <c r="K414" s="44"/>
      <c r="L414" s="44"/>
      <c r="M414" s="44"/>
      <c r="N414" s="44"/>
      <c r="O414" s="44"/>
    </row>
    <row r="415" spans="1:15" ht="17.25" customHeight="1">
      <c r="A415" s="44"/>
      <c r="B415" s="44"/>
      <c r="C415" s="44"/>
      <c r="D415" s="44"/>
      <c r="E415" s="44"/>
      <c r="F415" s="44"/>
      <c r="G415" s="44"/>
      <c r="H415" s="44"/>
      <c r="I415" s="44"/>
      <c r="J415" s="44"/>
      <c r="K415" s="44"/>
      <c r="L415" s="44"/>
      <c r="M415" s="44"/>
      <c r="N415" s="44"/>
      <c r="O415" s="44"/>
    </row>
    <row r="416" spans="1:15" ht="17.25" customHeight="1">
      <c r="A416" s="44"/>
      <c r="B416" s="44"/>
      <c r="C416" s="44"/>
      <c r="D416" s="44"/>
      <c r="E416" s="44"/>
      <c r="F416" s="44"/>
      <c r="G416" s="44"/>
      <c r="H416" s="44"/>
      <c r="I416" s="44"/>
      <c r="J416" s="44"/>
      <c r="K416" s="44"/>
      <c r="L416" s="44"/>
      <c r="M416" s="44"/>
      <c r="N416" s="44"/>
      <c r="O416" s="44"/>
    </row>
    <row r="417" spans="1:15" ht="17.25" customHeight="1">
      <c r="A417" s="44"/>
      <c r="B417" s="44"/>
      <c r="C417" s="44"/>
      <c r="D417" s="44"/>
      <c r="E417" s="44"/>
      <c r="F417" s="44"/>
      <c r="G417" s="44"/>
      <c r="H417" s="44"/>
      <c r="I417" s="44"/>
      <c r="J417" s="44"/>
      <c r="K417" s="44"/>
      <c r="L417" s="44"/>
      <c r="M417" s="44"/>
      <c r="N417" s="44"/>
      <c r="O417" s="44"/>
    </row>
    <row r="418" spans="1:15" ht="17.25" customHeight="1">
      <c r="A418" s="44"/>
      <c r="B418" s="44"/>
      <c r="C418" s="44"/>
      <c r="D418" s="44"/>
      <c r="E418" s="44"/>
      <c r="F418" s="44"/>
      <c r="G418" s="44"/>
      <c r="H418" s="44"/>
      <c r="I418" s="44"/>
      <c r="J418" s="44"/>
      <c r="K418" s="44"/>
      <c r="L418" s="44"/>
      <c r="M418" s="44"/>
      <c r="N418" s="44"/>
      <c r="O418" s="44"/>
    </row>
    <row r="419" spans="1:15" ht="17.25" customHeight="1">
      <c r="A419" s="44"/>
      <c r="B419" s="44"/>
      <c r="C419" s="44"/>
      <c r="D419" s="44"/>
      <c r="E419" s="44"/>
      <c r="F419" s="44"/>
      <c r="G419" s="44"/>
      <c r="H419" s="44"/>
      <c r="I419" s="44"/>
      <c r="J419" s="44"/>
      <c r="K419" s="44"/>
      <c r="L419" s="44"/>
      <c r="M419" s="44"/>
      <c r="N419" s="44"/>
      <c r="O419" s="44"/>
    </row>
    <row r="420" spans="1:15" ht="17.25" customHeight="1">
      <c r="A420" s="44"/>
      <c r="B420" s="44"/>
      <c r="C420" s="44"/>
      <c r="D420" s="44"/>
      <c r="E420" s="44"/>
      <c r="F420" s="44"/>
      <c r="G420" s="44"/>
      <c r="H420" s="44"/>
      <c r="I420" s="44"/>
      <c r="J420" s="44"/>
      <c r="K420" s="44"/>
      <c r="L420" s="44"/>
      <c r="M420" s="44"/>
      <c r="N420" s="44"/>
      <c r="O420" s="44"/>
    </row>
    <row r="421" spans="1:15" ht="17.25" customHeight="1">
      <c r="A421" s="44"/>
      <c r="B421" s="44"/>
      <c r="C421" s="44"/>
      <c r="D421" s="44"/>
      <c r="E421" s="44"/>
      <c r="F421" s="44"/>
      <c r="G421" s="44"/>
      <c r="H421" s="44"/>
      <c r="I421" s="44"/>
      <c r="J421" s="44"/>
      <c r="K421" s="44"/>
      <c r="L421" s="44"/>
      <c r="M421" s="44"/>
      <c r="N421" s="44"/>
      <c r="O421" s="44"/>
    </row>
    <row r="422" spans="1:15" ht="17.25" customHeight="1">
      <c r="A422" s="44"/>
      <c r="B422" s="44"/>
      <c r="C422" s="44"/>
      <c r="D422" s="44"/>
      <c r="E422" s="44"/>
      <c r="F422" s="44"/>
      <c r="G422" s="44"/>
      <c r="H422" s="44"/>
      <c r="I422" s="44"/>
      <c r="J422" s="44"/>
      <c r="K422" s="44"/>
      <c r="L422" s="44"/>
      <c r="M422" s="44"/>
      <c r="N422" s="44"/>
      <c r="O422" s="44"/>
    </row>
    <row r="423" spans="1:15" ht="17.25" customHeight="1">
      <c r="A423" s="44"/>
      <c r="B423" s="44"/>
      <c r="C423" s="44"/>
      <c r="D423" s="44"/>
      <c r="E423" s="44"/>
      <c r="F423" s="44"/>
      <c r="G423" s="44"/>
      <c r="H423" s="44"/>
      <c r="I423" s="44"/>
      <c r="J423" s="44"/>
      <c r="K423" s="44"/>
      <c r="L423" s="44"/>
      <c r="M423" s="44"/>
      <c r="N423" s="44"/>
      <c r="O423" s="44"/>
    </row>
    <row r="424" spans="1:15" ht="17.25" customHeight="1">
      <c r="A424" s="44"/>
      <c r="B424" s="44"/>
      <c r="C424" s="44"/>
      <c r="D424" s="44"/>
      <c r="E424" s="44"/>
      <c r="F424" s="44"/>
      <c r="G424" s="44"/>
      <c r="H424" s="44"/>
      <c r="I424" s="44"/>
      <c r="J424" s="44"/>
      <c r="K424" s="44"/>
      <c r="L424" s="44"/>
      <c r="M424" s="44"/>
      <c r="N424" s="44"/>
      <c r="O424" s="44"/>
    </row>
    <row r="425" spans="1:15" ht="17.25" customHeight="1">
      <c r="A425" s="44"/>
      <c r="B425" s="44"/>
      <c r="C425" s="44"/>
      <c r="D425" s="44"/>
      <c r="E425" s="44"/>
      <c r="F425" s="44"/>
      <c r="G425" s="44"/>
      <c r="H425" s="44"/>
      <c r="I425" s="44"/>
      <c r="J425" s="44"/>
      <c r="K425" s="44"/>
      <c r="L425" s="44"/>
      <c r="M425" s="44"/>
      <c r="N425" s="44"/>
      <c r="O425" s="44"/>
    </row>
    <row r="426" spans="1:15" ht="17.25" customHeight="1">
      <c r="A426" s="44"/>
      <c r="B426" s="44"/>
      <c r="C426" s="44"/>
      <c r="D426" s="44"/>
      <c r="E426" s="44"/>
      <c r="F426" s="44"/>
      <c r="G426" s="44"/>
      <c r="H426" s="44"/>
      <c r="I426" s="44"/>
      <c r="J426" s="44"/>
      <c r="K426" s="44"/>
      <c r="L426" s="44"/>
      <c r="M426" s="44"/>
      <c r="N426" s="44"/>
      <c r="O426" s="44"/>
    </row>
    <row r="427" spans="1:15" ht="17.25" customHeight="1">
      <c r="A427" s="44"/>
      <c r="B427" s="44"/>
      <c r="C427" s="44"/>
      <c r="D427" s="44"/>
      <c r="E427" s="44"/>
      <c r="F427" s="44"/>
      <c r="G427" s="44"/>
      <c r="H427" s="44"/>
      <c r="I427" s="44"/>
      <c r="J427" s="44"/>
      <c r="K427" s="44"/>
      <c r="L427" s="44"/>
      <c r="M427" s="44"/>
      <c r="N427" s="44"/>
      <c r="O427" s="44"/>
    </row>
    <row r="428" spans="1:15" ht="17.25" customHeight="1">
      <c r="A428" s="44"/>
      <c r="B428" s="44"/>
      <c r="C428" s="44"/>
      <c r="D428" s="44"/>
      <c r="E428" s="44"/>
      <c r="F428" s="44"/>
      <c r="G428" s="44"/>
      <c r="H428" s="44"/>
      <c r="I428" s="44"/>
      <c r="J428" s="44"/>
      <c r="K428" s="44"/>
      <c r="L428" s="44"/>
      <c r="M428" s="44"/>
      <c r="N428" s="44"/>
      <c r="O428" s="44"/>
    </row>
    <row r="429" spans="1:15" ht="17.25" customHeight="1">
      <c r="A429" s="44"/>
      <c r="B429" s="44"/>
      <c r="C429" s="44"/>
      <c r="D429" s="44"/>
      <c r="E429" s="44"/>
      <c r="F429" s="44"/>
      <c r="G429" s="44"/>
      <c r="H429" s="44"/>
      <c r="I429" s="44"/>
      <c r="J429" s="44"/>
      <c r="K429" s="44"/>
      <c r="L429" s="44"/>
      <c r="M429" s="44"/>
      <c r="N429" s="44"/>
      <c r="O429" s="44"/>
    </row>
    <row r="430" spans="1:15" ht="17.25" customHeight="1">
      <c r="A430" s="44"/>
      <c r="B430" s="44"/>
      <c r="C430" s="44"/>
      <c r="D430" s="44"/>
      <c r="E430" s="44"/>
      <c r="F430" s="44"/>
      <c r="G430" s="44"/>
      <c r="H430" s="44"/>
      <c r="I430" s="44"/>
      <c r="J430" s="44"/>
      <c r="K430" s="44"/>
      <c r="L430" s="44"/>
      <c r="M430" s="44"/>
      <c r="N430" s="44"/>
      <c r="O430" s="44"/>
    </row>
    <row r="431" spans="1:15" ht="17.25" customHeight="1">
      <c r="A431" s="44"/>
      <c r="B431" s="44"/>
      <c r="C431" s="44"/>
      <c r="D431" s="44"/>
      <c r="E431" s="44"/>
      <c r="F431" s="44"/>
      <c r="G431" s="44"/>
      <c r="H431" s="44"/>
      <c r="I431" s="44"/>
      <c r="J431" s="44"/>
      <c r="K431" s="44"/>
      <c r="L431" s="44"/>
      <c r="M431" s="44"/>
      <c r="N431" s="44"/>
      <c r="O431" s="44"/>
    </row>
    <row r="432" spans="1:15" ht="17.25" customHeight="1">
      <c r="A432" s="44"/>
      <c r="B432" s="44"/>
      <c r="C432" s="44"/>
      <c r="D432" s="44"/>
      <c r="E432" s="44"/>
      <c r="F432" s="44"/>
      <c r="G432" s="44"/>
      <c r="H432" s="44"/>
      <c r="I432" s="44"/>
      <c r="J432" s="44"/>
      <c r="K432" s="44"/>
      <c r="L432" s="44"/>
      <c r="M432" s="44"/>
      <c r="N432" s="44"/>
      <c r="O432" s="44"/>
    </row>
    <row r="433" spans="1:15" ht="17.25" customHeight="1">
      <c r="A433" s="44"/>
      <c r="B433" s="44"/>
      <c r="C433" s="44"/>
      <c r="D433" s="44"/>
      <c r="E433" s="44"/>
      <c r="F433" s="44"/>
      <c r="G433" s="44"/>
      <c r="H433" s="44"/>
      <c r="I433" s="44"/>
      <c r="J433" s="44"/>
      <c r="K433" s="44"/>
      <c r="L433" s="44"/>
      <c r="M433" s="44"/>
      <c r="N433" s="44"/>
      <c r="O433" s="44"/>
    </row>
    <row r="434" spans="1:15" ht="17.25" customHeight="1">
      <c r="A434" s="44"/>
      <c r="B434" s="44"/>
      <c r="C434" s="44"/>
      <c r="D434" s="44"/>
      <c r="E434" s="44"/>
      <c r="F434" s="44"/>
      <c r="G434" s="44"/>
      <c r="H434" s="44"/>
      <c r="I434" s="44"/>
      <c r="J434" s="44"/>
      <c r="K434" s="44"/>
      <c r="L434" s="44"/>
      <c r="M434" s="44"/>
      <c r="N434" s="44"/>
      <c r="O434" s="44"/>
    </row>
    <row r="435" spans="1:15" ht="17.25" customHeight="1">
      <c r="A435" s="44"/>
      <c r="B435" s="44"/>
      <c r="C435" s="44"/>
      <c r="D435" s="44"/>
      <c r="E435" s="44"/>
      <c r="F435" s="44"/>
      <c r="G435" s="44"/>
      <c r="H435" s="44"/>
      <c r="I435" s="44"/>
      <c r="J435" s="44"/>
      <c r="K435" s="44"/>
      <c r="L435" s="44"/>
      <c r="M435" s="44"/>
      <c r="N435" s="44"/>
      <c r="O435" s="44"/>
    </row>
    <row r="436" spans="1:15" ht="17.25" customHeight="1">
      <c r="A436" s="44"/>
      <c r="B436" s="44"/>
      <c r="C436" s="44"/>
      <c r="D436" s="44"/>
      <c r="E436" s="44"/>
      <c r="F436" s="44"/>
      <c r="G436" s="44"/>
      <c r="H436" s="44"/>
      <c r="I436" s="44"/>
      <c r="J436" s="44"/>
      <c r="K436" s="44"/>
      <c r="L436" s="44"/>
      <c r="M436" s="44"/>
      <c r="N436" s="44"/>
      <c r="O436" s="44"/>
    </row>
    <row r="437" spans="1:15" ht="17.25" customHeight="1">
      <c r="A437" s="44"/>
      <c r="B437" s="44"/>
      <c r="C437" s="44"/>
      <c r="D437" s="44"/>
      <c r="E437" s="44"/>
      <c r="F437" s="44"/>
      <c r="G437" s="44"/>
      <c r="H437" s="44"/>
      <c r="I437" s="44"/>
      <c r="J437" s="44"/>
      <c r="K437" s="44"/>
      <c r="L437" s="44"/>
      <c r="M437" s="44"/>
      <c r="N437" s="44"/>
      <c r="O437" s="44"/>
    </row>
    <row r="438" spans="1:15" ht="17.25" customHeight="1">
      <c r="A438" s="44"/>
      <c r="B438" s="44"/>
      <c r="C438" s="44"/>
      <c r="D438" s="44"/>
      <c r="E438" s="44"/>
      <c r="F438" s="44"/>
      <c r="G438" s="44"/>
      <c r="H438" s="44"/>
      <c r="I438" s="44"/>
      <c r="J438" s="44"/>
      <c r="K438" s="44"/>
      <c r="L438" s="44"/>
      <c r="M438" s="44"/>
      <c r="N438" s="44"/>
      <c r="O438" s="44"/>
    </row>
    <row r="439" spans="1:15" ht="17.25" customHeight="1">
      <c r="A439" s="44"/>
      <c r="B439" s="44"/>
      <c r="C439" s="44"/>
      <c r="D439" s="44"/>
      <c r="E439" s="44"/>
      <c r="F439" s="44"/>
      <c r="G439" s="44"/>
      <c r="H439" s="44"/>
      <c r="I439" s="44"/>
      <c r="J439" s="44"/>
      <c r="K439" s="44"/>
      <c r="L439" s="44"/>
      <c r="M439" s="44"/>
      <c r="N439" s="44"/>
      <c r="O439" s="44"/>
    </row>
    <row r="440" spans="1:15" ht="17.25" customHeight="1">
      <c r="A440" s="44"/>
      <c r="B440" s="44"/>
      <c r="C440" s="44"/>
      <c r="D440" s="44"/>
      <c r="E440" s="44"/>
      <c r="F440" s="44"/>
      <c r="G440" s="44"/>
      <c r="H440" s="44"/>
      <c r="I440" s="44"/>
      <c r="J440" s="44"/>
      <c r="K440" s="44"/>
      <c r="L440" s="44"/>
      <c r="M440" s="44"/>
      <c r="N440" s="44"/>
      <c r="O440" s="44"/>
    </row>
    <row r="441" spans="1:15" ht="17.25" customHeight="1">
      <c r="A441" s="44"/>
      <c r="B441" s="44"/>
      <c r="C441" s="44"/>
      <c r="D441" s="44"/>
      <c r="E441" s="44"/>
      <c r="F441" s="44"/>
      <c r="G441" s="44"/>
      <c r="H441" s="44"/>
      <c r="I441" s="44"/>
      <c r="J441" s="44"/>
      <c r="K441" s="44"/>
      <c r="L441" s="44"/>
      <c r="M441" s="44"/>
      <c r="N441" s="44"/>
      <c r="O441" s="44"/>
    </row>
    <row r="442" spans="1:15" ht="17.25" customHeight="1">
      <c r="A442" s="44"/>
      <c r="B442" s="44"/>
      <c r="C442" s="44"/>
      <c r="D442" s="44"/>
      <c r="E442" s="44"/>
      <c r="F442" s="44"/>
      <c r="G442" s="44"/>
      <c r="H442" s="44"/>
      <c r="I442" s="44"/>
      <c r="J442" s="44"/>
      <c r="K442" s="44"/>
      <c r="L442" s="44"/>
      <c r="M442" s="44"/>
      <c r="N442" s="44"/>
      <c r="O442" s="44"/>
    </row>
    <row r="443" spans="1:15" ht="17.25" customHeight="1">
      <c r="A443" s="44"/>
      <c r="B443" s="44"/>
      <c r="C443" s="44"/>
      <c r="D443" s="44"/>
      <c r="E443" s="44"/>
      <c r="F443" s="44"/>
      <c r="G443" s="44"/>
      <c r="H443" s="44"/>
      <c r="I443" s="44"/>
      <c r="J443" s="44"/>
      <c r="K443" s="44"/>
      <c r="L443" s="44"/>
      <c r="M443" s="44"/>
      <c r="N443" s="44"/>
      <c r="O443" s="44"/>
    </row>
    <row r="444" spans="1:15" ht="17.25" customHeight="1">
      <c r="A444" s="44"/>
      <c r="B444" s="44"/>
      <c r="C444" s="44"/>
      <c r="D444" s="44"/>
      <c r="E444" s="44"/>
      <c r="F444" s="44"/>
      <c r="G444" s="44"/>
      <c r="H444" s="44"/>
      <c r="I444" s="44"/>
      <c r="J444" s="44"/>
      <c r="K444" s="44"/>
      <c r="L444" s="44"/>
      <c r="M444" s="44"/>
      <c r="N444" s="44"/>
      <c r="O444" s="44"/>
    </row>
    <row r="445" spans="1:15" ht="17.25" customHeight="1">
      <c r="A445" s="44"/>
      <c r="B445" s="44"/>
      <c r="C445" s="44"/>
      <c r="D445" s="44"/>
      <c r="E445" s="44"/>
      <c r="F445" s="44"/>
      <c r="G445" s="44"/>
      <c r="H445" s="44"/>
      <c r="I445" s="44"/>
      <c r="J445" s="44"/>
      <c r="K445" s="44"/>
      <c r="L445" s="44"/>
      <c r="M445" s="44"/>
      <c r="N445" s="44"/>
      <c r="O445" s="44"/>
    </row>
    <row r="446" spans="1:15" ht="17.25" customHeight="1">
      <c r="A446" s="44"/>
      <c r="B446" s="44"/>
      <c r="C446" s="44"/>
      <c r="D446" s="44"/>
      <c r="E446" s="44"/>
      <c r="F446" s="44"/>
      <c r="G446" s="44"/>
      <c r="H446" s="44"/>
      <c r="I446" s="44"/>
      <c r="J446" s="44"/>
      <c r="K446" s="44"/>
      <c r="L446" s="44"/>
      <c r="M446" s="44"/>
      <c r="N446" s="44"/>
      <c r="O446" s="44"/>
    </row>
    <row r="447" spans="1:15" ht="17.25" customHeight="1">
      <c r="A447" s="44"/>
      <c r="B447" s="44"/>
      <c r="C447" s="44"/>
      <c r="D447" s="44"/>
      <c r="E447" s="44"/>
      <c r="F447" s="44"/>
      <c r="G447" s="44"/>
      <c r="H447" s="44"/>
      <c r="I447" s="44"/>
      <c r="J447" s="44"/>
      <c r="K447" s="44"/>
      <c r="L447" s="44"/>
      <c r="M447" s="44"/>
      <c r="N447" s="44"/>
      <c r="O447" s="44"/>
    </row>
    <row r="448" spans="1:15" ht="17.25" customHeight="1">
      <c r="A448" s="44"/>
      <c r="B448" s="44"/>
      <c r="C448" s="44"/>
      <c r="D448" s="44"/>
      <c r="E448" s="44"/>
      <c r="F448" s="44"/>
      <c r="G448" s="44"/>
      <c r="H448" s="44"/>
      <c r="I448" s="44"/>
      <c r="J448" s="44"/>
      <c r="K448" s="44"/>
      <c r="L448" s="44"/>
      <c r="M448" s="44"/>
      <c r="N448" s="44"/>
      <c r="O448" s="44"/>
    </row>
    <row r="449" spans="1:15" ht="17.25" customHeight="1">
      <c r="A449" s="44"/>
      <c r="B449" s="44"/>
      <c r="C449" s="44"/>
      <c r="D449" s="44"/>
      <c r="E449" s="44"/>
      <c r="F449" s="44"/>
      <c r="G449" s="44"/>
      <c r="H449" s="44"/>
      <c r="I449" s="44"/>
      <c r="J449" s="44"/>
      <c r="K449" s="44"/>
      <c r="L449" s="44"/>
      <c r="M449" s="44"/>
      <c r="N449" s="44"/>
      <c r="O449" s="44"/>
    </row>
    <row r="450" spans="1:15" ht="17.25" customHeight="1">
      <c r="A450" s="44"/>
      <c r="B450" s="44"/>
      <c r="C450" s="44"/>
      <c r="D450" s="44"/>
      <c r="E450" s="44"/>
      <c r="F450" s="44"/>
      <c r="G450" s="44"/>
      <c r="H450" s="44"/>
      <c r="I450" s="44"/>
      <c r="J450" s="44"/>
      <c r="K450" s="44"/>
      <c r="L450" s="44"/>
      <c r="M450" s="44"/>
      <c r="N450" s="44"/>
      <c r="O450" s="44"/>
    </row>
    <row r="451" spans="1:15" ht="17.25" customHeight="1">
      <c r="A451" s="44"/>
      <c r="B451" s="44"/>
      <c r="C451" s="44"/>
      <c r="D451" s="44"/>
      <c r="E451" s="44"/>
      <c r="F451" s="44"/>
      <c r="G451" s="44"/>
      <c r="H451" s="44"/>
      <c r="I451" s="44"/>
      <c r="J451" s="44"/>
      <c r="K451" s="44"/>
      <c r="L451" s="44"/>
      <c r="M451" s="44"/>
      <c r="N451" s="44"/>
      <c r="O451" s="44"/>
    </row>
    <row r="452" spans="1:15" ht="17.25" customHeight="1">
      <c r="A452" s="44"/>
      <c r="B452" s="44"/>
      <c r="C452" s="44"/>
      <c r="D452" s="44"/>
      <c r="E452" s="44"/>
      <c r="F452" s="44"/>
      <c r="G452" s="44"/>
      <c r="H452" s="44"/>
      <c r="I452" s="44"/>
      <c r="J452" s="44"/>
      <c r="K452" s="44"/>
      <c r="L452" s="44"/>
      <c r="M452" s="44"/>
      <c r="N452" s="44"/>
      <c r="O452" s="44"/>
    </row>
    <row r="453" spans="1:15" ht="17.25" customHeight="1">
      <c r="A453" s="44"/>
      <c r="B453" s="44"/>
      <c r="C453" s="44"/>
      <c r="D453" s="44"/>
      <c r="E453" s="44"/>
      <c r="F453" s="44"/>
      <c r="G453" s="44"/>
      <c r="H453" s="44"/>
      <c r="I453" s="44"/>
      <c r="J453" s="44"/>
      <c r="K453" s="44"/>
      <c r="L453" s="44"/>
      <c r="M453" s="44"/>
      <c r="N453" s="44"/>
      <c r="O453" s="44"/>
    </row>
    <row r="454" spans="1:15" ht="17.25" customHeight="1">
      <c r="A454" s="44"/>
      <c r="B454" s="44"/>
      <c r="C454" s="44"/>
      <c r="D454" s="44"/>
      <c r="E454" s="44"/>
      <c r="F454" s="44"/>
      <c r="G454" s="44"/>
      <c r="H454" s="44"/>
      <c r="I454" s="44"/>
      <c r="J454" s="44"/>
      <c r="K454" s="44"/>
      <c r="L454" s="44"/>
      <c r="M454" s="44"/>
      <c r="N454" s="44"/>
      <c r="O454" s="44"/>
    </row>
    <row r="455" spans="1:15" ht="17.25" customHeight="1">
      <c r="A455" s="44"/>
      <c r="B455" s="44"/>
      <c r="C455" s="44"/>
      <c r="D455" s="44"/>
      <c r="E455" s="44"/>
      <c r="F455" s="44"/>
      <c r="G455" s="44"/>
      <c r="H455" s="44"/>
      <c r="I455" s="44"/>
      <c r="J455" s="44"/>
      <c r="K455" s="44"/>
      <c r="L455" s="44"/>
      <c r="M455" s="44"/>
      <c r="N455" s="44"/>
      <c r="O455" s="44"/>
    </row>
    <row r="456" spans="1:15" ht="17.25" customHeight="1">
      <c r="A456" s="44"/>
      <c r="B456" s="44"/>
      <c r="C456" s="44"/>
      <c r="D456" s="44"/>
      <c r="E456" s="44"/>
      <c r="F456" s="44"/>
      <c r="G456" s="44"/>
      <c r="H456" s="44"/>
      <c r="I456" s="44"/>
      <c r="J456" s="44"/>
      <c r="K456" s="44"/>
      <c r="L456" s="44"/>
      <c r="M456" s="44"/>
      <c r="N456" s="44"/>
      <c r="O456" s="44"/>
    </row>
    <row r="457" spans="1:15" ht="17.25" customHeight="1">
      <c r="A457" s="44"/>
      <c r="B457" s="44"/>
      <c r="C457" s="44"/>
      <c r="D457" s="44"/>
      <c r="E457" s="44"/>
      <c r="F457" s="44"/>
      <c r="G457" s="44"/>
      <c r="H457" s="44"/>
      <c r="I457" s="44"/>
      <c r="J457" s="44"/>
      <c r="K457" s="44"/>
      <c r="L457" s="44"/>
      <c r="M457" s="44"/>
      <c r="N457" s="44"/>
      <c r="O457" s="44"/>
    </row>
    <row r="458" spans="1:15" ht="17.25" customHeight="1">
      <c r="A458" s="44"/>
      <c r="B458" s="44"/>
      <c r="C458" s="44"/>
      <c r="D458" s="44"/>
      <c r="E458" s="44"/>
      <c r="F458" s="44"/>
      <c r="G458" s="44"/>
      <c r="H458" s="44"/>
      <c r="I458" s="44"/>
      <c r="J458" s="44"/>
      <c r="K458" s="44"/>
      <c r="L458" s="44"/>
      <c r="M458" s="44"/>
      <c r="N458" s="44"/>
      <c r="O458" s="44"/>
    </row>
    <row r="459" spans="1:15" ht="17.25" customHeight="1">
      <c r="A459" s="44"/>
      <c r="B459" s="44"/>
      <c r="C459" s="44"/>
      <c r="D459" s="44"/>
      <c r="E459" s="44"/>
      <c r="F459" s="44"/>
      <c r="G459" s="44"/>
      <c r="H459" s="44"/>
      <c r="I459" s="44"/>
      <c r="J459" s="44"/>
      <c r="K459" s="44"/>
      <c r="L459" s="44"/>
      <c r="M459" s="44"/>
      <c r="N459" s="44"/>
      <c r="O459" s="44"/>
    </row>
    <row r="460" spans="1:15" ht="17.25" customHeight="1">
      <c r="A460" s="44"/>
      <c r="B460" s="44"/>
      <c r="C460" s="44"/>
      <c r="D460" s="44"/>
      <c r="E460" s="44"/>
      <c r="F460" s="44"/>
      <c r="G460" s="44"/>
      <c r="H460" s="44"/>
      <c r="I460" s="44"/>
      <c r="J460" s="44"/>
      <c r="K460" s="44"/>
      <c r="L460" s="44"/>
      <c r="M460" s="44"/>
      <c r="N460" s="44"/>
      <c r="O460" s="44"/>
    </row>
    <row r="461" spans="1:15" ht="17.25" customHeight="1">
      <c r="A461" s="44"/>
      <c r="B461" s="44"/>
      <c r="C461" s="44"/>
      <c r="D461" s="44"/>
      <c r="E461" s="44"/>
      <c r="F461" s="44"/>
      <c r="G461" s="44"/>
      <c r="H461" s="44"/>
      <c r="I461" s="44"/>
      <c r="J461" s="44"/>
      <c r="K461" s="44"/>
      <c r="L461" s="44"/>
      <c r="M461" s="44"/>
      <c r="N461" s="44"/>
      <c r="O461" s="44"/>
    </row>
    <row r="462" spans="1:15" ht="17.25" customHeight="1">
      <c r="A462" s="44"/>
      <c r="B462" s="44"/>
      <c r="C462" s="44"/>
      <c r="D462" s="44"/>
      <c r="E462" s="44"/>
      <c r="F462" s="44"/>
      <c r="G462" s="44"/>
      <c r="H462" s="44"/>
      <c r="I462" s="44"/>
      <c r="J462" s="44"/>
      <c r="K462" s="44"/>
      <c r="L462" s="44"/>
      <c r="M462" s="44"/>
      <c r="N462" s="44"/>
      <c r="O462" s="44"/>
    </row>
    <row r="463" spans="1:15" ht="17.25" customHeight="1">
      <c r="A463" s="44"/>
      <c r="B463" s="44"/>
      <c r="C463" s="44"/>
      <c r="D463" s="44"/>
      <c r="E463" s="44"/>
      <c r="F463" s="44"/>
      <c r="G463" s="44"/>
      <c r="H463" s="44"/>
      <c r="I463" s="44"/>
      <c r="J463" s="44"/>
      <c r="K463" s="44"/>
      <c r="L463" s="44"/>
      <c r="M463" s="44"/>
      <c r="N463" s="44"/>
      <c r="O463" s="44"/>
    </row>
    <row r="464" spans="1:15" ht="17.25" customHeight="1">
      <c r="A464" s="44"/>
      <c r="B464" s="44"/>
      <c r="C464" s="44"/>
      <c r="D464" s="44"/>
      <c r="E464" s="44"/>
      <c r="F464" s="44"/>
      <c r="G464" s="44"/>
      <c r="H464" s="44"/>
      <c r="I464" s="44"/>
      <c r="J464" s="44"/>
      <c r="K464" s="44"/>
      <c r="L464" s="44"/>
      <c r="M464" s="44"/>
      <c r="N464" s="44"/>
      <c r="O464" s="44"/>
    </row>
    <row r="465" spans="1:15" ht="17.25" customHeight="1">
      <c r="A465" s="44"/>
      <c r="B465" s="44"/>
      <c r="C465" s="44"/>
      <c r="D465" s="44"/>
      <c r="E465" s="44"/>
      <c r="F465" s="44"/>
      <c r="G465" s="44"/>
      <c r="H465" s="44"/>
      <c r="I465" s="44"/>
      <c r="J465" s="44"/>
      <c r="K465" s="44"/>
      <c r="L465" s="44"/>
      <c r="M465" s="44"/>
      <c r="N465" s="44"/>
      <c r="O465" s="44"/>
    </row>
    <row r="466" spans="1:15" ht="17.25" customHeight="1">
      <c r="A466" s="44"/>
      <c r="B466" s="44"/>
      <c r="C466" s="44"/>
      <c r="D466" s="44"/>
      <c r="E466" s="44"/>
      <c r="F466" s="44"/>
      <c r="G466" s="44"/>
      <c r="H466" s="44"/>
      <c r="I466" s="44"/>
      <c r="J466" s="44"/>
      <c r="K466" s="44"/>
      <c r="L466" s="44"/>
      <c r="M466" s="44"/>
      <c r="N466" s="44"/>
      <c r="O466" s="44"/>
    </row>
    <row r="467" spans="1:15" ht="17.25" customHeight="1">
      <c r="A467" s="44"/>
      <c r="B467" s="44"/>
      <c r="C467" s="44"/>
      <c r="D467" s="44"/>
      <c r="E467" s="44"/>
      <c r="F467" s="44"/>
      <c r="G467" s="44"/>
      <c r="H467" s="44"/>
      <c r="I467" s="44"/>
      <c r="J467" s="44"/>
      <c r="K467" s="44"/>
      <c r="L467" s="44"/>
      <c r="M467" s="44"/>
      <c r="N467" s="44"/>
      <c r="O467" s="44"/>
    </row>
    <row r="468" spans="1:15" ht="17.25" customHeight="1">
      <c r="A468" s="44"/>
      <c r="B468" s="44"/>
      <c r="C468" s="44"/>
      <c r="D468" s="44"/>
      <c r="E468" s="44"/>
      <c r="F468" s="44"/>
      <c r="G468" s="44"/>
      <c r="H468" s="44"/>
      <c r="I468" s="44"/>
      <c r="J468" s="44"/>
      <c r="K468" s="44"/>
      <c r="L468" s="44"/>
      <c r="M468" s="44"/>
      <c r="N468" s="44"/>
      <c r="O468" s="44"/>
    </row>
    <row r="469" spans="1:15" ht="17.25" customHeight="1">
      <c r="A469" s="44"/>
      <c r="B469" s="44"/>
      <c r="C469" s="44"/>
      <c r="D469" s="44"/>
      <c r="E469" s="44"/>
      <c r="F469" s="44"/>
      <c r="G469" s="44"/>
      <c r="H469" s="44"/>
      <c r="I469" s="44"/>
      <c r="J469" s="44"/>
      <c r="K469" s="44"/>
      <c r="L469" s="44"/>
      <c r="M469" s="44"/>
      <c r="N469" s="44"/>
      <c r="O469" s="44"/>
    </row>
    <row r="470" spans="1:15" ht="17.25" customHeight="1">
      <c r="A470" s="44"/>
      <c r="B470" s="44"/>
      <c r="C470" s="44"/>
      <c r="D470" s="44"/>
      <c r="E470" s="44"/>
      <c r="F470" s="44"/>
      <c r="G470" s="44"/>
      <c r="H470" s="44"/>
      <c r="I470" s="44"/>
      <c r="J470" s="44"/>
      <c r="K470" s="44"/>
      <c r="L470" s="44"/>
      <c r="M470" s="44"/>
      <c r="N470" s="44"/>
      <c r="O470" s="44"/>
    </row>
    <row r="471" spans="1:15" ht="17.25" customHeight="1">
      <c r="A471" s="44"/>
      <c r="B471" s="44"/>
      <c r="C471" s="44"/>
      <c r="D471" s="44"/>
      <c r="E471" s="44"/>
      <c r="F471" s="44"/>
      <c r="G471" s="44"/>
      <c r="H471" s="44"/>
      <c r="I471" s="44"/>
      <c r="J471" s="44"/>
      <c r="K471" s="44"/>
      <c r="L471" s="44"/>
      <c r="M471" s="44"/>
      <c r="N471" s="44"/>
      <c r="O471" s="44"/>
    </row>
    <row r="472" spans="1:15" ht="17.25" customHeight="1">
      <c r="A472" s="44"/>
      <c r="B472" s="44"/>
      <c r="C472" s="44"/>
      <c r="D472" s="44"/>
      <c r="E472" s="44"/>
      <c r="F472" s="44"/>
      <c r="G472" s="44"/>
      <c r="H472" s="44"/>
      <c r="I472" s="44"/>
      <c r="J472" s="44"/>
      <c r="K472" s="44"/>
      <c r="L472" s="44"/>
      <c r="M472" s="44"/>
      <c r="N472" s="44"/>
      <c r="O472" s="44"/>
    </row>
    <row r="473" spans="1:15" ht="17.25" customHeight="1">
      <c r="A473" s="44"/>
      <c r="B473" s="44"/>
      <c r="C473" s="44"/>
      <c r="D473" s="44"/>
      <c r="E473" s="44"/>
      <c r="F473" s="44"/>
      <c r="G473" s="44"/>
      <c r="H473" s="44"/>
      <c r="I473" s="44"/>
      <c r="J473" s="44"/>
      <c r="K473" s="44"/>
      <c r="L473" s="44"/>
      <c r="M473" s="44"/>
      <c r="N473" s="44"/>
      <c r="O473" s="44"/>
    </row>
    <row r="474" spans="1:15" ht="17.25" customHeight="1">
      <c r="A474" s="44"/>
      <c r="B474" s="44"/>
      <c r="C474" s="44"/>
      <c r="D474" s="44"/>
      <c r="E474" s="44"/>
      <c r="F474" s="44"/>
      <c r="G474" s="44"/>
      <c r="H474" s="44"/>
      <c r="I474" s="44"/>
      <c r="J474" s="44"/>
      <c r="K474" s="44"/>
      <c r="L474" s="44"/>
      <c r="M474" s="44"/>
      <c r="N474" s="44"/>
      <c r="O474" s="44"/>
    </row>
    <row r="475" spans="1:15" ht="17.25" customHeight="1">
      <c r="A475" s="44"/>
      <c r="B475" s="44"/>
      <c r="C475" s="44"/>
      <c r="D475" s="44"/>
      <c r="E475" s="44"/>
      <c r="F475" s="44"/>
      <c r="G475" s="44"/>
      <c r="H475" s="44"/>
      <c r="I475" s="44"/>
      <c r="J475" s="44"/>
      <c r="K475" s="44"/>
      <c r="L475" s="44"/>
      <c r="M475" s="44"/>
      <c r="N475" s="44"/>
      <c r="O475" s="44"/>
    </row>
    <row r="476" spans="1:15" ht="17.25" customHeight="1">
      <c r="A476" s="44"/>
      <c r="B476" s="44"/>
      <c r="C476" s="44"/>
      <c r="D476" s="44"/>
      <c r="E476" s="44"/>
      <c r="F476" s="44"/>
      <c r="G476" s="44"/>
      <c r="H476" s="44"/>
      <c r="I476" s="44"/>
      <c r="J476" s="44"/>
      <c r="K476" s="44"/>
      <c r="L476" s="44"/>
      <c r="M476" s="44"/>
      <c r="N476" s="44"/>
      <c r="O476" s="44"/>
    </row>
    <row r="477" spans="1:15" ht="17.25" customHeight="1">
      <c r="A477" s="44"/>
      <c r="B477" s="44"/>
      <c r="C477" s="44"/>
      <c r="D477" s="44"/>
      <c r="E477" s="44"/>
      <c r="F477" s="44"/>
      <c r="G477" s="44"/>
      <c r="H477" s="44"/>
      <c r="I477" s="44"/>
      <c r="J477" s="44"/>
      <c r="K477" s="44"/>
      <c r="L477" s="44"/>
      <c r="M477" s="44"/>
      <c r="N477" s="44"/>
      <c r="O477" s="44"/>
    </row>
    <row r="478" spans="1:15" ht="17.25" customHeight="1">
      <c r="A478" s="44"/>
      <c r="B478" s="44"/>
      <c r="C478" s="44"/>
      <c r="D478" s="44"/>
      <c r="E478" s="44"/>
      <c r="F478" s="44"/>
      <c r="G478" s="44"/>
      <c r="H478" s="44"/>
      <c r="I478" s="44"/>
      <c r="J478" s="44"/>
      <c r="K478" s="44"/>
      <c r="L478" s="44"/>
      <c r="M478" s="44"/>
      <c r="N478" s="44"/>
      <c r="O478" s="44"/>
    </row>
    <row r="479" spans="1:15" ht="17.25" customHeight="1">
      <c r="A479" s="44"/>
      <c r="B479" s="44"/>
      <c r="C479" s="44"/>
      <c r="D479" s="44"/>
      <c r="E479" s="44"/>
      <c r="F479" s="44"/>
      <c r="G479" s="44"/>
      <c r="H479" s="44"/>
      <c r="I479" s="44"/>
      <c r="J479" s="44"/>
      <c r="K479" s="44"/>
      <c r="L479" s="44"/>
      <c r="M479" s="44"/>
      <c r="N479" s="44"/>
      <c r="O479" s="44"/>
    </row>
    <row r="480" spans="1:15" ht="17.25" customHeight="1">
      <c r="A480" s="44"/>
      <c r="B480" s="44"/>
      <c r="C480" s="44"/>
      <c r="D480" s="44"/>
      <c r="E480" s="44"/>
      <c r="F480" s="44"/>
      <c r="G480" s="44"/>
      <c r="H480" s="44"/>
      <c r="I480" s="44"/>
      <c r="J480" s="44"/>
      <c r="K480" s="44"/>
      <c r="L480" s="44"/>
      <c r="M480" s="44"/>
      <c r="N480" s="44"/>
      <c r="O480" s="44"/>
    </row>
    <row r="481" spans="1:15" ht="17.25" customHeight="1">
      <c r="A481" s="44"/>
      <c r="B481" s="44"/>
      <c r="C481" s="44"/>
      <c r="D481" s="44"/>
      <c r="E481" s="44"/>
      <c r="F481" s="44"/>
      <c r="G481" s="44"/>
      <c r="H481" s="44"/>
      <c r="I481" s="44"/>
      <c r="J481" s="44"/>
      <c r="K481" s="44"/>
      <c r="L481" s="44"/>
      <c r="M481" s="44"/>
      <c r="N481" s="44"/>
      <c r="O481" s="44"/>
    </row>
    <row r="482" spans="1:15" ht="17.25" customHeight="1">
      <c r="A482" s="44"/>
      <c r="B482" s="44"/>
      <c r="C482" s="44"/>
      <c r="D482" s="44"/>
      <c r="E482" s="44"/>
      <c r="F482" s="44"/>
      <c r="G482" s="44"/>
      <c r="H482" s="44"/>
      <c r="I482" s="44"/>
      <c r="J482" s="44"/>
      <c r="K482" s="44"/>
      <c r="L482" s="44"/>
      <c r="M482" s="44"/>
      <c r="N482" s="44"/>
      <c r="O482" s="44"/>
    </row>
    <row r="483" spans="1:15" ht="17.25" customHeight="1">
      <c r="A483" s="44"/>
      <c r="B483" s="44"/>
      <c r="C483" s="44"/>
      <c r="D483" s="44"/>
      <c r="E483" s="44"/>
      <c r="F483" s="44"/>
      <c r="G483" s="44"/>
      <c r="H483" s="44"/>
      <c r="I483" s="44"/>
      <c r="J483" s="44"/>
      <c r="K483" s="44"/>
      <c r="L483" s="44"/>
      <c r="M483" s="44"/>
      <c r="N483" s="44"/>
      <c r="O483" s="44"/>
    </row>
    <row r="484" spans="1:15" ht="17.25" customHeight="1">
      <c r="A484" s="44"/>
      <c r="B484" s="44"/>
      <c r="C484" s="44"/>
      <c r="D484" s="44"/>
      <c r="E484" s="44"/>
      <c r="F484" s="44"/>
      <c r="G484" s="44"/>
      <c r="H484" s="44"/>
      <c r="I484" s="44"/>
      <c r="J484" s="44"/>
      <c r="K484" s="44"/>
      <c r="L484" s="44"/>
      <c r="M484" s="44"/>
      <c r="N484" s="44"/>
      <c r="O484" s="44"/>
    </row>
    <row r="485" spans="1:15" ht="17.25" customHeight="1">
      <c r="A485" s="44"/>
      <c r="B485" s="44"/>
      <c r="C485" s="44"/>
      <c r="D485" s="44"/>
      <c r="E485" s="44"/>
      <c r="F485" s="44"/>
      <c r="G485" s="44"/>
      <c r="H485" s="44"/>
      <c r="I485" s="44"/>
      <c r="J485" s="44"/>
      <c r="K485" s="44"/>
      <c r="L485" s="44"/>
      <c r="M485" s="44"/>
      <c r="N485" s="44"/>
      <c r="O485" s="44"/>
    </row>
    <row r="486" spans="1:15" ht="17.25" customHeight="1">
      <c r="A486" s="44"/>
      <c r="B486" s="44"/>
      <c r="C486" s="44"/>
      <c r="D486" s="44"/>
      <c r="E486" s="44"/>
      <c r="F486" s="44"/>
      <c r="G486" s="44"/>
      <c r="H486" s="44"/>
      <c r="I486" s="44"/>
      <c r="J486" s="44"/>
      <c r="K486" s="44"/>
      <c r="L486" s="44"/>
      <c r="M486" s="44"/>
      <c r="N486" s="44"/>
      <c r="O486" s="44"/>
    </row>
    <row r="487" spans="1:15" ht="17.25" customHeight="1">
      <c r="A487" s="44"/>
      <c r="B487" s="44"/>
      <c r="C487" s="44"/>
      <c r="D487" s="44"/>
      <c r="E487" s="44"/>
      <c r="F487" s="44"/>
      <c r="G487" s="44"/>
      <c r="H487" s="44"/>
      <c r="I487" s="44"/>
      <c r="J487" s="44"/>
      <c r="K487" s="44"/>
      <c r="L487" s="44"/>
      <c r="M487" s="44"/>
      <c r="N487" s="44"/>
      <c r="O487" s="44"/>
    </row>
    <row r="488" spans="1:15" ht="17.25" customHeight="1">
      <c r="A488" s="44"/>
      <c r="B488" s="44"/>
      <c r="C488" s="44"/>
      <c r="D488" s="44"/>
      <c r="E488" s="44"/>
      <c r="F488" s="44"/>
      <c r="G488" s="44"/>
      <c r="H488" s="44"/>
      <c r="I488" s="44"/>
      <c r="J488" s="44"/>
      <c r="K488" s="44"/>
      <c r="L488" s="44"/>
      <c r="M488" s="44"/>
      <c r="N488" s="44"/>
      <c r="O488" s="44"/>
    </row>
    <row r="489" spans="1:15" ht="17.25" customHeight="1">
      <c r="A489" s="44"/>
      <c r="B489" s="44"/>
      <c r="C489" s="44"/>
      <c r="D489" s="44"/>
      <c r="E489" s="44"/>
      <c r="F489" s="44"/>
      <c r="G489" s="44"/>
      <c r="H489" s="44"/>
      <c r="I489" s="44"/>
      <c r="J489" s="44"/>
      <c r="K489" s="44"/>
      <c r="L489" s="44"/>
      <c r="M489" s="44"/>
      <c r="N489" s="44"/>
      <c r="O489" s="44"/>
    </row>
    <row r="490" spans="1:15" ht="17.25" customHeight="1">
      <c r="A490" s="44"/>
      <c r="B490" s="44"/>
      <c r="C490" s="44"/>
      <c r="D490" s="44"/>
      <c r="E490" s="44"/>
      <c r="F490" s="44"/>
      <c r="G490" s="44"/>
      <c r="H490" s="44"/>
      <c r="I490" s="44"/>
      <c r="J490" s="44"/>
      <c r="K490" s="44"/>
      <c r="L490" s="44"/>
      <c r="M490" s="44"/>
      <c r="N490" s="44"/>
      <c r="O490" s="44"/>
    </row>
    <row r="491" spans="1:15" ht="17.25" customHeight="1">
      <c r="A491" s="44"/>
      <c r="B491" s="44"/>
      <c r="C491" s="44"/>
      <c r="D491" s="44"/>
      <c r="E491" s="44"/>
      <c r="F491" s="44"/>
      <c r="G491" s="44"/>
      <c r="H491" s="44"/>
      <c r="I491" s="44"/>
      <c r="J491" s="44"/>
      <c r="K491" s="44"/>
      <c r="L491" s="44"/>
      <c r="M491" s="44"/>
      <c r="N491" s="44"/>
      <c r="O491" s="44"/>
    </row>
    <row r="492" spans="1:15" ht="17.25" customHeight="1">
      <c r="A492" s="44"/>
      <c r="B492" s="44"/>
      <c r="C492" s="44"/>
      <c r="D492" s="44"/>
      <c r="E492" s="44"/>
      <c r="F492" s="44"/>
      <c r="G492" s="44"/>
      <c r="H492" s="44"/>
      <c r="I492" s="44"/>
      <c r="J492" s="44"/>
      <c r="K492" s="44"/>
      <c r="L492" s="44"/>
      <c r="M492" s="44"/>
      <c r="N492" s="44"/>
      <c r="O492" s="44"/>
    </row>
    <row r="493" spans="1:15" ht="17.25" customHeight="1">
      <c r="A493" s="44"/>
      <c r="B493" s="44"/>
      <c r="C493" s="44"/>
      <c r="D493" s="44"/>
      <c r="E493" s="44"/>
      <c r="F493" s="44"/>
      <c r="G493" s="44"/>
      <c r="H493" s="44"/>
      <c r="I493" s="44"/>
      <c r="J493" s="44"/>
      <c r="K493" s="44"/>
      <c r="L493" s="44"/>
      <c r="M493" s="44"/>
      <c r="N493" s="44"/>
      <c r="O493" s="44"/>
    </row>
    <row r="494" spans="1:15" ht="17.25" customHeight="1">
      <c r="A494" s="44"/>
      <c r="B494" s="44"/>
      <c r="C494" s="44"/>
      <c r="D494" s="44"/>
      <c r="E494" s="44"/>
      <c r="F494" s="44"/>
      <c r="G494" s="44"/>
      <c r="H494" s="44"/>
      <c r="I494" s="44"/>
      <c r="J494" s="44"/>
      <c r="K494" s="44"/>
      <c r="L494" s="44"/>
      <c r="M494" s="44"/>
      <c r="N494" s="44"/>
      <c r="O494" s="44"/>
    </row>
    <row r="495" spans="1:15" ht="17.25" customHeight="1">
      <c r="A495" s="44"/>
      <c r="B495" s="44"/>
      <c r="C495" s="44"/>
      <c r="D495" s="44"/>
      <c r="E495" s="44"/>
      <c r="F495" s="44"/>
      <c r="G495" s="44"/>
      <c r="H495" s="44"/>
      <c r="I495" s="44"/>
      <c r="J495" s="44"/>
      <c r="K495" s="44"/>
      <c r="L495" s="44"/>
      <c r="M495" s="44"/>
      <c r="N495" s="44"/>
      <c r="O495" s="44"/>
    </row>
    <row r="496" spans="1:15" ht="17.25" customHeight="1">
      <c r="A496" s="44"/>
      <c r="B496" s="44"/>
      <c r="C496" s="44"/>
      <c r="D496" s="44"/>
      <c r="E496" s="44"/>
      <c r="F496" s="44"/>
      <c r="G496" s="44"/>
      <c r="H496" s="44"/>
      <c r="I496" s="44"/>
      <c r="J496" s="44"/>
      <c r="K496" s="44"/>
      <c r="L496" s="44"/>
      <c r="M496" s="44"/>
      <c r="N496" s="44"/>
      <c r="O496" s="44"/>
    </row>
    <row r="497" spans="1:15" ht="17.25" customHeight="1">
      <c r="A497" s="44"/>
      <c r="B497" s="44"/>
      <c r="C497" s="44"/>
      <c r="D497" s="44"/>
      <c r="E497" s="44"/>
      <c r="F497" s="44"/>
      <c r="G497" s="44"/>
      <c r="H497" s="44"/>
      <c r="I497" s="44"/>
      <c r="J497" s="44"/>
      <c r="K497" s="44"/>
      <c r="L497" s="44"/>
      <c r="M497" s="44"/>
      <c r="N497" s="44"/>
      <c r="O497" s="44"/>
    </row>
    <row r="498" spans="1:15" ht="17.25" customHeight="1">
      <c r="A498" s="44"/>
      <c r="B498" s="44"/>
      <c r="C498" s="44"/>
      <c r="D498" s="44"/>
      <c r="E498" s="44"/>
      <c r="F498" s="44"/>
      <c r="G498" s="44"/>
      <c r="H498" s="44"/>
      <c r="I498" s="44"/>
      <c r="J498" s="44"/>
      <c r="K498" s="44"/>
      <c r="L498" s="44"/>
      <c r="M498" s="44"/>
      <c r="N498" s="44"/>
      <c r="O498" s="44"/>
    </row>
    <row r="499" spans="1:15" ht="17.25" customHeight="1">
      <c r="A499" s="44"/>
      <c r="B499" s="44"/>
      <c r="C499" s="44"/>
      <c r="D499" s="44"/>
      <c r="E499" s="44"/>
      <c r="F499" s="44"/>
      <c r="G499" s="44"/>
      <c r="H499" s="44"/>
      <c r="I499" s="44"/>
      <c r="J499" s="44"/>
      <c r="K499" s="44"/>
      <c r="L499" s="44"/>
      <c r="M499" s="44"/>
      <c r="N499" s="44"/>
      <c r="O499" s="44"/>
    </row>
    <row r="500" spans="1:15" ht="17.25" customHeight="1">
      <c r="A500" s="44"/>
      <c r="B500" s="44"/>
      <c r="C500" s="44"/>
      <c r="D500" s="44"/>
      <c r="E500" s="44"/>
      <c r="F500" s="44"/>
      <c r="G500" s="44"/>
      <c r="H500" s="44"/>
      <c r="I500" s="44"/>
      <c r="J500" s="44"/>
      <c r="K500" s="44"/>
      <c r="L500" s="44"/>
      <c r="M500" s="44"/>
      <c r="N500" s="44"/>
      <c r="O500" s="44"/>
    </row>
    <row r="501" spans="1:15" ht="17.25" customHeight="1">
      <c r="A501" s="44"/>
      <c r="B501" s="44"/>
      <c r="C501" s="44"/>
      <c r="D501" s="44"/>
      <c r="E501" s="44"/>
      <c r="F501" s="44"/>
      <c r="G501" s="44"/>
      <c r="H501" s="44"/>
      <c r="I501" s="44"/>
      <c r="J501" s="44"/>
      <c r="K501" s="44"/>
      <c r="L501" s="44"/>
      <c r="M501" s="44"/>
      <c r="N501" s="44"/>
      <c r="O501" s="44"/>
    </row>
    <row r="502" spans="1:15" ht="17.25" customHeight="1">
      <c r="A502" s="44"/>
      <c r="B502" s="44"/>
      <c r="C502" s="44"/>
      <c r="D502" s="44"/>
      <c r="E502" s="44"/>
      <c r="F502" s="44"/>
      <c r="G502" s="44"/>
      <c r="H502" s="44"/>
      <c r="I502" s="44"/>
      <c r="J502" s="44"/>
      <c r="K502" s="44"/>
      <c r="L502" s="44"/>
      <c r="M502" s="44"/>
      <c r="N502" s="44"/>
      <c r="O502" s="44"/>
    </row>
    <row r="503" spans="1:15" ht="17.25" customHeight="1">
      <c r="A503" s="44"/>
      <c r="B503" s="44"/>
      <c r="C503" s="44"/>
      <c r="D503" s="44"/>
      <c r="E503" s="44"/>
      <c r="F503" s="44"/>
      <c r="G503" s="44"/>
      <c r="H503" s="44"/>
      <c r="I503" s="44"/>
      <c r="J503" s="44"/>
      <c r="K503" s="44"/>
      <c r="L503" s="44"/>
      <c r="M503" s="44"/>
      <c r="N503" s="44"/>
      <c r="O503" s="44"/>
    </row>
    <row r="504" spans="1:15" ht="17.25" customHeight="1">
      <c r="A504" s="44"/>
      <c r="B504" s="44"/>
      <c r="C504" s="44"/>
      <c r="D504" s="44"/>
      <c r="E504" s="44"/>
      <c r="F504" s="44"/>
      <c r="G504" s="44"/>
      <c r="H504" s="44"/>
      <c r="I504" s="44"/>
      <c r="J504" s="44"/>
      <c r="K504" s="44"/>
      <c r="L504" s="44"/>
      <c r="M504" s="44"/>
      <c r="N504" s="44"/>
      <c r="O504" s="44"/>
    </row>
    <row r="505" spans="1:15" ht="17.25" customHeight="1">
      <c r="A505" s="44"/>
      <c r="B505" s="44"/>
      <c r="C505" s="44"/>
      <c r="D505" s="44"/>
      <c r="E505" s="44"/>
      <c r="F505" s="44"/>
      <c r="G505" s="44"/>
      <c r="H505" s="44"/>
      <c r="I505" s="44"/>
      <c r="J505" s="44"/>
      <c r="K505" s="44"/>
      <c r="L505" s="44"/>
      <c r="M505" s="44"/>
      <c r="N505" s="44"/>
      <c r="O505" s="44"/>
    </row>
    <row r="506" spans="1:15" ht="17.25" customHeight="1">
      <c r="A506" s="44"/>
      <c r="B506" s="44"/>
      <c r="C506" s="44"/>
      <c r="D506" s="44"/>
      <c r="E506" s="44"/>
      <c r="F506" s="44"/>
      <c r="G506" s="44"/>
      <c r="H506" s="44"/>
      <c r="I506" s="44"/>
      <c r="J506" s="44"/>
      <c r="K506" s="44"/>
      <c r="L506" s="44"/>
      <c r="M506" s="44"/>
      <c r="N506" s="44"/>
      <c r="O506" s="44"/>
    </row>
    <row r="507" spans="1:15" ht="17.25" customHeight="1">
      <c r="A507" s="44"/>
      <c r="B507" s="44"/>
      <c r="C507" s="44"/>
      <c r="D507" s="44"/>
      <c r="E507" s="44"/>
      <c r="F507" s="44"/>
      <c r="G507" s="44"/>
      <c r="H507" s="44"/>
      <c r="I507" s="44"/>
      <c r="J507" s="44"/>
      <c r="K507" s="44"/>
      <c r="L507" s="44"/>
      <c r="M507" s="44"/>
      <c r="N507" s="44"/>
      <c r="O507" s="44"/>
    </row>
    <row r="508" spans="1:15" ht="17.25" customHeight="1">
      <c r="A508" s="44"/>
      <c r="B508" s="44"/>
      <c r="C508" s="44"/>
      <c r="D508" s="44"/>
      <c r="E508" s="44"/>
      <c r="F508" s="44"/>
      <c r="G508" s="44"/>
      <c r="H508" s="44"/>
      <c r="I508" s="44"/>
      <c r="J508" s="44"/>
      <c r="K508" s="44"/>
      <c r="L508" s="44"/>
      <c r="M508" s="44"/>
      <c r="N508" s="44"/>
      <c r="O508" s="44"/>
    </row>
    <row r="509" spans="1:15" ht="17.25" customHeight="1">
      <c r="A509" s="44"/>
      <c r="B509" s="44"/>
      <c r="C509" s="44"/>
      <c r="D509" s="44"/>
      <c r="E509" s="44"/>
      <c r="F509" s="44"/>
      <c r="G509" s="44"/>
      <c r="H509" s="44"/>
      <c r="I509" s="44"/>
      <c r="J509" s="44"/>
      <c r="K509" s="44"/>
      <c r="L509" s="44"/>
      <c r="M509" s="44"/>
      <c r="N509" s="44"/>
      <c r="O509" s="44"/>
    </row>
    <row r="510" spans="1:15" ht="17.25" customHeight="1">
      <c r="A510" s="44"/>
      <c r="B510" s="44"/>
      <c r="C510" s="44"/>
      <c r="D510" s="44"/>
      <c r="E510" s="44"/>
      <c r="F510" s="44"/>
      <c r="G510" s="44"/>
      <c r="H510" s="44"/>
      <c r="I510" s="44"/>
      <c r="J510" s="44"/>
      <c r="K510" s="44"/>
      <c r="L510" s="44"/>
      <c r="M510" s="44"/>
      <c r="N510" s="44"/>
      <c r="O510" s="44"/>
    </row>
    <row r="511" spans="1:15" ht="17.25" customHeight="1">
      <c r="A511" s="44"/>
      <c r="B511" s="44"/>
      <c r="C511" s="44"/>
      <c r="D511" s="44"/>
      <c r="E511" s="44"/>
      <c r="F511" s="44"/>
      <c r="G511" s="44"/>
      <c r="H511" s="44"/>
      <c r="I511" s="44"/>
      <c r="J511" s="44"/>
      <c r="K511" s="44"/>
      <c r="L511" s="44"/>
      <c r="M511" s="44"/>
      <c r="N511" s="44"/>
      <c r="O511" s="44"/>
    </row>
    <row r="512" spans="1:15" ht="17.25" customHeight="1">
      <c r="A512" s="44"/>
      <c r="B512" s="44"/>
      <c r="C512" s="44"/>
      <c r="D512" s="44"/>
      <c r="E512" s="44"/>
      <c r="F512" s="44"/>
      <c r="G512" s="44"/>
      <c r="H512" s="44"/>
      <c r="I512" s="44"/>
      <c r="J512" s="44"/>
      <c r="K512" s="44"/>
      <c r="L512" s="44"/>
      <c r="M512" s="44"/>
      <c r="N512" s="44"/>
      <c r="O512" s="44"/>
    </row>
    <row r="513" spans="1:15" ht="17.25" customHeight="1">
      <c r="A513" s="44"/>
      <c r="B513" s="44"/>
      <c r="C513" s="44"/>
      <c r="D513" s="44"/>
      <c r="E513" s="44"/>
      <c r="F513" s="44"/>
      <c r="G513" s="44"/>
      <c r="H513" s="44"/>
      <c r="I513" s="44"/>
      <c r="J513" s="44"/>
      <c r="K513" s="44"/>
      <c r="L513" s="44"/>
      <c r="M513" s="44"/>
      <c r="N513" s="44"/>
      <c r="O513" s="44"/>
    </row>
    <row r="514" spans="1:15" ht="17.25" customHeight="1">
      <c r="A514" s="44"/>
      <c r="B514" s="44"/>
      <c r="C514" s="44"/>
      <c r="D514" s="44"/>
      <c r="E514" s="44"/>
      <c r="F514" s="44"/>
      <c r="G514" s="44"/>
      <c r="H514" s="44"/>
      <c r="I514" s="44"/>
      <c r="J514" s="44"/>
      <c r="K514" s="44"/>
      <c r="L514" s="44"/>
      <c r="M514" s="44"/>
      <c r="N514" s="44"/>
      <c r="O514" s="44"/>
    </row>
    <row r="515" spans="1:15" ht="17.25" customHeight="1">
      <c r="A515" s="44"/>
      <c r="B515" s="44"/>
      <c r="C515" s="44"/>
      <c r="D515" s="44"/>
      <c r="E515" s="44"/>
      <c r="F515" s="44"/>
      <c r="G515" s="44"/>
      <c r="H515" s="44"/>
      <c r="I515" s="44"/>
      <c r="J515" s="44"/>
      <c r="K515" s="44"/>
      <c r="L515" s="44"/>
      <c r="M515" s="44"/>
      <c r="N515" s="44"/>
      <c r="O515" s="44"/>
    </row>
    <row r="516" spans="1:15" ht="17.25" customHeight="1">
      <c r="A516" s="44"/>
      <c r="B516" s="44"/>
      <c r="C516" s="44"/>
      <c r="D516" s="44"/>
      <c r="E516" s="44"/>
      <c r="F516" s="44"/>
      <c r="G516" s="44"/>
      <c r="H516" s="44"/>
      <c r="I516" s="44"/>
      <c r="J516" s="44"/>
      <c r="K516" s="44"/>
      <c r="L516" s="44"/>
      <c r="M516" s="44"/>
      <c r="N516" s="44"/>
      <c r="O516" s="44"/>
    </row>
    <row r="517" spans="1:15" ht="17.25" customHeight="1">
      <c r="A517" s="44"/>
      <c r="B517" s="44"/>
      <c r="C517" s="44"/>
      <c r="D517" s="44"/>
      <c r="E517" s="44"/>
      <c r="F517" s="44"/>
      <c r="G517" s="44"/>
      <c r="H517" s="44"/>
      <c r="I517" s="44"/>
      <c r="J517" s="44"/>
      <c r="K517" s="44"/>
      <c r="L517" s="44"/>
      <c r="M517" s="44"/>
      <c r="N517" s="44"/>
      <c r="O517" s="44"/>
    </row>
    <row r="518" spans="1:15" ht="17.25" customHeight="1">
      <c r="A518" s="44"/>
      <c r="B518" s="44"/>
      <c r="C518" s="44"/>
      <c r="D518" s="44"/>
      <c r="E518" s="44"/>
      <c r="F518" s="44"/>
      <c r="G518" s="44"/>
      <c r="H518" s="44"/>
      <c r="I518" s="44"/>
      <c r="J518" s="44"/>
      <c r="K518" s="44"/>
      <c r="L518" s="44"/>
      <c r="M518" s="44"/>
      <c r="N518" s="44"/>
      <c r="O518" s="44"/>
    </row>
    <row r="519" spans="1:15" ht="17.25" customHeight="1">
      <c r="A519" s="44"/>
      <c r="B519" s="44"/>
      <c r="C519" s="44"/>
      <c r="D519" s="44"/>
      <c r="E519" s="44"/>
      <c r="F519" s="44"/>
      <c r="G519" s="44"/>
      <c r="H519" s="44"/>
      <c r="I519" s="44"/>
      <c r="J519" s="44"/>
      <c r="K519" s="44"/>
      <c r="L519" s="44"/>
      <c r="M519" s="44"/>
      <c r="N519" s="44"/>
      <c r="O519" s="44"/>
    </row>
    <row r="520" spans="1:15" ht="17.25" customHeight="1">
      <c r="A520" s="44"/>
      <c r="B520" s="44"/>
      <c r="C520" s="44"/>
      <c r="D520" s="44"/>
      <c r="E520" s="44"/>
      <c r="F520" s="44"/>
      <c r="G520" s="44"/>
      <c r="H520" s="44"/>
      <c r="I520" s="44"/>
      <c r="J520" s="44"/>
      <c r="K520" s="44"/>
      <c r="L520" s="44"/>
      <c r="M520" s="44"/>
      <c r="N520" s="44"/>
      <c r="O520" s="44"/>
    </row>
    <row r="521" spans="1:15" ht="17.25" customHeight="1">
      <c r="A521" s="44"/>
      <c r="B521" s="44"/>
      <c r="C521" s="44"/>
      <c r="D521" s="44"/>
      <c r="E521" s="44"/>
      <c r="F521" s="44"/>
      <c r="G521" s="44"/>
      <c r="H521" s="44"/>
      <c r="I521" s="44"/>
      <c r="J521" s="44"/>
      <c r="K521" s="44"/>
      <c r="L521" s="44"/>
      <c r="M521" s="44"/>
      <c r="N521" s="44"/>
      <c r="O521" s="44"/>
    </row>
    <row r="522" spans="1:15" ht="17.25" customHeight="1">
      <c r="A522" s="44"/>
      <c r="B522" s="44"/>
      <c r="C522" s="44"/>
      <c r="D522" s="44"/>
      <c r="E522" s="44"/>
      <c r="F522" s="44"/>
      <c r="G522" s="44"/>
      <c r="H522" s="44"/>
      <c r="I522" s="44"/>
      <c r="J522" s="44"/>
      <c r="K522" s="44"/>
      <c r="L522" s="44"/>
      <c r="M522" s="44"/>
      <c r="N522" s="44"/>
      <c r="O522" s="44"/>
    </row>
    <row r="523" spans="1:15" ht="17.25" customHeight="1">
      <c r="A523" s="44"/>
      <c r="B523" s="44"/>
      <c r="C523" s="44"/>
      <c r="D523" s="44"/>
      <c r="E523" s="44"/>
      <c r="F523" s="44"/>
      <c r="G523" s="44"/>
      <c r="H523" s="44"/>
      <c r="I523" s="44"/>
      <c r="J523" s="44"/>
      <c r="K523" s="44"/>
      <c r="L523" s="44"/>
      <c r="M523" s="44"/>
      <c r="N523" s="44"/>
      <c r="O523" s="44"/>
    </row>
    <row r="524" spans="1:15" ht="17.25" customHeight="1">
      <c r="A524" s="44"/>
      <c r="B524" s="44"/>
      <c r="C524" s="44"/>
      <c r="D524" s="44"/>
      <c r="E524" s="44"/>
      <c r="F524" s="44"/>
      <c r="G524" s="44"/>
      <c r="H524" s="44"/>
      <c r="I524" s="44"/>
      <c r="J524" s="44"/>
      <c r="K524" s="44"/>
      <c r="L524" s="44"/>
      <c r="M524" s="44"/>
      <c r="N524" s="44"/>
      <c r="O524" s="44"/>
    </row>
    <row r="525" spans="1:15" ht="17.25" customHeight="1">
      <c r="A525" s="44"/>
      <c r="B525" s="44"/>
      <c r="C525" s="44"/>
      <c r="D525" s="44"/>
      <c r="E525" s="44"/>
      <c r="F525" s="44"/>
      <c r="G525" s="44"/>
      <c r="H525" s="44"/>
      <c r="I525" s="44"/>
      <c r="J525" s="44"/>
      <c r="K525" s="44"/>
      <c r="L525" s="44"/>
      <c r="M525" s="44"/>
      <c r="N525" s="44"/>
      <c r="O525" s="44"/>
    </row>
    <row r="526" spans="1:15" ht="17.25" customHeight="1">
      <c r="A526" s="44"/>
      <c r="B526" s="44"/>
      <c r="C526" s="44"/>
      <c r="D526" s="44"/>
      <c r="E526" s="44"/>
      <c r="F526" s="44"/>
      <c r="G526" s="44"/>
      <c r="H526" s="44"/>
      <c r="I526" s="44"/>
      <c r="J526" s="44"/>
      <c r="K526" s="44"/>
      <c r="L526" s="44"/>
      <c r="M526" s="44"/>
      <c r="N526" s="44"/>
      <c r="O526" s="44"/>
    </row>
    <row r="527" spans="1:15" ht="17.25" customHeight="1">
      <c r="A527" s="44"/>
      <c r="B527" s="44"/>
      <c r="C527" s="44"/>
      <c r="D527" s="44"/>
      <c r="E527" s="44"/>
      <c r="F527" s="44"/>
      <c r="G527" s="44"/>
      <c r="H527" s="44"/>
      <c r="I527" s="44"/>
      <c r="J527" s="44"/>
      <c r="K527" s="44"/>
      <c r="L527" s="44"/>
      <c r="M527" s="44"/>
      <c r="N527" s="44"/>
      <c r="O527" s="44"/>
    </row>
    <row r="528" spans="1:15" ht="17.25" customHeight="1">
      <c r="A528" s="44"/>
      <c r="B528" s="44"/>
      <c r="C528" s="44"/>
      <c r="D528" s="44"/>
      <c r="E528" s="44"/>
      <c r="F528" s="44"/>
      <c r="G528" s="44"/>
      <c r="H528" s="44"/>
      <c r="I528" s="44"/>
      <c r="J528" s="44"/>
      <c r="K528" s="44"/>
      <c r="L528" s="44"/>
      <c r="M528" s="44"/>
      <c r="N528" s="44"/>
      <c r="O528" s="44"/>
    </row>
    <row r="529" spans="1:15" ht="17.25" customHeight="1">
      <c r="A529" s="44"/>
      <c r="B529" s="44"/>
      <c r="C529" s="44"/>
      <c r="D529" s="44"/>
      <c r="E529" s="44"/>
      <c r="F529" s="44"/>
      <c r="G529" s="44"/>
      <c r="H529" s="44"/>
      <c r="I529" s="44"/>
      <c r="J529" s="44"/>
      <c r="K529" s="44"/>
      <c r="L529" s="44"/>
      <c r="M529" s="44"/>
      <c r="N529" s="44"/>
      <c r="O529" s="44"/>
    </row>
    <row r="530" spans="1:15" ht="17.25" customHeight="1">
      <c r="A530" s="44"/>
      <c r="B530" s="44"/>
      <c r="C530" s="44"/>
      <c r="D530" s="44"/>
      <c r="E530" s="44"/>
      <c r="F530" s="44"/>
      <c r="G530" s="44"/>
      <c r="H530" s="44"/>
      <c r="I530" s="44"/>
      <c r="J530" s="44"/>
      <c r="K530" s="44"/>
      <c r="L530" s="44"/>
      <c r="M530" s="44"/>
      <c r="N530" s="44"/>
      <c r="O530" s="44"/>
    </row>
    <row r="531" spans="1:15" ht="17.25" customHeight="1">
      <c r="A531" s="44"/>
      <c r="B531" s="44"/>
      <c r="C531" s="44"/>
      <c r="D531" s="44"/>
      <c r="E531" s="44"/>
      <c r="F531" s="44"/>
      <c r="G531" s="44"/>
      <c r="H531" s="44"/>
      <c r="I531" s="44"/>
      <c r="J531" s="44"/>
      <c r="K531" s="44"/>
      <c r="L531" s="44"/>
      <c r="M531" s="44"/>
      <c r="N531" s="44"/>
      <c r="O531" s="44"/>
    </row>
    <row r="532" spans="1:15" ht="17.25" customHeight="1">
      <c r="A532" s="44"/>
      <c r="B532" s="44"/>
      <c r="C532" s="44"/>
      <c r="D532" s="44"/>
      <c r="E532" s="44"/>
      <c r="F532" s="44"/>
      <c r="G532" s="44"/>
      <c r="H532" s="44"/>
      <c r="I532" s="44"/>
      <c r="J532" s="44"/>
      <c r="K532" s="44"/>
      <c r="L532" s="44"/>
      <c r="M532" s="44"/>
      <c r="N532" s="44"/>
      <c r="O532" s="44"/>
    </row>
    <row r="533" spans="1:15" ht="17.25" customHeight="1">
      <c r="A533" s="44"/>
      <c r="B533" s="44"/>
      <c r="C533" s="44"/>
      <c r="D533" s="44"/>
      <c r="E533" s="44"/>
      <c r="F533" s="44"/>
      <c r="G533" s="44"/>
      <c r="H533" s="44"/>
      <c r="I533" s="44"/>
      <c r="J533" s="44"/>
      <c r="K533" s="44"/>
      <c r="L533" s="44"/>
      <c r="M533" s="44"/>
      <c r="N533" s="44"/>
      <c r="O533" s="44"/>
    </row>
    <row r="534" spans="1:15" ht="17.25" customHeight="1">
      <c r="A534" s="44"/>
      <c r="B534" s="44"/>
      <c r="C534" s="44"/>
      <c r="D534" s="44"/>
      <c r="E534" s="44"/>
      <c r="F534" s="44"/>
      <c r="G534" s="44"/>
      <c r="H534" s="44"/>
      <c r="I534" s="44"/>
      <c r="J534" s="44"/>
      <c r="K534" s="44"/>
      <c r="L534" s="44"/>
      <c r="M534" s="44"/>
      <c r="N534" s="44"/>
      <c r="O534" s="44"/>
    </row>
    <row r="535" spans="1:15" ht="17.25" customHeight="1">
      <c r="A535" s="44"/>
      <c r="B535" s="44"/>
      <c r="C535" s="44"/>
      <c r="D535" s="44"/>
      <c r="E535" s="44"/>
      <c r="F535" s="44"/>
      <c r="G535" s="44"/>
      <c r="H535" s="44"/>
      <c r="I535" s="44"/>
      <c r="J535" s="44"/>
      <c r="K535" s="44"/>
      <c r="L535" s="44"/>
      <c r="M535" s="44"/>
      <c r="N535" s="44"/>
      <c r="O535" s="44"/>
    </row>
    <row r="536" spans="1:15" ht="17.25" customHeight="1">
      <c r="A536" s="44"/>
      <c r="B536" s="44"/>
      <c r="C536" s="44"/>
      <c r="D536" s="44"/>
      <c r="E536" s="44"/>
      <c r="F536" s="44"/>
      <c r="G536" s="44"/>
      <c r="H536" s="44"/>
      <c r="I536" s="44"/>
      <c r="J536" s="44"/>
      <c r="K536" s="44"/>
      <c r="L536" s="44"/>
      <c r="M536" s="44"/>
      <c r="N536" s="44"/>
      <c r="O536" s="44"/>
    </row>
    <row r="537" spans="1:15" ht="17.25" customHeight="1">
      <c r="A537" s="44"/>
      <c r="B537" s="44"/>
      <c r="C537" s="44"/>
      <c r="D537" s="44"/>
      <c r="E537" s="44"/>
      <c r="F537" s="44"/>
      <c r="G537" s="44"/>
      <c r="H537" s="44"/>
      <c r="I537" s="44"/>
      <c r="J537" s="44"/>
      <c r="K537" s="44"/>
      <c r="L537" s="44"/>
      <c r="M537" s="44"/>
      <c r="N537" s="44"/>
      <c r="O537" s="44"/>
    </row>
    <row r="538" spans="1:15" ht="17.25" customHeight="1">
      <c r="A538" s="44"/>
      <c r="B538" s="44"/>
      <c r="C538" s="44"/>
      <c r="D538" s="44"/>
      <c r="E538" s="44"/>
      <c r="F538" s="44"/>
      <c r="G538" s="44"/>
      <c r="H538" s="44"/>
      <c r="I538" s="44"/>
      <c r="J538" s="44"/>
      <c r="K538" s="44"/>
      <c r="L538" s="44"/>
      <c r="M538" s="44"/>
      <c r="N538" s="44"/>
      <c r="O538" s="44"/>
    </row>
    <row r="539" spans="1:15" ht="17.25" customHeight="1">
      <c r="A539" s="44"/>
      <c r="B539" s="44"/>
      <c r="C539" s="44"/>
      <c r="D539" s="44"/>
      <c r="E539" s="44"/>
      <c r="F539" s="44"/>
      <c r="G539" s="44"/>
      <c r="H539" s="44"/>
      <c r="I539" s="44"/>
      <c r="J539" s="44"/>
      <c r="K539" s="44"/>
      <c r="L539" s="44"/>
      <c r="M539" s="44"/>
      <c r="N539" s="44"/>
      <c r="O539" s="44"/>
    </row>
    <row r="540" spans="1:15" ht="17.25" customHeight="1">
      <c r="A540" s="44"/>
      <c r="B540" s="44"/>
      <c r="C540" s="44"/>
      <c r="D540" s="44"/>
      <c r="E540" s="44"/>
      <c r="F540" s="44"/>
      <c r="G540" s="44"/>
      <c r="H540" s="44"/>
      <c r="I540" s="44"/>
      <c r="J540" s="44"/>
      <c r="K540" s="44"/>
      <c r="L540" s="44"/>
      <c r="M540" s="44"/>
      <c r="N540" s="44"/>
      <c r="O540" s="44"/>
    </row>
    <row r="541" spans="1:15" ht="17.25" customHeight="1">
      <c r="A541" s="44"/>
      <c r="B541" s="44"/>
      <c r="C541" s="44"/>
      <c r="D541" s="44"/>
      <c r="E541" s="44"/>
      <c r="F541" s="44"/>
      <c r="G541" s="44"/>
      <c r="H541" s="44"/>
      <c r="I541" s="44"/>
      <c r="J541" s="44"/>
      <c r="K541" s="44"/>
      <c r="L541" s="44"/>
      <c r="M541" s="44"/>
      <c r="N541" s="44"/>
      <c r="O541" s="44"/>
    </row>
    <row r="542" spans="1:15" ht="17.25" customHeight="1">
      <c r="A542" s="44"/>
      <c r="B542" s="44"/>
      <c r="C542" s="44"/>
      <c r="D542" s="44"/>
      <c r="E542" s="44"/>
      <c r="F542" s="44"/>
      <c r="G542" s="44"/>
      <c r="H542" s="44"/>
      <c r="I542" s="44"/>
      <c r="J542" s="44"/>
      <c r="K542" s="44"/>
      <c r="L542" s="44"/>
      <c r="M542" s="44"/>
      <c r="N542" s="44"/>
      <c r="O542" s="44"/>
    </row>
    <row r="543" spans="1:15" ht="17.25" customHeight="1">
      <c r="A543" s="44"/>
      <c r="B543" s="44"/>
      <c r="C543" s="44"/>
      <c r="D543" s="44"/>
      <c r="E543" s="44"/>
      <c r="F543" s="44"/>
      <c r="G543" s="44"/>
      <c r="H543" s="44"/>
      <c r="I543" s="44"/>
      <c r="J543" s="44"/>
      <c r="K543" s="44"/>
      <c r="L543" s="44"/>
      <c r="M543" s="44"/>
      <c r="N543" s="44"/>
      <c r="O543" s="44"/>
    </row>
    <row r="544" spans="1:15" ht="17.25" customHeight="1">
      <c r="A544" s="44"/>
      <c r="B544" s="44"/>
      <c r="C544" s="44"/>
      <c r="D544" s="44"/>
      <c r="E544" s="44"/>
      <c r="F544" s="44"/>
      <c r="G544" s="44"/>
      <c r="H544" s="44"/>
      <c r="I544" s="44"/>
      <c r="J544" s="44"/>
      <c r="K544" s="44"/>
      <c r="L544" s="44"/>
      <c r="M544" s="44"/>
      <c r="N544" s="44"/>
      <c r="O544" s="44"/>
    </row>
    <row r="545" spans="1:15" ht="17.25" customHeight="1">
      <c r="A545" s="44"/>
      <c r="B545" s="44"/>
      <c r="C545" s="44"/>
      <c r="D545" s="44"/>
      <c r="E545" s="44"/>
      <c r="F545" s="44"/>
      <c r="G545" s="44"/>
      <c r="H545" s="44"/>
      <c r="I545" s="44"/>
      <c r="J545" s="44"/>
      <c r="K545" s="44"/>
      <c r="L545" s="44"/>
      <c r="M545" s="44"/>
      <c r="N545" s="44"/>
      <c r="O545" s="44"/>
    </row>
    <row r="546" spans="1:15" ht="17.25" customHeight="1">
      <c r="A546" s="44"/>
      <c r="B546" s="44"/>
      <c r="C546" s="44"/>
      <c r="D546" s="44"/>
      <c r="E546" s="44"/>
      <c r="F546" s="44"/>
      <c r="G546" s="44"/>
      <c r="H546" s="44"/>
      <c r="I546" s="44"/>
      <c r="J546" s="44"/>
      <c r="K546" s="44"/>
      <c r="L546" s="44"/>
      <c r="M546" s="44"/>
      <c r="N546" s="44"/>
      <c r="O546" s="44"/>
    </row>
    <row r="547" spans="1:15" ht="17.25" customHeight="1">
      <c r="A547" s="44"/>
      <c r="B547" s="44"/>
      <c r="C547" s="44"/>
      <c r="D547" s="44"/>
      <c r="E547" s="44"/>
      <c r="F547" s="44"/>
      <c r="G547" s="44"/>
      <c r="H547" s="44"/>
      <c r="I547" s="44"/>
      <c r="J547" s="44"/>
      <c r="K547" s="44"/>
      <c r="L547" s="44"/>
      <c r="M547" s="44"/>
      <c r="N547" s="44"/>
      <c r="O547" s="44"/>
    </row>
    <row r="548" spans="1:15" ht="17.25" customHeight="1">
      <c r="A548" s="44"/>
      <c r="B548" s="44"/>
      <c r="C548" s="44"/>
      <c r="D548" s="44"/>
      <c r="E548" s="44"/>
      <c r="F548" s="44"/>
      <c r="G548" s="44"/>
      <c r="H548" s="44"/>
      <c r="I548" s="44"/>
      <c r="J548" s="44"/>
      <c r="K548" s="44"/>
      <c r="L548" s="44"/>
      <c r="M548" s="44"/>
      <c r="N548" s="44"/>
      <c r="O548" s="44"/>
    </row>
    <row r="549" spans="1:15" ht="17.25" customHeight="1">
      <c r="A549" s="44"/>
      <c r="B549" s="44"/>
      <c r="C549" s="44"/>
      <c r="D549" s="44"/>
      <c r="E549" s="44"/>
      <c r="F549" s="44"/>
      <c r="G549" s="44"/>
      <c r="H549" s="44"/>
      <c r="I549" s="44"/>
      <c r="J549" s="44"/>
      <c r="K549" s="44"/>
      <c r="L549" s="44"/>
      <c r="M549" s="44"/>
      <c r="N549" s="44"/>
      <c r="O549" s="44"/>
    </row>
    <row r="550" spans="1:15" ht="17.25" customHeight="1">
      <c r="A550" s="44"/>
      <c r="B550" s="44"/>
      <c r="C550" s="44"/>
      <c r="D550" s="44"/>
      <c r="E550" s="44"/>
      <c r="F550" s="44"/>
      <c r="G550" s="44"/>
      <c r="H550" s="44"/>
      <c r="I550" s="44"/>
      <c r="J550" s="44"/>
      <c r="K550" s="44"/>
      <c r="L550" s="44"/>
      <c r="M550" s="44"/>
      <c r="N550" s="44"/>
      <c r="O550" s="44"/>
    </row>
    <row r="551" spans="1:15" ht="17.25" customHeight="1">
      <c r="A551" s="44"/>
      <c r="B551" s="44"/>
      <c r="C551" s="44"/>
      <c r="D551" s="44"/>
      <c r="E551" s="44"/>
      <c r="F551" s="44"/>
      <c r="G551" s="44"/>
      <c r="H551" s="44"/>
      <c r="I551" s="44"/>
      <c r="J551" s="44"/>
      <c r="K551" s="44"/>
      <c r="L551" s="44"/>
      <c r="M551" s="44"/>
      <c r="N551" s="44"/>
      <c r="O551" s="44"/>
    </row>
    <row r="552" spans="1:15" ht="17.25" customHeight="1">
      <c r="A552" s="44"/>
      <c r="B552" s="44"/>
      <c r="C552" s="44"/>
      <c r="D552" s="44"/>
      <c r="E552" s="44"/>
      <c r="F552" s="44"/>
      <c r="G552" s="44"/>
      <c r="H552" s="44"/>
      <c r="I552" s="44"/>
      <c r="J552" s="44"/>
      <c r="K552" s="44"/>
      <c r="L552" s="44"/>
      <c r="M552" s="44"/>
      <c r="N552" s="44"/>
      <c r="O552" s="44"/>
    </row>
    <row r="553" spans="1:15" ht="17.25" customHeight="1">
      <c r="A553" s="44"/>
      <c r="B553" s="44"/>
      <c r="C553" s="44"/>
      <c r="D553" s="44"/>
      <c r="E553" s="44"/>
      <c r="F553" s="44"/>
      <c r="G553" s="44"/>
      <c r="H553" s="44"/>
      <c r="I553" s="44"/>
      <c r="J553" s="44"/>
      <c r="K553" s="44"/>
      <c r="L553" s="44"/>
      <c r="M553" s="44"/>
      <c r="N553" s="44"/>
      <c r="O553" s="44"/>
    </row>
    <row r="554" spans="1:15" ht="17.25" customHeight="1">
      <c r="A554" s="44"/>
      <c r="B554" s="44"/>
      <c r="C554" s="44"/>
      <c r="D554" s="44"/>
      <c r="E554" s="44"/>
      <c r="F554" s="44"/>
      <c r="G554" s="44"/>
      <c r="H554" s="44"/>
      <c r="I554" s="44"/>
      <c r="J554" s="44"/>
      <c r="K554" s="44"/>
      <c r="L554" s="44"/>
      <c r="M554" s="44"/>
      <c r="N554" s="44"/>
      <c r="O554" s="44"/>
    </row>
    <row r="555" spans="1:15" ht="17.25" customHeight="1">
      <c r="A555" s="44"/>
      <c r="B555" s="44"/>
      <c r="C555" s="44"/>
      <c r="D555" s="44"/>
      <c r="E555" s="44"/>
      <c r="F555" s="44"/>
      <c r="G555" s="44"/>
      <c r="H555" s="44"/>
      <c r="I555" s="44"/>
      <c r="J555" s="44"/>
      <c r="K555" s="44"/>
      <c r="L555" s="44"/>
      <c r="M555" s="44"/>
      <c r="N555" s="44"/>
      <c r="O555" s="44"/>
    </row>
    <row r="556" spans="1:15" ht="17.25" customHeight="1">
      <c r="A556" s="44"/>
      <c r="B556" s="44"/>
      <c r="C556" s="44"/>
      <c r="D556" s="44"/>
      <c r="E556" s="44"/>
      <c r="F556" s="44"/>
      <c r="G556" s="44"/>
      <c r="H556" s="44"/>
      <c r="I556" s="44"/>
      <c r="J556" s="44"/>
      <c r="K556" s="44"/>
      <c r="L556" s="44"/>
      <c r="M556" s="44"/>
      <c r="N556" s="44"/>
      <c r="O556" s="44"/>
    </row>
    <row r="557" spans="1:15" ht="17.25" customHeight="1">
      <c r="A557" s="44"/>
      <c r="B557" s="44"/>
      <c r="C557" s="44"/>
      <c r="D557" s="44"/>
      <c r="E557" s="44"/>
      <c r="F557" s="44"/>
      <c r="G557" s="44"/>
      <c r="H557" s="44"/>
      <c r="I557" s="44"/>
      <c r="J557" s="44"/>
      <c r="K557" s="44"/>
      <c r="L557" s="44"/>
      <c r="M557" s="44"/>
      <c r="N557" s="44"/>
      <c r="O557" s="44"/>
    </row>
    <row r="558" spans="1:15" ht="17.25" customHeight="1">
      <c r="A558" s="44"/>
      <c r="B558" s="44"/>
      <c r="C558" s="44"/>
      <c r="D558" s="44"/>
      <c r="E558" s="44"/>
      <c r="F558" s="44"/>
      <c r="G558" s="44"/>
      <c r="H558" s="44"/>
      <c r="I558" s="44"/>
      <c r="J558" s="44"/>
      <c r="K558" s="44"/>
      <c r="L558" s="44"/>
      <c r="M558" s="44"/>
      <c r="N558" s="44"/>
      <c r="O558" s="44"/>
    </row>
    <row r="559" spans="1:15" ht="17.25" customHeight="1">
      <c r="A559" s="44"/>
      <c r="B559" s="44"/>
      <c r="C559" s="44"/>
      <c r="D559" s="44"/>
      <c r="E559" s="44"/>
      <c r="F559" s="44"/>
      <c r="G559" s="44"/>
      <c r="H559" s="44"/>
      <c r="I559" s="44"/>
      <c r="J559" s="44"/>
      <c r="K559" s="44"/>
      <c r="L559" s="44"/>
      <c r="M559" s="44"/>
      <c r="N559" s="44"/>
      <c r="O559" s="44"/>
    </row>
    <row r="560" spans="1:15" ht="17.25" customHeight="1">
      <c r="A560" s="44"/>
      <c r="B560" s="44"/>
      <c r="C560" s="44"/>
      <c r="D560" s="44"/>
      <c r="E560" s="44"/>
      <c r="F560" s="44"/>
      <c r="G560" s="44"/>
      <c r="H560" s="44"/>
      <c r="I560" s="44"/>
      <c r="J560" s="44"/>
      <c r="K560" s="44"/>
      <c r="L560" s="44"/>
      <c r="M560" s="44"/>
      <c r="N560" s="44"/>
      <c r="O560" s="44"/>
    </row>
    <row r="561" spans="1:15" ht="17.25" customHeight="1">
      <c r="A561" s="44"/>
      <c r="B561" s="44"/>
      <c r="C561" s="44"/>
      <c r="D561" s="44"/>
      <c r="E561" s="44"/>
      <c r="F561" s="44"/>
      <c r="G561" s="44"/>
      <c r="H561" s="44"/>
      <c r="I561" s="44"/>
      <c r="J561" s="44"/>
      <c r="K561" s="44"/>
      <c r="L561" s="44"/>
      <c r="M561" s="44"/>
      <c r="N561" s="44"/>
      <c r="O561" s="44"/>
    </row>
    <row r="562" spans="1:15" ht="17.25" customHeight="1">
      <c r="A562" s="44"/>
      <c r="B562" s="44"/>
      <c r="C562" s="44"/>
      <c r="D562" s="44"/>
      <c r="E562" s="44"/>
      <c r="F562" s="44"/>
      <c r="G562" s="44"/>
      <c r="H562" s="44"/>
      <c r="I562" s="44"/>
      <c r="J562" s="44"/>
      <c r="K562" s="44"/>
      <c r="L562" s="44"/>
      <c r="M562" s="44"/>
      <c r="N562" s="44"/>
      <c r="O562" s="44"/>
    </row>
    <row r="563" spans="1:15" ht="17.25" customHeight="1">
      <c r="A563" s="44"/>
      <c r="B563" s="44"/>
      <c r="C563" s="44"/>
      <c r="D563" s="44"/>
      <c r="E563" s="44"/>
      <c r="F563" s="44"/>
      <c r="G563" s="44"/>
      <c r="H563" s="44"/>
      <c r="I563" s="44"/>
      <c r="J563" s="44"/>
      <c r="K563" s="44"/>
      <c r="L563" s="44"/>
      <c r="M563" s="44"/>
      <c r="N563" s="44"/>
      <c r="O563" s="44"/>
    </row>
    <row r="564" spans="1:15" ht="17.25" customHeight="1">
      <c r="A564" s="44"/>
      <c r="B564" s="44"/>
      <c r="C564" s="44"/>
      <c r="D564" s="44"/>
      <c r="E564" s="44"/>
      <c r="F564" s="44"/>
      <c r="G564" s="44"/>
      <c r="H564" s="44"/>
      <c r="I564" s="44"/>
      <c r="J564" s="44"/>
      <c r="K564" s="44"/>
      <c r="L564" s="44"/>
      <c r="M564" s="44"/>
      <c r="N564" s="44"/>
      <c r="O564" s="44"/>
    </row>
    <row r="565" spans="1:15" ht="17.25" customHeight="1">
      <c r="A565" s="44"/>
      <c r="B565" s="44"/>
      <c r="C565" s="44"/>
      <c r="D565" s="44"/>
      <c r="E565" s="44"/>
      <c r="F565" s="44"/>
      <c r="G565" s="44"/>
      <c r="H565" s="44"/>
      <c r="I565" s="44"/>
      <c r="J565" s="44"/>
      <c r="K565" s="44"/>
      <c r="L565" s="44"/>
      <c r="M565" s="44"/>
      <c r="N565" s="44"/>
      <c r="O565" s="44"/>
    </row>
    <row r="566" spans="1:15" ht="17.25" customHeight="1">
      <c r="A566" s="44"/>
      <c r="B566" s="44"/>
      <c r="C566" s="44"/>
      <c r="D566" s="44"/>
      <c r="E566" s="44"/>
      <c r="F566" s="44"/>
      <c r="G566" s="44"/>
      <c r="H566" s="44"/>
      <c r="I566" s="44"/>
      <c r="J566" s="44"/>
      <c r="K566" s="44"/>
      <c r="L566" s="44"/>
      <c r="M566" s="44"/>
      <c r="N566" s="44"/>
      <c r="O566" s="44"/>
    </row>
    <row r="567" spans="1:15" ht="17.25" customHeight="1">
      <c r="A567" s="44"/>
      <c r="B567" s="44"/>
      <c r="C567" s="44"/>
      <c r="D567" s="44"/>
      <c r="E567" s="44"/>
      <c r="F567" s="44"/>
      <c r="G567" s="44"/>
      <c r="H567" s="44"/>
      <c r="I567" s="44"/>
      <c r="J567" s="44"/>
      <c r="K567" s="44"/>
      <c r="L567" s="44"/>
      <c r="M567" s="44"/>
      <c r="N567" s="44"/>
      <c r="O567" s="44"/>
    </row>
    <row r="568" spans="1:15" ht="17.25" customHeight="1">
      <c r="A568" s="44"/>
      <c r="B568" s="44"/>
      <c r="C568" s="44"/>
      <c r="D568" s="44"/>
      <c r="E568" s="44"/>
      <c r="F568" s="44"/>
      <c r="G568" s="44"/>
      <c r="H568" s="44"/>
      <c r="I568" s="44"/>
      <c r="J568" s="44"/>
      <c r="K568" s="44"/>
      <c r="L568" s="44"/>
      <c r="M568" s="44"/>
      <c r="N568" s="44"/>
      <c r="O568" s="44"/>
    </row>
    <row r="569" spans="1:15" ht="17.25" customHeight="1">
      <c r="A569" s="44"/>
      <c r="B569" s="44"/>
      <c r="C569" s="44"/>
      <c r="D569" s="44"/>
      <c r="E569" s="44"/>
      <c r="F569" s="44"/>
      <c r="G569" s="44"/>
      <c r="H569" s="44"/>
      <c r="I569" s="44"/>
      <c r="J569" s="44"/>
      <c r="K569" s="44"/>
      <c r="L569" s="44"/>
      <c r="M569" s="44"/>
      <c r="N569" s="44"/>
      <c r="O569" s="44"/>
    </row>
    <row r="570" spans="1:15" ht="17.25" customHeight="1">
      <c r="A570" s="44"/>
      <c r="B570" s="44"/>
      <c r="C570" s="44"/>
      <c r="D570" s="44"/>
      <c r="E570" s="44"/>
      <c r="F570" s="44"/>
      <c r="G570" s="44"/>
      <c r="H570" s="44"/>
      <c r="I570" s="44"/>
      <c r="J570" s="44"/>
      <c r="K570" s="44"/>
      <c r="L570" s="44"/>
      <c r="M570" s="44"/>
      <c r="N570" s="44"/>
      <c r="O570" s="44"/>
    </row>
    <row r="571" spans="1:15" ht="17.25" customHeight="1">
      <c r="A571" s="44"/>
      <c r="B571" s="44"/>
      <c r="C571" s="44"/>
      <c r="D571" s="44"/>
      <c r="E571" s="44"/>
      <c r="F571" s="44"/>
      <c r="G571" s="44"/>
      <c r="H571" s="44"/>
      <c r="I571" s="44"/>
      <c r="J571" s="44"/>
      <c r="K571" s="44"/>
      <c r="L571" s="44"/>
      <c r="M571" s="44"/>
      <c r="N571" s="44"/>
      <c r="O571" s="44"/>
    </row>
    <row r="572" spans="1:15" ht="17.25" customHeight="1">
      <c r="A572" s="44"/>
      <c r="B572" s="44"/>
      <c r="C572" s="44"/>
      <c r="D572" s="44"/>
      <c r="E572" s="44"/>
      <c r="F572" s="44"/>
      <c r="G572" s="44"/>
      <c r="H572" s="44"/>
      <c r="I572" s="44"/>
      <c r="J572" s="44"/>
      <c r="K572" s="44"/>
      <c r="L572" s="44"/>
      <c r="M572" s="44"/>
      <c r="N572" s="44"/>
      <c r="O572" s="44"/>
    </row>
    <row r="573" spans="1:15" ht="17.25" customHeight="1">
      <c r="A573" s="44"/>
      <c r="B573" s="44"/>
      <c r="C573" s="44"/>
      <c r="D573" s="44"/>
      <c r="E573" s="44"/>
      <c r="F573" s="44"/>
      <c r="G573" s="44"/>
      <c r="H573" s="44"/>
      <c r="I573" s="44"/>
      <c r="J573" s="44"/>
      <c r="K573" s="44"/>
      <c r="L573" s="44"/>
      <c r="M573" s="44"/>
      <c r="N573" s="44"/>
      <c r="O573" s="44"/>
    </row>
    <row r="574" spans="1:15" ht="17.25" customHeight="1">
      <c r="A574" s="44"/>
      <c r="B574" s="44"/>
      <c r="C574" s="44"/>
      <c r="D574" s="44"/>
      <c r="E574" s="44"/>
      <c r="F574" s="44"/>
      <c r="G574" s="44"/>
      <c r="H574" s="44"/>
      <c r="I574" s="44"/>
      <c r="J574" s="44"/>
      <c r="K574" s="44"/>
      <c r="L574" s="44"/>
      <c r="M574" s="44"/>
      <c r="N574" s="44"/>
      <c r="O574" s="44"/>
    </row>
    <row r="575" spans="1:15" ht="17.25" customHeight="1">
      <c r="A575" s="44"/>
      <c r="B575" s="44"/>
      <c r="C575" s="44"/>
      <c r="D575" s="44"/>
      <c r="E575" s="44"/>
      <c r="F575" s="44"/>
      <c r="G575" s="44"/>
      <c r="H575" s="44"/>
      <c r="I575" s="44"/>
      <c r="J575" s="44"/>
      <c r="K575" s="44"/>
      <c r="L575" s="44"/>
      <c r="M575" s="44"/>
      <c r="N575" s="44"/>
      <c r="O575" s="44"/>
    </row>
    <row r="576" spans="1:15" ht="17.25" customHeight="1">
      <c r="A576" s="44"/>
      <c r="B576" s="44"/>
      <c r="C576" s="44"/>
      <c r="D576" s="44"/>
      <c r="E576" s="44"/>
      <c r="F576" s="44"/>
      <c r="G576" s="44"/>
      <c r="H576" s="44"/>
      <c r="I576" s="44"/>
      <c r="J576" s="44"/>
      <c r="K576" s="44"/>
      <c r="L576" s="44"/>
      <c r="M576" s="44"/>
      <c r="N576" s="44"/>
      <c r="O576" s="44"/>
    </row>
    <row r="577" spans="1:15" ht="17.25" customHeight="1">
      <c r="A577" s="44"/>
      <c r="B577" s="44"/>
      <c r="C577" s="44"/>
      <c r="D577" s="44"/>
      <c r="E577" s="44"/>
      <c r="F577" s="44"/>
      <c r="G577" s="44"/>
      <c r="H577" s="44"/>
      <c r="I577" s="44"/>
      <c r="J577" s="44"/>
      <c r="K577" s="44"/>
      <c r="L577" s="44"/>
      <c r="M577" s="44"/>
      <c r="N577" s="44"/>
      <c r="O577" s="44"/>
    </row>
    <row r="578" spans="1:15" ht="17.25" customHeight="1">
      <c r="A578" s="44"/>
      <c r="B578" s="44"/>
      <c r="C578" s="44"/>
      <c r="D578" s="44"/>
      <c r="E578" s="44"/>
      <c r="F578" s="44"/>
      <c r="G578" s="44"/>
      <c r="H578" s="44"/>
      <c r="I578" s="44"/>
      <c r="J578" s="44"/>
      <c r="K578" s="44"/>
      <c r="L578" s="44"/>
      <c r="M578" s="44"/>
      <c r="N578" s="44"/>
      <c r="O578" s="44"/>
    </row>
    <row r="579" spans="1:15" ht="17.25" customHeight="1">
      <c r="A579" s="44"/>
      <c r="B579" s="44"/>
      <c r="C579" s="44"/>
      <c r="D579" s="44"/>
      <c r="E579" s="44"/>
      <c r="F579" s="44"/>
      <c r="G579" s="44"/>
      <c r="H579" s="44"/>
      <c r="I579" s="44"/>
      <c r="J579" s="44"/>
      <c r="K579" s="44"/>
      <c r="L579" s="44"/>
      <c r="M579" s="44"/>
      <c r="N579" s="44"/>
      <c r="O579" s="44"/>
    </row>
    <row r="580" spans="1:15" ht="17.25" customHeight="1">
      <c r="A580" s="44"/>
      <c r="B580" s="44"/>
      <c r="C580" s="44"/>
      <c r="D580" s="44"/>
      <c r="E580" s="44"/>
      <c r="F580" s="44"/>
      <c r="G580" s="44"/>
      <c r="H580" s="44"/>
      <c r="I580" s="44"/>
      <c r="J580" s="44"/>
      <c r="K580" s="44"/>
      <c r="L580" s="44"/>
      <c r="M580" s="44"/>
      <c r="N580" s="44"/>
      <c r="O580" s="44"/>
    </row>
    <row r="581" spans="1:15" ht="17.25" customHeight="1">
      <c r="A581" s="44"/>
      <c r="B581" s="44"/>
      <c r="C581" s="44"/>
      <c r="D581" s="44"/>
      <c r="E581" s="44"/>
      <c r="F581" s="44"/>
      <c r="G581" s="44"/>
      <c r="H581" s="44"/>
      <c r="I581" s="44"/>
      <c r="J581" s="44"/>
      <c r="K581" s="44"/>
      <c r="L581" s="44"/>
      <c r="M581" s="44"/>
      <c r="N581" s="44"/>
      <c r="O581" s="44"/>
    </row>
    <row r="582" spans="1:15" ht="17.25" customHeight="1">
      <c r="A582" s="44"/>
      <c r="B582" s="44"/>
      <c r="C582" s="44"/>
      <c r="D582" s="44"/>
      <c r="E582" s="44"/>
      <c r="F582" s="44"/>
      <c r="G582" s="44"/>
      <c r="H582" s="44"/>
      <c r="I582" s="44"/>
      <c r="J582" s="44"/>
      <c r="K582" s="44"/>
      <c r="L582" s="44"/>
      <c r="M582" s="44"/>
      <c r="N582" s="44"/>
      <c r="O582" s="44"/>
    </row>
    <row r="583" spans="1:15" ht="17.25" customHeight="1">
      <c r="A583" s="44"/>
      <c r="B583" s="44"/>
      <c r="C583" s="44"/>
      <c r="D583" s="44"/>
      <c r="E583" s="44"/>
      <c r="F583" s="44"/>
      <c r="G583" s="44"/>
      <c r="H583" s="44"/>
      <c r="I583" s="44"/>
      <c r="J583" s="44"/>
      <c r="K583" s="44"/>
      <c r="L583" s="44"/>
      <c r="M583" s="44"/>
      <c r="N583" s="44"/>
      <c r="O583" s="44"/>
    </row>
    <row r="584" spans="1:15" ht="17.25" customHeight="1">
      <c r="A584" s="44"/>
      <c r="B584" s="44"/>
      <c r="C584" s="44"/>
      <c r="D584" s="44"/>
      <c r="E584" s="44"/>
      <c r="F584" s="44"/>
      <c r="G584" s="44"/>
      <c r="H584" s="44"/>
      <c r="I584" s="44"/>
      <c r="J584" s="44"/>
      <c r="K584" s="44"/>
      <c r="L584" s="44"/>
      <c r="M584" s="44"/>
      <c r="N584" s="44"/>
      <c r="O584" s="44"/>
    </row>
    <row r="585" spans="1:15" ht="17.25" customHeight="1">
      <c r="A585" s="44"/>
      <c r="B585" s="44"/>
      <c r="C585" s="44"/>
      <c r="D585" s="44"/>
      <c r="E585" s="44"/>
      <c r="F585" s="44"/>
      <c r="G585" s="44"/>
      <c r="H585" s="44"/>
      <c r="I585" s="44"/>
      <c r="J585" s="44"/>
      <c r="K585" s="44"/>
      <c r="L585" s="44"/>
      <c r="M585" s="44"/>
      <c r="N585" s="44"/>
      <c r="O585" s="44"/>
    </row>
    <row r="586" spans="1:15" ht="17.25" customHeight="1">
      <c r="A586" s="44"/>
      <c r="B586" s="44"/>
      <c r="C586" s="44"/>
      <c r="D586" s="44"/>
      <c r="E586" s="44"/>
      <c r="F586" s="44"/>
      <c r="G586" s="44"/>
      <c r="H586" s="44"/>
      <c r="I586" s="44"/>
      <c r="J586" s="44"/>
      <c r="K586" s="44"/>
      <c r="L586" s="44"/>
      <c r="M586" s="44"/>
      <c r="N586" s="44"/>
      <c r="O586" s="44"/>
    </row>
    <row r="587" spans="1:15" ht="17.25" customHeight="1">
      <c r="A587" s="44"/>
      <c r="B587" s="44"/>
      <c r="C587" s="44"/>
      <c r="D587" s="44"/>
      <c r="E587" s="44"/>
      <c r="F587" s="44"/>
      <c r="G587" s="44"/>
      <c r="H587" s="44"/>
      <c r="I587" s="44"/>
      <c r="J587" s="44"/>
      <c r="K587" s="44"/>
      <c r="L587" s="44"/>
      <c r="M587" s="44"/>
      <c r="N587" s="44"/>
      <c r="O587" s="44"/>
    </row>
    <row r="588" spans="1:15" ht="17.25" customHeight="1">
      <c r="A588" s="44"/>
      <c r="B588" s="44"/>
      <c r="C588" s="44"/>
      <c r="D588" s="44"/>
      <c r="E588" s="44"/>
      <c r="F588" s="44"/>
      <c r="G588" s="44"/>
      <c r="H588" s="44"/>
      <c r="I588" s="44"/>
      <c r="J588" s="44"/>
      <c r="K588" s="44"/>
      <c r="L588" s="44"/>
      <c r="M588" s="44"/>
      <c r="N588" s="44"/>
      <c r="O588" s="44"/>
    </row>
    <row r="589" spans="1:15" ht="17.25" customHeight="1">
      <c r="A589" s="44"/>
      <c r="B589" s="44"/>
      <c r="C589" s="44"/>
      <c r="D589" s="44"/>
      <c r="E589" s="44"/>
      <c r="F589" s="44"/>
      <c r="G589" s="44"/>
      <c r="H589" s="44"/>
      <c r="I589" s="44"/>
      <c r="J589" s="44"/>
      <c r="K589" s="44"/>
      <c r="L589" s="44"/>
      <c r="M589" s="44"/>
      <c r="N589" s="44"/>
      <c r="O589" s="44"/>
    </row>
    <row r="590" spans="1:15" ht="17.25" customHeight="1">
      <c r="A590" s="44"/>
      <c r="B590" s="44"/>
      <c r="C590" s="44"/>
      <c r="D590" s="44"/>
      <c r="E590" s="44"/>
      <c r="F590" s="44"/>
      <c r="G590" s="44"/>
      <c r="H590" s="44"/>
      <c r="I590" s="44"/>
      <c r="J590" s="44"/>
      <c r="K590" s="44"/>
      <c r="L590" s="44"/>
      <c r="M590" s="44"/>
      <c r="N590" s="44"/>
      <c r="O590" s="44"/>
    </row>
    <row r="591" spans="1:15" ht="17.25" customHeight="1">
      <c r="A591" s="44"/>
      <c r="B591" s="44"/>
      <c r="C591" s="44"/>
      <c r="D591" s="44"/>
      <c r="E591" s="44"/>
      <c r="F591" s="44"/>
      <c r="G591" s="44"/>
      <c r="H591" s="44"/>
      <c r="I591" s="44"/>
      <c r="J591" s="44"/>
      <c r="K591" s="44"/>
      <c r="L591" s="44"/>
      <c r="M591" s="44"/>
      <c r="N591" s="44"/>
      <c r="O591" s="44"/>
    </row>
    <row r="592" spans="1:15" ht="17.25" customHeight="1">
      <c r="A592" s="44"/>
      <c r="B592" s="44"/>
      <c r="C592" s="44"/>
      <c r="D592" s="44"/>
      <c r="E592" s="44"/>
      <c r="F592" s="44"/>
      <c r="G592" s="44"/>
      <c r="H592" s="44"/>
      <c r="I592" s="44"/>
      <c r="J592" s="44"/>
      <c r="K592" s="44"/>
      <c r="L592" s="44"/>
      <c r="M592" s="44"/>
      <c r="N592" s="44"/>
      <c r="O592" s="44"/>
    </row>
    <row r="593" spans="1:15" ht="17.25" customHeight="1">
      <c r="A593" s="44"/>
      <c r="B593" s="44"/>
      <c r="C593" s="44"/>
      <c r="D593" s="44"/>
      <c r="E593" s="44"/>
      <c r="F593" s="44"/>
      <c r="G593" s="44"/>
      <c r="H593" s="44"/>
      <c r="I593" s="44"/>
      <c r="J593" s="44"/>
      <c r="K593" s="44"/>
      <c r="L593" s="44"/>
      <c r="M593" s="44"/>
      <c r="N593" s="44"/>
      <c r="O593" s="44"/>
    </row>
    <row r="594" spans="1:15" ht="17.25" customHeight="1">
      <c r="A594" s="44"/>
      <c r="B594" s="44"/>
      <c r="C594" s="44"/>
      <c r="D594" s="44"/>
      <c r="E594" s="44"/>
      <c r="F594" s="44"/>
      <c r="G594" s="44"/>
      <c r="H594" s="44"/>
      <c r="I594" s="44"/>
      <c r="J594" s="44"/>
      <c r="K594" s="44"/>
      <c r="L594" s="44"/>
      <c r="M594" s="44"/>
      <c r="N594" s="44"/>
      <c r="O594" s="44"/>
    </row>
    <row r="595" spans="1:15" ht="17.25" customHeight="1">
      <c r="A595" s="44"/>
      <c r="B595" s="44"/>
      <c r="C595" s="44"/>
      <c r="D595" s="44"/>
      <c r="E595" s="44"/>
      <c r="F595" s="44"/>
      <c r="G595" s="44"/>
      <c r="H595" s="44"/>
      <c r="I595" s="44"/>
      <c r="J595" s="44"/>
      <c r="K595" s="44"/>
      <c r="L595" s="44"/>
      <c r="M595" s="44"/>
      <c r="N595" s="44"/>
      <c r="O595" s="44"/>
    </row>
    <row r="596" spans="1:15" ht="17.25" customHeight="1">
      <c r="A596" s="44"/>
      <c r="B596" s="44"/>
      <c r="C596" s="44"/>
      <c r="D596" s="44"/>
      <c r="E596" s="44"/>
      <c r="F596" s="44"/>
      <c r="G596" s="44"/>
      <c r="H596" s="44"/>
      <c r="I596" s="44"/>
      <c r="J596" s="44"/>
      <c r="K596" s="44"/>
      <c r="L596" s="44"/>
      <c r="M596" s="44"/>
      <c r="N596" s="44"/>
      <c r="O596" s="44"/>
    </row>
    <row r="597" spans="1:15" ht="17.25" customHeight="1">
      <c r="A597" s="44"/>
      <c r="B597" s="44"/>
      <c r="C597" s="44"/>
      <c r="D597" s="44"/>
      <c r="E597" s="44"/>
      <c r="F597" s="44"/>
      <c r="G597" s="44"/>
      <c r="H597" s="44"/>
      <c r="I597" s="44"/>
      <c r="J597" s="44"/>
      <c r="K597" s="44"/>
      <c r="L597" s="44"/>
      <c r="M597" s="44"/>
      <c r="N597" s="44"/>
      <c r="O597" s="44"/>
    </row>
    <row r="598" spans="1:15" ht="17.25" customHeight="1">
      <c r="A598" s="44"/>
      <c r="B598" s="44"/>
      <c r="C598" s="44"/>
      <c r="D598" s="44"/>
      <c r="E598" s="44"/>
      <c r="F598" s="44"/>
      <c r="G598" s="44"/>
      <c r="H598" s="44"/>
      <c r="I598" s="44"/>
      <c r="J598" s="44"/>
      <c r="K598" s="44"/>
      <c r="L598" s="44"/>
      <c r="M598" s="44"/>
      <c r="N598" s="44"/>
      <c r="O598" s="44"/>
    </row>
    <row r="599" spans="1:15" ht="17.25" customHeight="1">
      <c r="A599" s="44"/>
      <c r="B599" s="44"/>
      <c r="C599" s="44"/>
      <c r="D599" s="44"/>
      <c r="E599" s="44"/>
      <c r="F599" s="44"/>
      <c r="G599" s="44"/>
      <c r="H599" s="44"/>
      <c r="I599" s="44"/>
      <c r="J599" s="44"/>
      <c r="K599" s="44"/>
      <c r="L599" s="44"/>
      <c r="M599" s="44"/>
      <c r="N599" s="44"/>
      <c r="O599" s="44"/>
    </row>
    <row r="600" spans="1:15" ht="17.25" customHeight="1">
      <c r="A600" s="44"/>
      <c r="B600" s="44"/>
      <c r="C600" s="44"/>
      <c r="D600" s="44"/>
      <c r="E600" s="44"/>
      <c r="F600" s="44"/>
      <c r="G600" s="44"/>
      <c r="H600" s="44"/>
      <c r="I600" s="44"/>
      <c r="J600" s="44"/>
      <c r="K600" s="44"/>
      <c r="L600" s="44"/>
      <c r="M600" s="44"/>
      <c r="N600" s="44"/>
      <c r="O600" s="44"/>
    </row>
    <row r="601" spans="1:15" ht="17.25" customHeight="1">
      <c r="A601" s="44"/>
      <c r="B601" s="44"/>
      <c r="C601" s="44"/>
      <c r="D601" s="44"/>
      <c r="E601" s="44"/>
      <c r="F601" s="44"/>
      <c r="G601" s="44"/>
      <c r="H601" s="44"/>
      <c r="I601" s="44"/>
      <c r="J601" s="44"/>
      <c r="K601" s="44"/>
      <c r="L601" s="44"/>
      <c r="M601" s="44"/>
      <c r="N601" s="44"/>
      <c r="O601" s="44"/>
    </row>
    <row r="602" spans="1:15" ht="17.25" customHeight="1">
      <c r="A602" s="44"/>
      <c r="B602" s="44"/>
      <c r="C602" s="44"/>
      <c r="D602" s="44"/>
      <c r="E602" s="44"/>
      <c r="F602" s="44"/>
      <c r="G602" s="44"/>
      <c r="H602" s="44"/>
      <c r="I602" s="44"/>
      <c r="J602" s="44"/>
      <c r="K602" s="44"/>
      <c r="L602" s="44"/>
      <c r="M602" s="44"/>
      <c r="N602" s="44"/>
      <c r="O602" s="44"/>
    </row>
    <row r="603" spans="1:15" ht="17.25" customHeight="1">
      <c r="A603" s="44"/>
      <c r="B603" s="44"/>
      <c r="C603" s="44"/>
      <c r="D603" s="44"/>
      <c r="E603" s="44"/>
      <c r="F603" s="44"/>
      <c r="G603" s="44"/>
      <c r="H603" s="44"/>
      <c r="I603" s="44"/>
      <c r="J603" s="44"/>
      <c r="K603" s="44"/>
      <c r="L603" s="44"/>
      <c r="M603" s="44"/>
      <c r="N603" s="44"/>
      <c r="O603" s="44"/>
    </row>
    <row r="604" spans="1:15" ht="17.25" customHeight="1">
      <c r="A604" s="44"/>
      <c r="B604" s="44"/>
      <c r="C604" s="44"/>
      <c r="D604" s="44"/>
      <c r="E604" s="44"/>
      <c r="F604" s="44"/>
      <c r="G604" s="44"/>
      <c r="H604" s="44"/>
      <c r="I604" s="44"/>
      <c r="J604" s="44"/>
      <c r="K604" s="44"/>
      <c r="L604" s="44"/>
      <c r="M604" s="44"/>
      <c r="N604" s="44"/>
      <c r="O604" s="44"/>
    </row>
    <row r="605" spans="1:15" ht="17.25" customHeight="1">
      <c r="A605" s="44"/>
      <c r="B605" s="44"/>
      <c r="C605" s="44"/>
      <c r="D605" s="44"/>
      <c r="E605" s="44"/>
      <c r="F605" s="44"/>
      <c r="G605" s="44"/>
      <c r="H605" s="44"/>
      <c r="I605" s="44"/>
      <c r="J605" s="44"/>
      <c r="K605" s="44"/>
      <c r="L605" s="44"/>
      <c r="M605" s="44"/>
      <c r="N605" s="44"/>
      <c r="O605" s="44"/>
    </row>
    <row r="606" spans="1:15" ht="17.25" customHeight="1">
      <c r="A606" s="44"/>
      <c r="B606" s="44"/>
      <c r="C606" s="44"/>
      <c r="D606" s="44"/>
      <c r="E606" s="44"/>
      <c r="F606" s="44"/>
      <c r="G606" s="44"/>
      <c r="H606" s="44"/>
      <c r="I606" s="44"/>
      <c r="J606" s="44"/>
      <c r="K606" s="44"/>
      <c r="L606" s="44"/>
      <c r="M606" s="44"/>
      <c r="N606" s="44"/>
      <c r="O606" s="44"/>
    </row>
    <row r="607" spans="1:15" ht="17.25" customHeight="1">
      <c r="A607" s="44"/>
      <c r="B607" s="44"/>
      <c r="C607" s="44"/>
      <c r="D607" s="44"/>
      <c r="E607" s="44"/>
      <c r="F607" s="44"/>
      <c r="G607" s="44"/>
      <c r="H607" s="44"/>
      <c r="I607" s="44"/>
      <c r="J607" s="44"/>
      <c r="K607" s="44"/>
      <c r="L607" s="44"/>
      <c r="M607" s="44"/>
      <c r="N607" s="44"/>
      <c r="O607" s="44"/>
    </row>
    <row r="608" spans="1:15" ht="17.25" customHeight="1">
      <c r="A608" s="44"/>
      <c r="B608" s="44"/>
      <c r="C608" s="44"/>
      <c r="D608" s="44"/>
      <c r="E608" s="44"/>
      <c r="F608" s="44"/>
      <c r="G608" s="44"/>
      <c r="H608" s="44"/>
      <c r="I608" s="44"/>
      <c r="J608" s="44"/>
      <c r="K608" s="44"/>
      <c r="L608" s="44"/>
      <c r="M608" s="44"/>
      <c r="N608" s="44"/>
      <c r="O608" s="44"/>
    </row>
    <row r="609" spans="1:15" ht="17.25" customHeight="1">
      <c r="A609" s="44"/>
      <c r="B609" s="44"/>
      <c r="C609" s="44"/>
      <c r="D609" s="44"/>
      <c r="E609" s="44"/>
      <c r="F609" s="44"/>
      <c r="G609" s="44"/>
      <c r="H609" s="44"/>
      <c r="I609" s="44"/>
      <c r="J609" s="44"/>
      <c r="K609" s="44"/>
      <c r="L609" s="44"/>
      <c r="M609" s="44"/>
      <c r="N609" s="44"/>
      <c r="O609" s="44"/>
    </row>
    <row r="610" spans="1:15" ht="17.25" customHeight="1">
      <c r="A610" s="44"/>
      <c r="B610" s="44"/>
      <c r="C610" s="44"/>
      <c r="D610" s="44"/>
      <c r="E610" s="44"/>
      <c r="F610" s="44"/>
      <c r="G610" s="44"/>
      <c r="H610" s="44"/>
      <c r="I610" s="44"/>
      <c r="J610" s="44"/>
      <c r="K610" s="44"/>
      <c r="L610" s="44"/>
      <c r="M610" s="44"/>
      <c r="N610" s="44"/>
      <c r="O610" s="44"/>
    </row>
    <row r="611" spans="1:15" ht="17.25" customHeight="1">
      <c r="A611" s="44"/>
      <c r="B611" s="44"/>
      <c r="C611" s="44"/>
      <c r="D611" s="44"/>
      <c r="E611" s="44"/>
      <c r="F611" s="44"/>
      <c r="G611" s="44"/>
      <c r="H611" s="44"/>
      <c r="I611" s="44"/>
      <c r="J611" s="44"/>
      <c r="K611" s="44"/>
      <c r="L611" s="44"/>
      <c r="M611" s="44"/>
      <c r="N611" s="44"/>
      <c r="O611" s="44"/>
    </row>
    <row r="612" spans="1:15" ht="17.25" customHeight="1">
      <c r="A612" s="44"/>
      <c r="B612" s="44"/>
      <c r="C612" s="44"/>
      <c r="D612" s="44"/>
      <c r="E612" s="44"/>
      <c r="F612" s="44"/>
      <c r="G612" s="44"/>
      <c r="H612" s="44"/>
      <c r="I612" s="44"/>
      <c r="J612" s="44"/>
      <c r="K612" s="44"/>
      <c r="L612" s="44"/>
      <c r="M612" s="44"/>
      <c r="N612" s="44"/>
      <c r="O612" s="44"/>
    </row>
    <row r="613" spans="1:15" ht="17.25" customHeight="1">
      <c r="A613" s="44"/>
      <c r="B613" s="44"/>
      <c r="C613" s="44"/>
      <c r="D613" s="44"/>
      <c r="E613" s="44"/>
      <c r="F613" s="44"/>
      <c r="G613" s="44"/>
      <c r="H613" s="44"/>
      <c r="I613" s="44"/>
      <c r="J613" s="44"/>
      <c r="K613" s="44"/>
      <c r="L613" s="44"/>
      <c r="M613" s="44"/>
      <c r="N613" s="44"/>
      <c r="O613" s="44"/>
    </row>
    <row r="614" spans="1:15" ht="17.25" customHeight="1">
      <c r="A614" s="44"/>
      <c r="B614" s="44"/>
      <c r="C614" s="44"/>
      <c r="D614" s="44"/>
      <c r="E614" s="44"/>
      <c r="F614" s="44"/>
      <c r="G614" s="44"/>
      <c r="H614" s="44"/>
      <c r="I614" s="44"/>
      <c r="J614" s="44"/>
      <c r="K614" s="44"/>
      <c r="L614" s="44"/>
      <c r="M614" s="44"/>
      <c r="N614" s="44"/>
      <c r="O614" s="44"/>
    </row>
    <row r="615" spans="1:15" ht="17.25" customHeight="1">
      <c r="A615" s="44"/>
      <c r="B615" s="44"/>
      <c r="C615" s="44"/>
      <c r="D615" s="44"/>
      <c r="E615" s="44"/>
      <c r="F615" s="44"/>
      <c r="G615" s="44"/>
      <c r="H615" s="44"/>
      <c r="I615" s="44"/>
      <c r="J615" s="44"/>
      <c r="K615" s="44"/>
      <c r="L615" s="44"/>
      <c r="M615" s="44"/>
      <c r="N615" s="44"/>
      <c r="O615" s="44"/>
    </row>
    <row r="616" spans="1:15" ht="17.25" customHeight="1">
      <c r="A616" s="44"/>
      <c r="B616" s="44"/>
      <c r="C616" s="44"/>
      <c r="D616" s="44"/>
      <c r="E616" s="44"/>
      <c r="F616" s="44"/>
      <c r="G616" s="44"/>
      <c r="H616" s="44"/>
      <c r="I616" s="44"/>
      <c r="J616" s="44"/>
      <c r="K616" s="44"/>
      <c r="L616" s="44"/>
      <c r="M616" s="44"/>
      <c r="N616" s="44"/>
      <c r="O616" s="44"/>
    </row>
    <row r="617" spans="1:15" ht="17.25" customHeight="1">
      <c r="A617" s="44"/>
      <c r="B617" s="44"/>
      <c r="C617" s="44"/>
      <c r="D617" s="44"/>
      <c r="E617" s="44"/>
      <c r="F617" s="44"/>
      <c r="G617" s="44"/>
      <c r="H617" s="44"/>
      <c r="I617" s="44"/>
      <c r="J617" s="44"/>
      <c r="K617" s="44"/>
      <c r="L617" s="44"/>
      <c r="M617" s="44"/>
      <c r="N617" s="44"/>
      <c r="O617" s="44"/>
    </row>
    <row r="618" spans="1:15" ht="17.25" customHeight="1">
      <c r="A618" s="44"/>
      <c r="B618" s="44"/>
      <c r="C618" s="44"/>
      <c r="D618" s="44"/>
      <c r="E618" s="44"/>
      <c r="F618" s="44"/>
      <c r="G618" s="44"/>
      <c r="H618" s="44"/>
      <c r="I618" s="44"/>
      <c r="J618" s="44"/>
      <c r="K618" s="44"/>
      <c r="L618" s="44"/>
      <c r="M618" s="44"/>
      <c r="N618" s="44"/>
      <c r="O618" s="44"/>
    </row>
    <row r="619" spans="1:15" ht="17.25" customHeight="1">
      <c r="A619" s="44"/>
      <c r="B619" s="44"/>
      <c r="C619" s="44"/>
      <c r="D619" s="44"/>
      <c r="E619" s="44"/>
      <c r="F619" s="44"/>
      <c r="G619" s="44"/>
      <c r="H619" s="44"/>
      <c r="I619" s="44"/>
      <c r="J619" s="44"/>
      <c r="K619" s="44"/>
      <c r="L619" s="44"/>
      <c r="M619" s="44"/>
      <c r="N619" s="44"/>
      <c r="O619" s="44"/>
    </row>
    <row r="620" spans="1:15" ht="17.25" customHeight="1">
      <c r="A620" s="44"/>
      <c r="B620" s="44"/>
      <c r="C620" s="44"/>
      <c r="D620" s="44"/>
      <c r="E620" s="44"/>
      <c r="F620" s="44"/>
      <c r="G620" s="44"/>
      <c r="H620" s="44"/>
      <c r="I620" s="44"/>
      <c r="J620" s="44"/>
      <c r="K620" s="44"/>
      <c r="L620" s="44"/>
      <c r="M620" s="44"/>
      <c r="N620" s="44"/>
      <c r="O620" s="44"/>
    </row>
    <row r="621" spans="1:15" ht="17.25" customHeight="1">
      <c r="A621" s="44"/>
      <c r="B621" s="44"/>
      <c r="C621" s="44"/>
      <c r="D621" s="44"/>
      <c r="E621" s="44"/>
      <c r="F621" s="44"/>
      <c r="G621" s="44"/>
      <c r="H621" s="44"/>
      <c r="I621" s="44"/>
      <c r="J621" s="44"/>
      <c r="K621" s="44"/>
      <c r="L621" s="44"/>
      <c r="M621" s="44"/>
      <c r="N621" s="44"/>
      <c r="O621" s="44"/>
    </row>
    <row r="622" spans="1:15" ht="17.25" customHeight="1">
      <c r="A622" s="44"/>
      <c r="B622" s="44"/>
      <c r="C622" s="44"/>
      <c r="D622" s="44"/>
      <c r="E622" s="44"/>
      <c r="F622" s="44"/>
      <c r="G622" s="44"/>
      <c r="H622" s="44"/>
      <c r="I622" s="44"/>
      <c r="J622" s="44"/>
      <c r="K622" s="44"/>
      <c r="L622" s="44"/>
      <c r="M622" s="44"/>
      <c r="N622" s="44"/>
      <c r="O622" s="44"/>
    </row>
    <row r="623" spans="1:15" ht="17.25" customHeight="1">
      <c r="A623" s="44"/>
      <c r="B623" s="44"/>
      <c r="C623" s="44"/>
      <c r="D623" s="44"/>
      <c r="E623" s="44"/>
      <c r="F623" s="44"/>
      <c r="G623" s="44"/>
      <c r="H623" s="44"/>
      <c r="I623" s="44"/>
      <c r="J623" s="44"/>
      <c r="K623" s="44"/>
      <c r="L623" s="44"/>
      <c r="M623" s="44"/>
      <c r="N623" s="44"/>
      <c r="O623" s="44"/>
    </row>
    <row r="624" spans="1:15" ht="17.25" customHeight="1">
      <c r="A624" s="44"/>
      <c r="B624" s="44"/>
      <c r="C624" s="44"/>
      <c r="D624" s="44"/>
      <c r="E624" s="44"/>
      <c r="F624" s="44"/>
      <c r="G624" s="44"/>
      <c r="H624" s="44"/>
      <c r="I624" s="44"/>
      <c r="J624" s="44"/>
      <c r="K624" s="44"/>
      <c r="L624" s="44"/>
      <c r="M624" s="44"/>
      <c r="N624" s="44"/>
      <c r="O624" s="44"/>
    </row>
    <row r="625" spans="1:15" ht="17.25" customHeight="1">
      <c r="A625" s="44"/>
      <c r="B625" s="44"/>
      <c r="C625" s="44"/>
      <c r="D625" s="44"/>
      <c r="E625" s="44"/>
      <c r="F625" s="44"/>
      <c r="G625" s="44"/>
      <c r="H625" s="44"/>
      <c r="I625" s="44"/>
      <c r="J625" s="44"/>
      <c r="K625" s="44"/>
      <c r="L625" s="44"/>
      <c r="M625" s="44"/>
      <c r="N625" s="44"/>
      <c r="O625" s="44"/>
    </row>
    <row r="626" spans="1:15" ht="17.25" customHeight="1">
      <c r="A626" s="44"/>
      <c r="B626" s="44"/>
      <c r="C626" s="44"/>
      <c r="D626" s="44"/>
      <c r="E626" s="44"/>
      <c r="F626" s="44"/>
      <c r="G626" s="44"/>
      <c r="H626" s="44"/>
      <c r="I626" s="44"/>
      <c r="J626" s="44"/>
      <c r="K626" s="44"/>
      <c r="L626" s="44"/>
      <c r="M626" s="44"/>
      <c r="N626" s="44"/>
      <c r="O626" s="44"/>
    </row>
    <row r="627" spans="1:15" ht="17.25" customHeight="1">
      <c r="A627" s="44"/>
      <c r="B627" s="44"/>
      <c r="C627" s="44"/>
      <c r="D627" s="44"/>
      <c r="E627" s="44"/>
      <c r="F627" s="44"/>
      <c r="G627" s="44"/>
      <c r="H627" s="44"/>
      <c r="I627" s="44"/>
      <c r="J627" s="44"/>
      <c r="K627" s="44"/>
      <c r="L627" s="44"/>
      <c r="M627" s="44"/>
      <c r="N627" s="44"/>
      <c r="O627" s="44"/>
    </row>
    <row r="628" spans="1:15" ht="17.25" customHeight="1">
      <c r="A628" s="44"/>
      <c r="B628" s="44"/>
      <c r="C628" s="44"/>
      <c r="D628" s="44"/>
      <c r="E628" s="44"/>
      <c r="F628" s="44"/>
      <c r="G628" s="44"/>
      <c r="H628" s="44"/>
      <c r="I628" s="44"/>
      <c r="J628" s="44"/>
      <c r="K628" s="44"/>
      <c r="L628" s="44"/>
      <c r="M628" s="44"/>
      <c r="N628" s="44"/>
      <c r="O628" s="44"/>
    </row>
    <row r="629" spans="1:15" ht="17.25" customHeight="1">
      <c r="A629" s="44"/>
      <c r="B629" s="44"/>
      <c r="C629" s="44"/>
      <c r="D629" s="44"/>
      <c r="E629" s="44"/>
      <c r="F629" s="44"/>
      <c r="G629" s="44"/>
      <c r="H629" s="44"/>
      <c r="I629" s="44"/>
      <c r="J629" s="44"/>
      <c r="K629" s="44"/>
      <c r="L629" s="44"/>
      <c r="M629" s="44"/>
      <c r="N629" s="44"/>
      <c r="O629" s="44"/>
    </row>
    <row r="630" spans="1:15" ht="17.25" customHeight="1">
      <c r="A630" s="44"/>
      <c r="B630" s="44"/>
      <c r="C630" s="44"/>
      <c r="D630" s="44"/>
      <c r="E630" s="44"/>
      <c r="F630" s="44"/>
      <c r="G630" s="44"/>
      <c r="H630" s="44"/>
      <c r="I630" s="44"/>
      <c r="J630" s="44"/>
      <c r="K630" s="44"/>
      <c r="L630" s="44"/>
      <c r="M630" s="44"/>
      <c r="N630" s="44"/>
      <c r="O630" s="44"/>
    </row>
    <row r="631" spans="1:15" ht="17.25" customHeight="1">
      <c r="A631" s="44"/>
      <c r="B631" s="44"/>
      <c r="C631" s="44"/>
      <c r="D631" s="44"/>
      <c r="E631" s="44"/>
      <c r="F631" s="44"/>
      <c r="G631" s="44"/>
      <c r="H631" s="44"/>
      <c r="I631" s="44"/>
      <c r="J631" s="44"/>
      <c r="K631" s="44"/>
      <c r="L631" s="44"/>
      <c r="M631" s="44"/>
      <c r="N631" s="44"/>
      <c r="O631" s="44"/>
    </row>
    <row r="632" spans="1:15" ht="17.25" customHeight="1">
      <c r="A632" s="44"/>
      <c r="B632" s="44"/>
      <c r="C632" s="44"/>
      <c r="D632" s="44"/>
      <c r="E632" s="44"/>
      <c r="F632" s="44"/>
      <c r="G632" s="44"/>
      <c r="H632" s="44"/>
      <c r="I632" s="44"/>
      <c r="J632" s="44"/>
      <c r="K632" s="44"/>
      <c r="L632" s="44"/>
      <c r="M632" s="44"/>
      <c r="N632" s="44"/>
      <c r="O632" s="44"/>
    </row>
    <row r="633" spans="1:15" ht="17.25" customHeight="1">
      <c r="A633" s="44"/>
      <c r="B633" s="44"/>
      <c r="C633" s="44"/>
      <c r="D633" s="44"/>
      <c r="E633" s="44"/>
      <c r="F633" s="44"/>
      <c r="G633" s="44"/>
      <c r="H633" s="44"/>
      <c r="I633" s="44"/>
      <c r="J633" s="44"/>
      <c r="K633" s="44"/>
      <c r="L633" s="44"/>
      <c r="M633" s="44"/>
      <c r="N633" s="44"/>
      <c r="O633" s="44"/>
    </row>
    <row r="634" spans="1:15" ht="17.25" customHeight="1">
      <c r="A634" s="44"/>
      <c r="B634" s="44"/>
      <c r="C634" s="44"/>
      <c r="D634" s="44"/>
      <c r="E634" s="44"/>
      <c r="F634" s="44"/>
      <c r="G634" s="44"/>
      <c r="H634" s="44"/>
      <c r="I634" s="44"/>
      <c r="J634" s="44"/>
      <c r="K634" s="44"/>
      <c r="L634" s="44"/>
      <c r="M634" s="44"/>
      <c r="N634" s="44"/>
      <c r="O634" s="44"/>
    </row>
    <row r="635" spans="1:15" ht="17.25" customHeight="1">
      <c r="A635" s="44"/>
      <c r="B635" s="44"/>
      <c r="C635" s="44"/>
      <c r="D635" s="44"/>
      <c r="E635" s="44"/>
      <c r="F635" s="44"/>
      <c r="G635" s="44"/>
      <c r="H635" s="44"/>
      <c r="I635" s="44"/>
      <c r="J635" s="44"/>
      <c r="K635" s="44"/>
      <c r="L635" s="44"/>
      <c r="M635" s="44"/>
      <c r="N635" s="44"/>
      <c r="O635" s="44"/>
    </row>
    <row r="636" spans="1:15" ht="17.25" customHeight="1">
      <c r="A636" s="44"/>
      <c r="B636" s="44"/>
      <c r="C636" s="44"/>
      <c r="D636" s="44"/>
      <c r="E636" s="44"/>
      <c r="F636" s="44"/>
      <c r="G636" s="44"/>
      <c r="H636" s="44"/>
      <c r="I636" s="44"/>
      <c r="J636" s="44"/>
      <c r="K636" s="44"/>
      <c r="L636" s="44"/>
      <c r="M636" s="44"/>
      <c r="N636" s="44"/>
      <c r="O636" s="44"/>
    </row>
    <row r="637" spans="1:15" ht="17.25" customHeight="1">
      <c r="A637" s="44"/>
      <c r="B637" s="44"/>
      <c r="C637" s="44"/>
      <c r="D637" s="44"/>
      <c r="E637" s="44"/>
      <c r="F637" s="44"/>
      <c r="G637" s="44"/>
      <c r="H637" s="44"/>
      <c r="I637" s="44"/>
      <c r="J637" s="44"/>
      <c r="K637" s="44"/>
      <c r="L637" s="44"/>
      <c r="M637" s="44"/>
      <c r="N637" s="44"/>
      <c r="O637" s="44"/>
    </row>
    <row r="638" spans="1:15" ht="17.25" customHeight="1">
      <c r="A638" s="44"/>
      <c r="B638" s="44"/>
      <c r="C638" s="44"/>
      <c r="D638" s="44"/>
      <c r="E638" s="44"/>
      <c r="F638" s="44"/>
      <c r="G638" s="44"/>
      <c r="H638" s="44"/>
      <c r="I638" s="44"/>
      <c r="J638" s="44"/>
      <c r="K638" s="44"/>
      <c r="L638" s="44"/>
      <c r="M638" s="44"/>
      <c r="N638" s="44"/>
      <c r="O638" s="44"/>
    </row>
    <row r="639" spans="1:15" ht="17.25" customHeight="1">
      <c r="A639" s="44"/>
      <c r="B639" s="44"/>
      <c r="C639" s="44"/>
      <c r="D639" s="44"/>
      <c r="E639" s="44"/>
      <c r="F639" s="44"/>
      <c r="G639" s="44"/>
      <c r="H639" s="44"/>
      <c r="I639" s="44"/>
      <c r="J639" s="44"/>
      <c r="K639" s="44"/>
      <c r="L639" s="44"/>
      <c r="M639" s="44"/>
      <c r="N639" s="44"/>
      <c r="O639" s="44"/>
    </row>
    <row r="640" spans="1:15" ht="17.25" customHeight="1">
      <c r="A640" s="44"/>
      <c r="B640" s="44"/>
      <c r="C640" s="44"/>
      <c r="D640" s="44"/>
      <c r="E640" s="44"/>
      <c r="F640" s="44"/>
      <c r="G640" s="44"/>
      <c r="H640" s="44"/>
      <c r="I640" s="44"/>
      <c r="J640" s="44"/>
      <c r="K640" s="44"/>
      <c r="L640" s="44"/>
      <c r="M640" s="44"/>
      <c r="N640" s="44"/>
      <c r="O640" s="44"/>
    </row>
    <row r="641" spans="1:15" ht="17.25" customHeight="1">
      <c r="A641" s="44"/>
      <c r="B641" s="44"/>
      <c r="C641" s="44"/>
      <c r="D641" s="44"/>
      <c r="E641" s="44"/>
      <c r="F641" s="44"/>
      <c r="G641" s="44"/>
      <c r="H641" s="44"/>
      <c r="I641" s="44"/>
      <c r="J641" s="44"/>
      <c r="K641" s="44"/>
      <c r="L641" s="44"/>
      <c r="M641" s="44"/>
      <c r="N641" s="44"/>
      <c r="O641" s="44"/>
    </row>
    <row r="642" spans="1:15" ht="17.25" customHeight="1">
      <c r="A642" s="44"/>
      <c r="B642" s="44"/>
      <c r="C642" s="44"/>
      <c r="D642" s="44"/>
      <c r="E642" s="44"/>
      <c r="F642" s="44"/>
      <c r="G642" s="44"/>
      <c r="H642" s="44"/>
      <c r="I642" s="44"/>
      <c r="J642" s="44"/>
      <c r="K642" s="44"/>
      <c r="L642" s="44"/>
      <c r="M642" s="44"/>
      <c r="N642" s="44"/>
      <c r="O642" s="44"/>
    </row>
    <row r="643" spans="1:15" ht="17.25" customHeight="1">
      <c r="A643" s="44"/>
      <c r="B643" s="44"/>
      <c r="C643" s="44"/>
      <c r="D643" s="44"/>
      <c r="E643" s="44"/>
      <c r="F643" s="44"/>
      <c r="G643" s="44"/>
      <c r="H643" s="44"/>
      <c r="I643" s="44"/>
      <c r="J643" s="44"/>
      <c r="K643" s="44"/>
      <c r="L643" s="44"/>
      <c r="M643" s="44"/>
      <c r="N643" s="44"/>
      <c r="O643" s="44"/>
    </row>
    <row r="644" spans="1:15" ht="17.25" customHeight="1">
      <c r="A644" s="44"/>
      <c r="B644" s="44"/>
      <c r="C644" s="44"/>
      <c r="D644" s="44"/>
      <c r="E644" s="44"/>
      <c r="F644" s="44"/>
      <c r="G644" s="44"/>
      <c r="H644" s="44"/>
      <c r="I644" s="44"/>
      <c r="J644" s="44"/>
      <c r="K644" s="44"/>
      <c r="L644" s="44"/>
      <c r="M644" s="44"/>
      <c r="N644" s="44"/>
      <c r="O644" s="44"/>
    </row>
    <row r="645" spans="1:15" ht="17.25" customHeight="1">
      <c r="A645" s="44"/>
      <c r="B645" s="44"/>
      <c r="C645" s="44"/>
      <c r="D645" s="44"/>
      <c r="E645" s="44"/>
      <c r="F645" s="44"/>
      <c r="G645" s="44"/>
      <c r="H645" s="44"/>
      <c r="I645" s="44"/>
      <c r="J645" s="44"/>
      <c r="K645" s="44"/>
      <c r="L645" s="44"/>
      <c r="M645" s="44"/>
      <c r="N645" s="44"/>
      <c r="O645" s="44"/>
    </row>
    <row r="646" spans="1:15" ht="17.25" customHeight="1">
      <c r="A646" s="44"/>
      <c r="B646" s="44"/>
      <c r="C646" s="44"/>
      <c r="D646" s="44"/>
      <c r="E646" s="44"/>
      <c r="F646" s="44"/>
      <c r="G646" s="44"/>
      <c r="H646" s="44"/>
      <c r="I646" s="44"/>
      <c r="J646" s="44"/>
      <c r="K646" s="44"/>
      <c r="L646" s="44"/>
      <c r="M646" s="44"/>
      <c r="N646" s="44"/>
      <c r="O646" s="44"/>
    </row>
    <row r="647" spans="1:15" ht="17.25" customHeight="1">
      <c r="A647" s="44"/>
      <c r="B647" s="44"/>
      <c r="C647" s="44"/>
      <c r="D647" s="44"/>
      <c r="E647" s="44"/>
      <c r="F647" s="44"/>
      <c r="G647" s="44"/>
      <c r="H647" s="44"/>
      <c r="I647" s="44"/>
      <c r="J647" s="44"/>
      <c r="K647" s="44"/>
      <c r="L647" s="44"/>
      <c r="M647" s="44"/>
      <c r="N647" s="44"/>
      <c r="O647" s="44"/>
    </row>
    <row r="648" spans="1:15" ht="17.25" customHeight="1">
      <c r="A648" s="44"/>
      <c r="B648" s="44"/>
      <c r="C648" s="44"/>
      <c r="D648" s="44"/>
      <c r="E648" s="44"/>
      <c r="F648" s="44"/>
      <c r="G648" s="44"/>
      <c r="H648" s="44"/>
      <c r="I648" s="44"/>
      <c r="J648" s="44"/>
      <c r="K648" s="44"/>
      <c r="L648" s="44"/>
      <c r="M648" s="44"/>
      <c r="N648" s="44"/>
      <c r="O648" s="44"/>
    </row>
    <row r="649" spans="1:15" ht="17.25" customHeight="1">
      <c r="A649" s="44"/>
      <c r="B649" s="44"/>
      <c r="C649" s="44"/>
      <c r="D649" s="44"/>
      <c r="E649" s="44"/>
      <c r="F649" s="44"/>
      <c r="G649" s="44"/>
      <c r="H649" s="44"/>
      <c r="I649" s="44"/>
      <c r="J649" s="44"/>
      <c r="K649" s="44"/>
      <c r="L649" s="44"/>
      <c r="M649" s="44"/>
      <c r="N649" s="44"/>
      <c r="O649" s="44"/>
    </row>
    <row r="650" spans="1:15" ht="17.25" customHeight="1">
      <c r="A650" s="44"/>
      <c r="B650" s="44"/>
      <c r="C650" s="44"/>
      <c r="D650" s="44"/>
      <c r="E650" s="44"/>
      <c r="F650" s="44"/>
      <c r="G650" s="44"/>
      <c r="H650" s="44"/>
      <c r="I650" s="44"/>
      <c r="J650" s="44"/>
      <c r="K650" s="44"/>
      <c r="L650" s="44"/>
      <c r="M650" s="44"/>
      <c r="N650" s="44"/>
      <c r="O650" s="44"/>
    </row>
    <row r="651" spans="1:15" ht="17.25" customHeight="1">
      <c r="A651" s="44"/>
      <c r="B651" s="44"/>
      <c r="C651" s="44"/>
      <c r="D651" s="44"/>
      <c r="E651" s="44"/>
      <c r="F651" s="44"/>
      <c r="G651" s="44"/>
      <c r="H651" s="44"/>
      <c r="I651" s="44"/>
      <c r="J651" s="44"/>
      <c r="K651" s="44"/>
      <c r="L651" s="44"/>
      <c r="M651" s="44"/>
      <c r="N651" s="44"/>
      <c r="O651" s="44"/>
    </row>
    <row r="652" spans="1:15" ht="17.25" customHeight="1">
      <c r="A652" s="44"/>
      <c r="B652" s="44"/>
      <c r="C652" s="44"/>
      <c r="D652" s="44"/>
      <c r="E652" s="44"/>
      <c r="F652" s="44"/>
      <c r="G652" s="44"/>
      <c r="H652" s="44"/>
      <c r="I652" s="44"/>
      <c r="J652" s="44"/>
      <c r="K652" s="44"/>
      <c r="L652" s="44"/>
      <c r="M652" s="44"/>
      <c r="N652" s="44"/>
      <c r="O652" s="44"/>
    </row>
    <row r="653" spans="1:15" ht="17.25" customHeight="1">
      <c r="A653" s="44"/>
      <c r="B653" s="44"/>
      <c r="C653" s="44"/>
      <c r="D653" s="44"/>
      <c r="E653" s="44"/>
      <c r="F653" s="44"/>
      <c r="G653" s="44"/>
      <c r="H653" s="44"/>
      <c r="I653" s="44"/>
      <c r="J653" s="44"/>
      <c r="K653" s="44"/>
      <c r="L653" s="44"/>
      <c r="M653" s="44"/>
      <c r="N653" s="44"/>
      <c r="O653" s="44"/>
    </row>
    <row r="654" spans="1:15" ht="17.25" customHeight="1">
      <c r="A654" s="44"/>
      <c r="B654" s="44"/>
      <c r="C654" s="44"/>
      <c r="D654" s="44"/>
      <c r="E654" s="44"/>
      <c r="F654" s="44"/>
      <c r="G654" s="44"/>
      <c r="H654" s="44"/>
      <c r="I654" s="44"/>
      <c r="J654" s="44"/>
      <c r="K654" s="44"/>
      <c r="L654" s="44"/>
      <c r="M654" s="44"/>
      <c r="N654" s="44"/>
      <c r="O654" s="44"/>
    </row>
    <row r="655" spans="1:15" ht="17.25" customHeight="1">
      <c r="A655" s="44"/>
      <c r="B655" s="44"/>
      <c r="C655" s="44"/>
      <c r="D655" s="44"/>
      <c r="E655" s="44"/>
      <c r="F655" s="44"/>
      <c r="G655" s="44"/>
      <c r="H655" s="44"/>
      <c r="I655" s="44"/>
      <c r="J655" s="44"/>
      <c r="K655" s="44"/>
      <c r="L655" s="44"/>
      <c r="M655" s="44"/>
      <c r="N655" s="44"/>
      <c r="O655" s="44"/>
    </row>
    <row r="656" spans="1:15" ht="17.25" customHeight="1">
      <c r="A656" s="44"/>
      <c r="B656" s="44"/>
      <c r="C656" s="44"/>
      <c r="D656" s="44"/>
      <c r="E656" s="44"/>
      <c r="F656" s="44"/>
      <c r="G656" s="44"/>
      <c r="H656" s="44"/>
      <c r="I656" s="44"/>
      <c r="J656" s="44"/>
      <c r="K656" s="44"/>
      <c r="L656" s="44"/>
      <c r="M656" s="44"/>
      <c r="N656" s="44"/>
      <c r="O656" s="44"/>
    </row>
    <row r="657" spans="1:15" ht="17.25" customHeight="1">
      <c r="A657" s="44"/>
      <c r="B657" s="44"/>
      <c r="C657" s="44"/>
      <c r="D657" s="44"/>
      <c r="E657" s="44"/>
      <c r="F657" s="44"/>
      <c r="G657" s="44"/>
      <c r="H657" s="44"/>
      <c r="I657" s="44"/>
      <c r="J657" s="44"/>
      <c r="K657" s="44"/>
      <c r="L657" s="44"/>
      <c r="M657" s="44"/>
      <c r="N657" s="44"/>
      <c r="O657" s="44"/>
    </row>
    <row r="658" spans="1:15" ht="17.25" customHeight="1">
      <c r="A658" s="44"/>
      <c r="B658" s="44"/>
      <c r="C658" s="44"/>
      <c r="D658" s="44"/>
      <c r="E658" s="44"/>
      <c r="F658" s="44"/>
      <c r="G658" s="44"/>
      <c r="H658" s="44"/>
      <c r="I658" s="44"/>
      <c r="J658" s="44"/>
      <c r="K658" s="44"/>
      <c r="L658" s="44"/>
      <c r="M658" s="44"/>
      <c r="N658" s="44"/>
      <c r="O658" s="44"/>
    </row>
    <row r="659" spans="1:15" ht="17.25" customHeight="1">
      <c r="A659" s="44"/>
      <c r="B659" s="44"/>
      <c r="C659" s="44"/>
      <c r="D659" s="44"/>
      <c r="E659" s="44"/>
      <c r="F659" s="44"/>
      <c r="G659" s="44"/>
      <c r="H659" s="44"/>
      <c r="I659" s="44"/>
      <c r="J659" s="44"/>
      <c r="K659" s="44"/>
      <c r="L659" s="44"/>
      <c r="M659" s="44"/>
      <c r="N659" s="44"/>
      <c r="O659" s="44"/>
    </row>
    <row r="660" spans="1:15" ht="17.25" customHeight="1">
      <c r="A660" s="44"/>
      <c r="B660" s="44"/>
      <c r="C660" s="44"/>
      <c r="D660" s="44"/>
      <c r="E660" s="44"/>
      <c r="F660" s="44"/>
      <c r="G660" s="44"/>
      <c r="H660" s="44"/>
      <c r="I660" s="44"/>
      <c r="J660" s="44"/>
      <c r="K660" s="44"/>
      <c r="L660" s="44"/>
      <c r="M660" s="44"/>
      <c r="N660" s="44"/>
      <c r="O660" s="44"/>
    </row>
    <row r="661" spans="1:15" ht="17.25" customHeight="1">
      <c r="A661" s="44"/>
      <c r="B661" s="44"/>
      <c r="C661" s="44"/>
      <c r="D661" s="44"/>
      <c r="E661" s="44"/>
      <c r="F661" s="44"/>
      <c r="G661" s="44"/>
      <c r="H661" s="44"/>
      <c r="I661" s="44"/>
      <c r="J661" s="44"/>
      <c r="K661" s="44"/>
      <c r="L661" s="44"/>
      <c r="M661" s="44"/>
      <c r="N661" s="44"/>
      <c r="O661" s="44"/>
    </row>
    <row r="662" spans="1:15" ht="17.25" customHeight="1">
      <c r="A662" s="44"/>
      <c r="B662" s="44"/>
      <c r="C662" s="44"/>
      <c r="D662" s="44"/>
      <c r="E662" s="44"/>
      <c r="F662" s="44"/>
      <c r="G662" s="44"/>
      <c r="H662" s="44"/>
      <c r="I662" s="44"/>
      <c r="J662" s="44"/>
      <c r="K662" s="44"/>
      <c r="L662" s="44"/>
      <c r="M662" s="44"/>
      <c r="N662" s="44"/>
      <c r="O662" s="44"/>
    </row>
    <row r="663" spans="1:15" ht="17.25" customHeight="1">
      <c r="A663" s="44"/>
      <c r="B663" s="44"/>
      <c r="C663" s="44"/>
      <c r="D663" s="44"/>
      <c r="E663" s="44"/>
      <c r="F663" s="44"/>
      <c r="G663" s="44"/>
      <c r="H663" s="44"/>
      <c r="I663" s="44"/>
      <c r="J663" s="44"/>
      <c r="K663" s="44"/>
      <c r="L663" s="44"/>
      <c r="M663" s="44"/>
      <c r="N663" s="44"/>
      <c r="O663" s="44"/>
    </row>
    <row r="664" spans="1:15" ht="17.25" customHeight="1">
      <c r="A664" s="44"/>
      <c r="B664" s="44"/>
      <c r="C664" s="44"/>
      <c r="D664" s="44"/>
      <c r="E664" s="44"/>
      <c r="F664" s="44"/>
      <c r="G664" s="44"/>
      <c r="H664" s="44"/>
      <c r="I664" s="44"/>
      <c r="J664" s="44"/>
      <c r="K664" s="44"/>
      <c r="L664" s="44"/>
      <c r="M664" s="44"/>
      <c r="N664" s="44"/>
      <c r="O664" s="44"/>
    </row>
    <row r="665" spans="1:15" ht="17.25" customHeight="1">
      <c r="A665" s="44"/>
      <c r="B665" s="44"/>
      <c r="C665" s="44"/>
      <c r="D665" s="44"/>
      <c r="E665" s="44"/>
      <c r="F665" s="44"/>
      <c r="G665" s="44"/>
      <c r="H665" s="44"/>
      <c r="I665" s="44"/>
      <c r="J665" s="44"/>
      <c r="K665" s="44"/>
      <c r="L665" s="44"/>
      <c r="M665" s="44"/>
      <c r="N665" s="44"/>
      <c r="O665" s="44"/>
    </row>
    <row r="666" spans="1:15" ht="17.25" customHeight="1">
      <c r="A666" s="44"/>
      <c r="B666" s="44"/>
      <c r="C666" s="44"/>
      <c r="D666" s="44"/>
      <c r="E666" s="44"/>
      <c r="F666" s="44"/>
      <c r="G666" s="44"/>
      <c r="H666" s="44"/>
      <c r="I666" s="44"/>
      <c r="J666" s="44"/>
      <c r="K666" s="44"/>
      <c r="L666" s="44"/>
      <c r="M666" s="44"/>
      <c r="N666" s="44"/>
      <c r="O666" s="44"/>
    </row>
    <row r="667" spans="1:15" ht="17.25" customHeight="1">
      <c r="A667" s="44"/>
      <c r="B667" s="44"/>
      <c r="C667" s="44"/>
      <c r="D667" s="44"/>
      <c r="E667" s="44"/>
      <c r="F667" s="44"/>
      <c r="G667" s="44"/>
      <c r="H667" s="44"/>
      <c r="I667" s="44"/>
      <c r="J667" s="44"/>
      <c r="K667" s="44"/>
      <c r="L667" s="44"/>
      <c r="M667" s="44"/>
      <c r="N667" s="44"/>
      <c r="O667" s="44"/>
    </row>
    <row r="668" spans="1:15" ht="17.25" customHeight="1">
      <c r="A668" s="44"/>
      <c r="B668" s="44"/>
      <c r="C668" s="44"/>
      <c r="D668" s="44"/>
      <c r="E668" s="44"/>
      <c r="F668" s="44"/>
      <c r="G668" s="44"/>
      <c r="H668" s="44"/>
      <c r="I668" s="44"/>
      <c r="J668" s="44"/>
      <c r="K668" s="44"/>
      <c r="L668" s="44"/>
      <c r="M668" s="44"/>
      <c r="N668" s="44"/>
      <c r="O668" s="44"/>
    </row>
    <row r="669" spans="1:15" ht="17.25" customHeight="1">
      <c r="A669" s="44"/>
      <c r="B669" s="44"/>
      <c r="C669" s="44"/>
      <c r="D669" s="44"/>
      <c r="E669" s="44"/>
      <c r="F669" s="44"/>
      <c r="G669" s="44"/>
      <c r="H669" s="44"/>
      <c r="I669" s="44"/>
      <c r="J669" s="44"/>
      <c r="K669" s="44"/>
      <c r="L669" s="44"/>
      <c r="M669" s="44"/>
      <c r="N669" s="44"/>
      <c r="O669" s="44"/>
    </row>
    <row r="670" spans="1:15" ht="17.25" customHeight="1">
      <c r="A670" s="44"/>
      <c r="B670" s="44"/>
      <c r="C670" s="44"/>
      <c r="D670" s="44"/>
      <c r="E670" s="44"/>
      <c r="F670" s="44"/>
      <c r="G670" s="44"/>
      <c r="H670" s="44"/>
      <c r="I670" s="44"/>
      <c r="J670" s="44"/>
      <c r="K670" s="44"/>
      <c r="L670" s="44"/>
      <c r="M670" s="44"/>
      <c r="N670" s="44"/>
      <c r="O670" s="44"/>
    </row>
    <row r="671" spans="1:15" ht="17.25" customHeight="1">
      <c r="A671" s="44"/>
      <c r="B671" s="44"/>
      <c r="C671" s="44"/>
      <c r="D671" s="44"/>
      <c r="E671" s="44"/>
      <c r="F671" s="44"/>
      <c r="G671" s="44"/>
      <c r="H671" s="44"/>
      <c r="I671" s="44"/>
      <c r="J671" s="44"/>
      <c r="K671" s="44"/>
      <c r="L671" s="44"/>
      <c r="M671" s="44"/>
      <c r="N671" s="44"/>
      <c r="O671" s="44"/>
    </row>
    <row r="672" spans="1:15" ht="17.25" customHeight="1">
      <c r="A672" s="44"/>
      <c r="B672" s="44"/>
      <c r="C672" s="44"/>
      <c r="D672" s="44"/>
      <c r="E672" s="44"/>
      <c r="F672" s="44"/>
      <c r="G672" s="44"/>
      <c r="H672" s="44"/>
      <c r="I672" s="44"/>
      <c r="J672" s="44"/>
      <c r="K672" s="44"/>
      <c r="L672" s="44"/>
      <c r="M672" s="44"/>
      <c r="N672" s="44"/>
      <c r="O672" s="44"/>
    </row>
    <row r="673" spans="1:15" ht="17.25" customHeight="1">
      <c r="A673" s="44"/>
      <c r="B673" s="44"/>
      <c r="C673" s="44"/>
      <c r="D673" s="44"/>
      <c r="E673" s="44"/>
      <c r="F673" s="44"/>
      <c r="G673" s="44"/>
      <c r="H673" s="44"/>
      <c r="I673" s="44"/>
      <c r="J673" s="44"/>
      <c r="K673" s="44"/>
      <c r="L673" s="44"/>
      <c r="M673" s="44"/>
      <c r="N673" s="44"/>
      <c r="O673" s="44"/>
    </row>
    <row r="674" spans="1:15" ht="17.25" customHeight="1">
      <c r="A674" s="44"/>
      <c r="B674" s="44"/>
      <c r="C674" s="44"/>
      <c r="D674" s="44"/>
      <c r="E674" s="44"/>
      <c r="F674" s="44"/>
      <c r="G674" s="44"/>
      <c r="H674" s="44"/>
      <c r="I674" s="44"/>
      <c r="J674" s="44"/>
      <c r="K674" s="44"/>
      <c r="L674" s="44"/>
      <c r="M674" s="44"/>
      <c r="N674" s="44"/>
      <c r="O674" s="44"/>
    </row>
    <row r="675" spans="1:15" ht="17.25" customHeight="1">
      <c r="A675" s="44"/>
      <c r="B675" s="44"/>
      <c r="C675" s="44"/>
      <c r="D675" s="44"/>
      <c r="E675" s="44"/>
      <c r="F675" s="44"/>
      <c r="G675" s="44"/>
      <c r="H675" s="44"/>
      <c r="I675" s="44"/>
      <c r="J675" s="44"/>
      <c r="K675" s="44"/>
      <c r="L675" s="44"/>
      <c r="M675" s="44"/>
      <c r="N675" s="44"/>
      <c r="O675" s="44"/>
    </row>
    <row r="676" spans="1:15" ht="17.25" customHeight="1">
      <c r="A676" s="44"/>
      <c r="B676" s="44"/>
      <c r="C676" s="44"/>
      <c r="D676" s="44"/>
      <c r="E676" s="44"/>
      <c r="F676" s="44"/>
      <c r="G676" s="44"/>
      <c r="H676" s="44"/>
      <c r="I676" s="44"/>
      <c r="J676" s="44"/>
      <c r="K676" s="44"/>
      <c r="L676" s="44"/>
      <c r="M676" s="44"/>
      <c r="N676" s="44"/>
      <c r="O676" s="44"/>
    </row>
    <row r="677" spans="1:15" ht="17.25" customHeight="1">
      <c r="A677" s="44"/>
      <c r="B677" s="44"/>
      <c r="C677" s="44"/>
      <c r="D677" s="44"/>
      <c r="E677" s="44"/>
      <c r="F677" s="44"/>
      <c r="G677" s="44"/>
      <c r="H677" s="44"/>
      <c r="I677" s="44"/>
      <c r="J677" s="44"/>
      <c r="K677" s="44"/>
      <c r="L677" s="44"/>
      <c r="M677" s="44"/>
      <c r="N677" s="44"/>
      <c r="O677" s="44"/>
    </row>
    <row r="678" spans="1:15" ht="17.25" customHeight="1">
      <c r="A678" s="44"/>
      <c r="B678" s="44"/>
      <c r="C678" s="44"/>
      <c r="D678" s="44"/>
      <c r="E678" s="44"/>
      <c r="F678" s="44"/>
      <c r="G678" s="44"/>
      <c r="H678" s="44"/>
      <c r="I678" s="44"/>
      <c r="J678" s="44"/>
      <c r="K678" s="44"/>
      <c r="L678" s="44"/>
      <c r="M678" s="44"/>
      <c r="N678" s="44"/>
      <c r="O678" s="44"/>
    </row>
    <row r="679" spans="1:15" ht="17.25" customHeight="1">
      <c r="A679" s="44"/>
      <c r="B679" s="44"/>
      <c r="C679" s="44"/>
      <c r="D679" s="44"/>
      <c r="E679" s="44"/>
      <c r="F679" s="44"/>
      <c r="G679" s="44"/>
      <c r="H679" s="44"/>
      <c r="I679" s="44"/>
      <c r="J679" s="44"/>
      <c r="K679" s="44"/>
      <c r="L679" s="44"/>
      <c r="M679" s="44"/>
      <c r="N679" s="44"/>
      <c r="O679" s="44"/>
    </row>
    <row r="680" spans="1:15" ht="17.25" customHeight="1">
      <c r="A680" s="44"/>
      <c r="B680" s="44"/>
      <c r="C680" s="44"/>
      <c r="D680" s="44"/>
      <c r="E680" s="44"/>
      <c r="F680" s="44"/>
      <c r="G680" s="44"/>
      <c r="H680" s="44"/>
      <c r="I680" s="44"/>
      <c r="J680" s="44"/>
      <c r="K680" s="44"/>
      <c r="L680" s="44"/>
      <c r="M680" s="44"/>
      <c r="N680" s="44"/>
      <c r="O680" s="44"/>
    </row>
    <row r="681" spans="1:15" ht="17.25" customHeight="1">
      <c r="A681" s="44"/>
      <c r="B681" s="44"/>
      <c r="C681" s="44"/>
      <c r="D681" s="44"/>
      <c r="E681" s="44"/>
      <c r="F681" s="44"/>
      <c r="G681" s="44"/>
      <c r="H681" s="44"/>
      <c r="I681" s="44"/>
      <c r="J681" s="44"/>
      <c r="K681" s="44"/>
      <c r="L681" s="44"/>
      <c r="M681" s="44"/>
      <c r="N681" s="44"/>
      <c r="O681" s="44"/>
    </row>
    <row r="682" spans="1:15" ht="17.25" customHeight="1">
      <c r="A682" s="44"/>
      <c r="B682" s="44"/>
      <c r="C682" s="44"/>
      <c r="D682" s="44"/>
      <c r="E682" s="44"/>
      <c r="F682" s="44"/>
      <c r="G682" s="44"/>
      <c r="H682" s="44"/>
      <c r="I682" s="44"/>
      <c r="J682" s="44"/>
      <c r="K682" s="44"/>
      <c r="L682" s="44"/>
      <c r="M682" s="44"/>
      <c r="N682" s="44"/>
      <c r="O682" s="44"/>
    </row>
    <row r="683" spans="1:15" ht="17.25" customHeight="1">
      <c r="A683" s="44"/>
      <c r="B683" s="44"/>
      <c r="C683" s="44"/>
      <c r="D683" s="44"/>
      <c r="E683" s="44"/>
      <c r="F683" s="44"/>
      <c r="G683" s="44"/>
      <c r="H683" s="44"/>
      <c r="I683" s="44"/>
      <c r="J683" s="44"/>
      <c r="K683" s="44"/>
      <c r="L683" s="44"/>
      <c r="M683" s="44"/>
      <c r="N683" s="44"/>
      <c r="O683" s="44"/>
    </row>
    <row r="684" spans="1:15" ht="17.25" customHeight="1">
      <c r="A684" s="44"/>
      <c r="B684" s="44"/>
      <c r="C684" s="44"/>
      <c r="D684" s="44"/>
      <c r="E684" s="44"/>
      <c r="F684" s="44"/>
      <c r="G684" s="44"/>
      <c r="H684" s="44"/>
      <c r="I684" s="44"/>
      <c r="J684" s="44"/>
      <c r="K684" s="44"/>
      <c r="L684" s="44"/>
      <c r="M684" s="44"/>
      <c r="N684" s="44"/>
      <c r="O684" s="44"/>
    </row>
    <row r="685" spans="1:15" ht="17.25" customHeight="1">
      <c r="A685" s="44"/>
      <c r="B685" s="44"/>
      <c r="C685" s="44"/>
      <c r="D685" s="44"/>
      <c r="E685" s="44"/>
      <c r="F685" s="44"/>
      <c r="G685" s="44"/>
      <c r="H685" s="44"/>
      <c r="I685" s="44"/>
      <c r="J685" s="44"/>
      <c r="K685" s="44"/>
      <c r="L685" s="44"/>
      <c r="M685" s="44"/>
      <c r="N685" s="44"/>
      <c r="O685" s="44"/>
    </row>
    <row r="686" spans="1:15" ht="17.25" customHeight="1">
      <c r="A686" s="44"/>
      <c r="B686" s="44"/>
      <c r="C686" s="44"/>
      <c r="D686" s="44"/>
      <c r="E686" s="44"/>
      <c r="F686" s="44"/>
      <c r="G686" s="44"/>
      <c r="H686" s="44"/>
      <c r="I686" s="44"/>
      <c r="J686" s="44"/>
      <c r="K686" s="44"/>
      <c r="L686" s="44"/>
      <c r="M686" s="44"/>
      <c r="N686" s="44"/>
      <c r="O686" s="44"/>
    </row>
    <row r="687" spans="1:15" ht="17.25" customHeight="1">
      <c r="A687" s="44"/>
      <c r="B687" s="44"/>
      <c r="C687" s="44"/>
      <c r="D687" s="44"/>
      <c r="E687" s="44"/>
      <c r="F687" s="44"/>
      <c r="G687" s="44"/>
      <c r="H687" s="44"/>
      <c r="I687" s="44"/>
      <c r="J687" s="44"/>
      <c r="K687" s="44"/>
      <c r="L687" s="44"/>
      <c r="M687" s="44"/>
      <c r="N687" s="44"/>
      <c r="O687" s="44"/>
    </row>
    <row r="688" spans="1:15" ht="17.25" customHeight="1">
      <c r="A688" s="44"/>
      <c r="B688" s="44"/>
      <c r="C688" s="44"/>
      <c r="D688" s="44"/>
      <c r="E688" s="44"/>
      <c r="F688" s="44"/>
      <c r="G688" s="44"/>
      <c r="H688" s="44"/>
      <c r="I688" s="44"/>
      <c r="J688" s="44"/>
      <c r="K688" s="44"/>
      <c r="L688" s="44"/>
      <c r="M688" s="44"/>
      <c r="N688" s="44"/>
      <c r="O688" s="44"/>
    </row>
    <row r="689" spans="1:15" ht="17.25" customHeight="1">
      <c r="A689" s="44"/>
      <c r="B689" s="44"/>
      <c r="C689" s="44"/>
      <c r="D689" s="44"/>
      <c r="E689" s="44"/>
      <c r="F689" s="44"/>
      <c r="G689" s="44"/>
      <c r="H689" s="44"/>
      <c r="I689" s="44"/>
      <c r="J689" s="44"/>
      <c r="K689" s="44"/>
      <c r="L689" s="44"/>
      <c r="M689" s="44"/>
      <c r="N689" s="44"/>
      <c r="O689" s="44"/>
    </row>
    <row r="690" spans="1:15" ht="17.25" customHeight="1">
      <c r="A690" s="44"/>
      <c r="B690" s="44"/>
      <c r="C690" s="44"/>
      <c r="D690" s="44"/>
      <c r="E690" s="44"/>
      <c r="F690" s="44"/>
      <c r="G690" s="44"/>
      <c r="H690" s="44"/>
      <c r="I690" s="44"/>
      <c r="J690" s="44"/>
      <c r="K690" s="44"/>
      <c r="L690" s="44"/>
      <c r="M690" s="44"/>
      <c r="N690" s="44"/>
      <c r="O690" s="44"/>
    </row>
    <row r="691" spans="1:15" ht="17.25" customHeight="1">
      <c r="A691" s="44"/>
      <c r="B691" s="44"/>
      <c r="C691" s="44"/>
      <c r="D691" s="44"/>
      <c r="E691" s="44"/>
      <c r="F691" s="44"/>
      <c r="G691" s="44"/>
      <c r="H691" s="44"/>
      <c r="I691" s="44"/>
      <c r="J691" s="44"/>
      <c r="K691" s="44"/>
      <c r="L691" s="44"/>
      <c r="M691" s="44"/>
      <c r="N691" s="44"/>
      <c r="O691" s="44"/>
    </row>
    <row r="692" spans="1:15" ht="17.25" customHeight="1">
      <c r="A692" s="44"/>
      <c r="B692" s="44"/>
      <c r="C692" s="44"/>
      <c r="D692" s="44"/>
      <c r="E692" s="44"/>
      <c r="F692" s="44"/>
      <c r="G692" s="44"/>
      <c r="H692" s="44"/>
      <c r="I692" s="44"/>
      <c r="J692" s="44"/>
      <c r="K692" s="44"/>
      <c r="L692" s="44"/>
      <c r="M692" s="44"/>
      <c r="N692" s="44"/>
      <c r="O692" s="44"/>
    </row>
    <row r="693" spans="1:15" ht="17.25" customHeight="1">
      <c r="A693" s="44"/>
      <c r="B693" s="44"/>
      <c r="C693" s="44"/>
      <c r="D693" s="44"/>
      <c r="E693" s="44"/>
      <c r="F693" s="44"/>
      <c r="G693" s="44"/>
      <c r="H693" s="44"/>
      <c r="I693" s="44"/>
      <c r="J693" s="44"/>
      <c r="K693" s="44"/>
      <c r="L693" s="44"/>
      <c r="M693" s="44"/>
      <c r="N693" s="44"/>
      <c r="O693" s="44"/>
    </row>
    <row r="694" spans="1:15" ht="17.25" customHeight="1">
      <c r="A694" s="44"/>
      <c r="B694" s="44"/>
      <c r="C694" s="44"/>
      <c r="D694" s="44"/>
      <c r="E694" s="44"/>
      <c r="F694" s="44"/>
      <c r="G694" s="44"/>
      <c r="H694" s="44"/>
      <c r="I694" s="44"/>
      <c r="J694" s="44"/>
      <c r="K694" s="44"/>
      <c r="L694" s="44"/>
      <c r="M694" s="44"/>
      <c r="N694" s="44"/>
      <c r="O694" s="44"/>
    </row>
    <row r="695" spans="1:15" ht="17.25" customHeight="1">
      <c r="A695" s="44"/>
      <c r="B695" s="44"/>
      <c r="C695" s="44"/>
      <c r="D695" s="44"/>
      <c r="E695" s="44"/>
      <c r="F695" s="44"/>
      <c r="G695" s="44"/>
      <c r="H695" s="44"/>
      <c r="I695" s="44"/>
      <c r="J695" s="44"/>
      <c r="K695" s="44"/>
      <c r="L695" s="44"/>
      <c r="M695" s="44"/>
      <c r="N695" s="44"/>
      <c r="O695" s="44"/>
    </row>
    <row r="696" spans="1:15" ht="17.25" customHeight="1">
      <c r="A696" s="44"/>
      <c r="B696" s="44"/>
      <c r="C696" s="44"/>
      <c r="D696" s="44"/>
      <c r="E696" s="44"/>
      <c r="F696" s="44"/>
      <c r="G696" s="44"/>
      <c r="H696" s="44"/>
      <c r="I696" s="44"/>
      <c r="J696" s="44"/>
      <c r="K696" s="44"/>
      <c r="L696" s="44"/>
      <c r="M696" s="44"/>
      <c r="N696" s="44"/>
      <c r="O696" s="44"/>
    </row>
    <row r="697" spans="1:15" ht="17.25" customHeight="1">
      <c r="A697" s="44"/>
      <c r="B697" s="44"/>
      <c r="C697" s="44"/>
      <c r="D697" s="44"/>
      <c r="E697" s="44"/>
      <c r="F697" s="44"/>
      <c r="G697" s="44"/>
      <c r="H697" s="44"/>
      <c r="I697" s="44"/>
      <c r="J697" s="44"/>
      <c r="K697" s="44"/>
      <c r="L697" s="44"/>
      <c r="M697" s="44"/>
      <c r="N697" s="44"/>
      <c r="O697" s="44"/>
    </row>
    <row r="698" spans="1:15" ht="17.25" customHeight="1">
      <c r="A698" s="44"/>
      <c r="B698" s="44"/>
      <c r="C698" s="44"/>
      <c r="D698" s="44"/>
      <c r="E698" s="44"/>
      <c r="F698" s="44"/>
      <c r="G698" s="44"/>
      <c r="H698" s="44"/>
      <c r="I698" s="44"/>
      <c r="J698" s="44"/>
      <c r="K698" s="44"/>
      <c r="L698" s="44"/>
      <c r="M698" s="44"/>
      <c r="N698" s="44"/>
      <c r="O698" s="44"/>
    </row>
    <row r="699" spans="1:15" ht="17.25" customHeight="1">
      <c r="A699" s="44"/>
      <c r="B699" s="44"/>
      <c r="C699" s="44"/>
      <c r="D699" s="44"/>
      <c r="E699" s="44"/>
      <c r="F699" s="44"/>
      <c r="G699" s="44"/>
      <c r="H699" s="44"/>
      <c r="I699" s="44"/>
      <c r="J699" s="44"/>
      <c r="K699" s="44"/>
      <c r="L699" s="44"/>
      <c r="M699" s="44"/>
      <c r="N699" s="44"/>
      <c r="O699" s="44"/>
    </row>
    <row r="700" spans="1:15" ht="17.25" customHeight="1">
      <c r="A700" s="44"/>
      <c r="B700" s="44"/>
      <c r="C700" s="44"/>
      <c r="D700" s="44"/>
      <c r="E700" s="44"/>
      <c r="F700" s="44"/>
      <c r="G700" s="44"/>
      <c r="H700" s="44"/>
      <c r="I700" s="44"/>
      <c r="J700" s="44"/>
      <c r="K700" s="44"/>
      <c r="L700" s="44"/>
      <c r="M700" s="44"/>
      <c r="N700" s="44"/>
      <c r="O700" s="44"/>
    </row>
    <row r="701" spans="1:15" ht="17.25" customHeight="1">
      <c r="A701" s="44"/>
      <c r="B701" s="44"/>
      <c r="C701" s="44"/>
      <c r="D701" s="44"/>
      <c r="E701" s="44"/>
      <c r="F701" s="44"/>
      <c r="G701" s="44"/>
      <c r="H701" s="44"/>
      <c r="I701" s="44"/>
      <c r="J701" s="44"/>
      <c r="K701" s="44"/>
      <c r="L701" s="44"/>
      <c r="M701" s="44"/>
      <c r="N701" s="44"/>
      <c r="O701" s="44"/>
    </row>
    <row r="702" spans="1:15" ht="17.25" customHeight="1">
      <c r="A702" s="44"/>
      <c r="B702" s="44"/>
      <c r="C702" s="44"/>
      <c r="D702" s="44"/>
      <c r="E702" s="44"/>
      <c r="F702" s="44"/>
      <c r="G702" s="44"/>
      <c r="H702" s="44"/>
      <c r="I702" s="44"/>
      <c r="J702" s="44"/>
      <c r="K702" s="44"/>
      <c r="L702" s="44"/>
      <c r="M702" s="44"/>
      <c r="N702" s="44"/>
      <c r="O702" s="44"/>
    </row>
    <row r="703" spans="1:15" ht="17.25" customHeight="1">
      <c r="A703" s="44"/>
      <c r="B703" s="44"/>
      <c r="C703" s="44"/>
      <c r="D703" s="44"/>
      <c r="E703" s="44"/>
      <c r="F703" s="44"/>
      <c r="G703" s="44"/>
      <c r="H703" s="44"/>
      <c r="I703" s="44"/>
      <c r="J703" s="44"/>
      <c r="K703" s="44"/>
      <c r="L703" s="44"/>
      <c r="M703" s="44"/>
      <c r="N703" s="44"/>
      <c r="O703" s="44"/>
    </row>
    <row r="704" spans="1:15" ht="17.25" customHeight="1">
      <c r="A704" s="44"/>
      <c r="B704" s="44"/>
      <c r="C704" s="44"/>
      <c r="D704" s="44"/>
      <c r="E704" s="44"/>
      <c r="F704" s="44"/>
      <c r="G704" s="44"/>
      <c r="H704" s="44"/>
      <c r="I704" s="44"/>
      <c r="J704" s="44"/>
      <c r="K704" s="44"/>
      <c r="L704" s="44"/>
      <c r="M704" s="44"/>
      <c r="N704" s="44"/>
      <c r="O704" s="44"/>
    </row>
    <row r="705" spans="1:15" ht="17.25" customHeight="1">
      <c r="A705" s="44"/>
      <c r="B705" s="44"/>
      <c r="C705" s="44"/>
      <c r="D705" s="44"/>
      <c r="E705" s="44"/>
      <c r="F705" s="44"/>
      <c r="G705" s="44"/>
      <c r="H705" s="44"/>
      <c r="I705" s="44"/>
      <c r="J705" s="44"/>
      <c r="K705" s="44"/>
      <c r="L705" s="44"/>
      <c r="M705" s="44"/>
      <c r="N705" s="44"/>
      <c r="O705" s="44"/>
    </row>
    <row r="706" spans="1:15" ht="17.25" customHeight="1">
      <c r="A706" s="44"/>
      <c r="B706" s="44"/>
      <c r="C706" s="44"/>
      <c r="D706" s="44"/>
      <c r="E706" s="44"/>
      <c r="F706" s="44"/>
      <c r="G706" s="44"/>
      <c r="H706" s="44"/>
      <c r="I706" s="44"/>
      <c r="J706" s="44"/>
      <c r="K706" s="44"/>
      <c r="L706" s="44"/>
      <c r="M706" s="44"/>
      <c r="N706" s="44"/>
      <c r="O706" s="44"/>
    </row>
    <row r="707" spans="1:15" ht="17.25" customHeight="1">
      <c r="A707" s="44"/>
      <c r="B707" s="44"/>
      <c r="C707" s="44"/>
      <c r="D707" s="44"/>
      <c r="E707" s="44"/>
      <c r="F707" s="44"/>
      <c r="G707" s="44"/>
      <c r="H707" s="44"/>
      <c r="I707" s="44"/>
      <c r="J707" s="44"/>
      <c r="K707" s="44"/>
      <c r="L707" s="44"/>
      <c r="M707" s="44"/>
      <c r="N707" s="44"/>
      <c r="O707" s="44"/>
    </row>
    <row r="708" spans="1:15" ht="17.25" customHeight="1">
      <c r="A708" s="44"/>
      <c r="B708" s="44"/>
      <c r="C708" s="44"/>
      <c r="D708" s="44"/>
      <c r="E708" s="44"/>
      <c r="F708" s="44"/>
      <c r="G708" s="44"/>
      <c r="H708" s="44"/>
      <c r="I708" s="44"/>
      <c r="J708" s="44"/>
      <c r="K708" s="44"/>
      <c r="L708" s="44"/>
      <c r="M708" s="44"/>
      <c r="N708" s="44"/>
      <c r="O708" s="44"/>
    </row>
    <row r="709" spans="1:15" ht="17.25" customHeight="1">
      <c r="A709" s="44"/>
      <c r="B709" s="44"/>
      <c r="C709" s="44"/>
      <c r="D709" s="44"/>
      <c r="E709" s="44"/>
      <c r="F709" s="44"/>
      <c r="G709" s="44"/>
      <c r="H709" s="44"/>
      <c r="I709" s="44"/>
      <c r="J709" s="44"/>
      <c r="K709" s="44"/>
      <c r="L709" s="44"/>
      <c r="M709" s="44"/>
      <c r="N709" s="44"/>
      <c r="O709" s="44"/>
    </row>
    <row r="710" spans="1:15" ht="17.25" customHeight="1">
      <c r="A710" s="44"/>
      <c r="B710" s="44"/>
      <c r="C710" s="44"/>
      <c r="D710" s="44"/>
      <c r="E710" s="44"/>
      <c r="F710" s="44"/>
      <c r="G710" s="44"/>
      <c r="H710" s="44"/>
      <c r="I710" s="44"/>
      <c r="J710" s="44"/>
      <c r="K710" s="44"/>
      <c r="L710" s="44"/>
      <c r="M710" s="44"/>
      <c r="N710" s="44"/>
      <c r="O710" s="44"/>
    </row>
    <row r="711" spans="1:15" ht="17.25" customHeight="1">
      <c r="A711" s="44"/>
      <c r="B711" s="44"/>
      <c r="C711" s="44"/>
      <c r="D711" s="44"/>
      <c r="E711" s="44"/>
      <c r="F711" s="44"/>
      <c r="G711" s="44"/>
      <c r="H711" s="44"/>
      <c r="I711" s="44"/>
      <c r="J711" s="44"/>
      <c r="K711" s="44"/>
      <c r="L711" s="44"/>
      <c r="M711" s="44"/>
      <c r="N711" s="44"/>
      <c r="O711" s="44"/>
    </row>
    <row r="712" spans="1:15" ht="17.25" customHeight="1">
      <c r="A712" s="44"/>
      <c r="B712" s="44"/>
      <c r="C712" s="44"/>
      <c r="D712" s="44"/>
      <c r="E712" s="44"/>
      <c r="F712" s="44"/>
      <c r="G712" s="44"/>
      <c r="H712" s="44"/>
      <c r="I712" s="44"/>
      <c r="J712" s="44"/>
      <c r="K712" s="44"/>
      <c r="L712" s="44"/>
      <c r="M712" s="44"/>
      <c r="N712" s="44"/>
      <c r="O712" s="44"/>
    </row>
    <row r="713" spans="1:15" ht="17.25" customHeight="1">
      <c r="A713" s="44"/>
      <c r="B713" s="44"/>
      <c r="C713" s="44"/>
      <c r="D713" s="44"/>
      <c r="E713" s="44"/>
      <c r="F713" s="44"/>
      <c r="G713" s="44"/>
      <c r="H713" s="44"/>
      <c r="I713" s="44"/>
      <c r="J713" s="44"/>
      <c r="K713" s="44"/>
      <c r="L713" s="44"/>
      <c r="M713" s="44"/>
      <c r="N713" s="44"/>
      <c r="O713" s="44"/>
    </row>
    <row r="714" spans="1:15" ht="17.25" customHeight="1">
      <c r="A714" s="44"/>
      <c r="B714" s="44"/>
      <c r="C714" s="44"/>
      <c r="D714" s="44"/>
      <c r="E714" s="44"/>
      <c r="F714" s="44"/>
      <c r="G714" s="44"/>
      <c r="H714" s="44"/>
      <c r="I714" s="44"/>
      <c r="J714" s="44"/>
      <c r="K714" s="44"/>
      <c r="L714" s="44"/>
      <c r="M714" s="44"/>
      <c r="N714" s="44"/>
      <c r="O714" s="44"/>
    </row>
    <row r="715" spans="1:15" ht="17.25" customHeight="1">
      <c r="A715" s="44"/>
      <c r="B715" s="44"/>
      <c r="C715" s="44"/>
      <c r="D715" s="44"/>
      <c r="E715" s="44"/>
      <c r="F715" s="44"/>
      <c r="G715" s="44"/>
      <c r="H715" s="44"/>
      <c r="I715" s="44"/>
      <c r="J715" s="44"/>
      <c r="K715" s="44"/>
      <c r="L715" s="44"/>
      <c r="M715" s="44"/>
      <c r="N715" s="44"/>
      <c r="O715" s="44"/>
    </row>
    <row r="716" spans="1:15" ht="17.25" customHeight="1">
      <c r="A716" s="44"/>
      <c r="B716" s="44"/>
      <c r="C716" s="44"/>
      <c r="D716" s="44"/>
      <c r="E716" s="44"/>
      <c r="F716" s="44"/>
      <c r="G716" s="44"/>
      <c r="H716" s="44"/>
      <c r="I716" s="44"/>
      <c r="J716" s="44"/>
      <c r="K716" s="44"/>
      <c r="L716" s="44"/>
      <c r="M716" s="44"/>
      <c r="N716" s="44"/>
      <c r="O716" s="44"/>
    </row>
    <row r="717" spans="1:15" ht="17.25" customHeight="1">
      <c r="A717" s="44"/>
      <c r="B717" s="44"/>
      <c r="C717" s="44"/>
      <c r="D717" s="44"/>
      <c r="E717" s="44"/>
      <c r="F717" s="44"/>
      <c r="G717" s="44"/>
      <c r="H717" s="44"/>
      <c r="I717" s="44"/>
      <c r="J717" s="44"/>
      <c r="K717" s="44"/>
      <c r="L717" s="44"/>
      <c r="M717" s="44"/>
      <c r="N717" s="44"/>
      <c r="O717" s="44"/>
    </row>
    <row r="718" spans="1:15" ht="17.25" customHeight="1">
      <c r="A718" s="44"/>
      <c r="B718" s="44"/>
      <c r="C718" s="44"/>
      <c r="D718" s="44"/>
      <c r="E718" s="44"/>
      <c r="F718" s="44"/>
      <c r="G718" s="44"/>
      <c r="H718" s="44"/>
      <c r="I718" s="44"/>
      <c r="J718" s="44"/>
      <c r="K718" s="44"/>
      <c r="L718" s="44"/>
      <c r="M718" s="44"/>
      <c r="N718" s="44"/>
      <c r="O718" s="44"/>
    </row>
    <row r="719" spans="1:15" ht="17.25" customHeight="1">
      <c r="A719" s="44"/>
      <c r="B719" s="44"/>
      <c r="C719" s="44"/>
      <c r="D719" s="44"/>
      <c r="E719" s="44"/>
      <c r="F719" s="44"/>
      <c r="G719" s="44"/>
      <c r="H719" s="44"/>
      <c r="I719" s="44"/>
      <c r="J719" s="44"/>
      <c r="K719" s="44"/>
      <c r="L719" s="44"/>
      <c r="M719" s="44"/>
      <c r="N719" s="44"/>
      <c r="O719" s="44"/>
    </row>
    <row r="720" spans="1:15" ht="17.25" customHeight="1">
      <c r="A720" s="44"/>
      <c r="B720" s="44"/>
      <c r="C720" s="44"/>
      <c r="D720" s="44"/>
      <c r="E720" s="44"/>
      <c r="F720" s="44"/>
      <c r="G720" s="44"/>
      <c r="H720" s="44"/>
      <c r="I720" s="44"/>
      <c r="J720" s="44"/>
      <c r="K720" s="44"/>
      <c r="L720" s="44"/>
      <c r="M720" s="44"/>
      <c r="N720" s="44"/>
      <c r="O720" s="44"/>
    </row>
    <row r="721" spans="1:15" ht="17.25" customHeight="1">
      <c r="A721" s="44"/>
      <c r="B721" s="44"/>
      <c r="C721" s="44"/>
      <c r="D721" s="44"/>
      <c r="E721" s="44"/>
      <c r="F721" s="44"/>
      <c r="G721" s="44"/>
      <c r="H721" s="44"/>
      <c r="I721" s="44"/>
      <c r="J721" s="44"/>
      <c r="K721" s="44"/>
      <c r="L721" s="44"/>
      <c r="M721" s="44"/>
      <c r="N721" s="44"/>
      <c r="O721" s="44"/>
    </row>
    <row r="722" spans="1:15" ht="17.25" customHeight="1">
      <c r="A722" s="44"/>
      <c r="B722" s="44"/>
      <c r="C722" s="44"/>
      <c r="D722" s="44"/>
      <c r="E722" s="44"/>
      <c r="F722" s="44"/>
      <c r="G722" s="44"/>
      <c r="H722" s="44"/>
      <c r="I722" s="44"/>
      <c r="J722" s="44"/>
      <c r="K722" s="44"/>
      <c r="L722" s="44"/>
      <c r="M722" s="44"/>
      <c r="N722" s="44"/>
      <c r="O722" s="44"/>
    </row>
    <row r="723" spans="1:15" ht="17.25" customHeight="1">
      <c r="A723" s="44"/>
      <c r="B723" s="44"/>
      <c r="C723" s="44"/>
      <c r="D723" s="44"/>
      <c r="E723" s="44"/>
      <c r="F723" s="44"/>
      <c r="G723" s="44"/>
      <c r="H723" s="44"/>
      <c r="I723" s="44"/>
      <c r="J723" s="44"/>
      <c r="K723" s="44"/>
      <c r="L723" s="44"/>
      <c r="M723" s="44"/>
      <c r="N723" s="44"/>
      <c r="O723" s="44"/>
    </row>
    <row r="724" spans="1:15" ht="17.25" customHeight="1">
      <c r="A724" s="44"/>
      <c r="B724" s="44"/>
      <c r="C724" s="44"/>
      <c r="D724" s="44"/>
      <c r="E724" s="44"/>
      <c r="F724" s="44"/>
      <c r="G724" s="44"/>
      <c r="H724" s="44"/>
      <c r="I724" s="44"/>
      <c r="J724" s="44"/>
      <c r="K724" s="44"/>
      <c r="L724" s="44"/>
      <c r="M724" s="44"/>
      <c r="N724" s="44"/>
      <c r="O724" s="44"/>
    </row>
    <row r="725" spans="1:15" ht="17.25" customHeight="1">
      <c r="A725" s="44"/>
      <c r="B725" s="44"/>
      <c r="C725" s="44"/>
      <c r="D725" s="44"/>
      <c r="E725" s="44"/>
      <c r="F725" s="44"/>
      <c r="G725" s="44"/>
      <c r="H725" s="44"/>
      <c r="I725" s="44"/>
      <c r="J725" s="44"/>
      <c r="K725" s="44"/>
      <c r="L725" s="44"/>
      <c r="M725" s="44"/>
      <c r="N725" s="44"/>
      <c r="O725" s="44"/>
    </row>
    <row r="726" spans="1:15" ht="17.25" customHeight="1">
      <c r="A726" s="44"/>
      <c r="B726" s="44"/>
      <c r="C726" s="44"/>
      <c r="D726" s="44"/>
      <c r="E726" s="44"/>
      <c r="F726" s="44"/>
      <c r="G726" s="44"/>
      <c r="H726" s="44"/>
      <c r="I726" s="44"/>
      <c r="J726" s="44"/>
      <c r="K726" s="44"/>
      <c r="L726" s="44"/>
      <c r="M726" s="44"/>
      <c r="N726" s="44"/>
      <c r="O726" s="44"/>
    </row>
    <row r="727" spans="1:15" ht="17.25" customHeight="1">
      <c r="A727" s="44"/>
      <c r="B727" s="44"/>
      <c r="C727" s="44"/>
      <c r="D727" s="44"/>
      <c r="E727" s="44"/>
      <c r="F727" s="44"/>
      <c r="G727" s="44"/>
      <c r="H727" s="44"/>
      <c r="I727" s="44"/>
      <c r="J727" s="44"/>
      <c r="K727" s="44"/>
      <c r="L727" s="44"/>
      <c r="M727" s="44"/>
      <c r="N727" s="44"/>
      <c r="O727" s="44"/>
    </row>
    <row r="728" spans="1:15" ht="17.25" customHeight="1">
      <c r="A728" s="44"/>
      <c r="B728" s="44"/>
      <c r="C728" s="44"/>
      <c r="D728" s="44"/>
      <c r="E728" s="44"/>
      <c r="F728" s="44"/>
      <c r="G728" s="44"/>
      <c r="H728" s="44"/>
      <c r="I728" s="44"/>
      <c r="J728" s="44"/>
      <c r="K728" s="44"/>
      <c r="L728" s="44"/>
      <c r="M728" s="44"/>
      <c r="N728" s="44"/>
      <c r="O728" s="44"/>
    </row>
    <row r="729" spans="1:15" ht="17.25" customHeight="1">
      <c r="A729" s="44"/>
      <c r="B729" s="44"/>
      <c r="C729" s="44"/>
      <c r="D729" s="44"/>
      <c r="E729" s="44"/>
      <c r="F729" s="44"/>
      <c r="G729" s="44"/>
      <c r="H729" s="44"/>
      <c r="I729" s="44"/>
      <c r="J729" s="44"/>
      <c r="K729" s="44"/>
      <c r="L729" s="44"/>
      <c r="M729" s="44"/>
      <c r="N729" s="44"/>
      <c r="O729" s="44"/>
    </row>
    <row r="730" spans="1:15" ht="17.25" customHeight="1">
      <c r="A730" s="44"/>
      <c r="B730" s="44"/>
      <c r="C730" s="44"/>
      <c r="D730" s="44"/>
      <c r="E730" s="44"/>
      <c r="F730" s="44"/>
      <c r="G730" s="44"/>
      <c r="H730" s="44"/>
      <c r="I730" s="44"/>
      <c r="J730" s="44"/>
      <c r="K730" s="44"/>
      <c r="L730" s="44"/>
      <c r="M730" s="44"/>
      <c r="N730" s="44"/>
      <c r="O730" s="44"/>
    </row>
    <row r="731" spans="1:15" ht="17.25" customHeight="1">
      <c r="A731" s="44"/>
      <c r="B731" s="44"/>
      <c r="C731" s="44"/>
      <c r="D731" s="44"/>
      <c r="E731" s="44"/>
      <c r="F731" s="44"/>
      <c r="G731" s="44"/>
      <c r="H731" s="44"/>
      <c r="I731" s="44"/>
      <c r="J731" s="44"/>
      <c r="K731" s="44"/>
      <c r="L731" s="44"/>
      <c r="M731" s="44"/>
      <c r="N731" s="44"/>
      <c r="O731" s="44"/>
    </row>
    <row r="732" spans="1:15" ht="17.25" customHeight="1">
      <c r="A732" s="44"/>
      <c r="B732" s="44"/>
      <c r="C732" s="44"/>
      <c r="D732" s="44"/>
      <c r="E732" s="44"/>
      <c r="F732" s="44"/>
      <c r="G732" s="44"/>
      <c r="H732" s="44"/>
      <c r="I732" s="44"/>
      <c r="J732" s="44"/>
      <c r="K732" s="44"/>
      <c r="L732" s="44"/>
      <c r="M732" s="44"/>
      <c r="N732" s="44"/>
      <c r="O732" s="44"/>
    </row>
    <row r="733" spans="1:15" ht="17.25" customHeight="1">
      <c r="A733" s="44"/>
      <c r="B733" s="44"/>
      <c r="C733" s="44"/>
      <c r="D733" s="44"/>
      <c r="E733" s="44"/>
      <c r="F733" s="44"/>
      <c r="G733" s="44"/>
      <c r="H733" s="44"/>
      <c r="I733" s="44"/>
      <c r="J733" s="44"/>
      <c r="K733" s="44"/>
      <c r="L733" s="44"/>
      <c r="M733" s="44"/>
      <c r="N733" s="44"/>
      <c r="O733" s="44"/>
    </row>
    <row r="734" spans="1:15" ht="17.25" customHeight="1">
      <c r="A734" s="44"/>
      <c r="B734" s="44"/>
      <c r="C734" s="44"/>
      <c r="D734" s="44"/>
      <c r="E734" s="44"/>
      <c r="F734" s="44"/>
      <c r="G734" s="44"/>
      <c r="H734" s="44"/>
      <c r="I734" s="44"/>
      <c r="J734" s="44"/>
      <c r="K734" s="44"/>
      <c r="L734" s="44"/>
      <c r="M734" s="44"/>
      <c r="N734" s="44"/>
      <c r="O734" s="44"/>
    </row>
    <row r="735" spans="1:15" ht="17.25" customHeight="1">
      <c r="A735" s="44"/>
      <c r="B735" s="44"/>
      <c r="C735" s="44"/>
      <c r="D735" s="44"/>
      <c r="E735" s="44"/>
      <c r="F735" s="44"/>
      <c r="G735" s="44"/>
      <c r="H735" s="44"/>
      <c r="I735" s="44"/>
      <c r="J735" s="44"/>
      <c r="K735" s="44"/>
      <c r="L735" s="44"/>
      <c r="M735" s="44"/>
      <c r="N735" s="44"/>
      <c r="O735" s="44"/>
    </row>
    <row r="736" spans="1:15" ht="17.25" customHeight="1">
      <c r="A736" s="44"/>
      <c r="B736" s="44"/>
      <c r="C736" s="44"/>
      <c r="D736" s="44"/>
      <c r="E736" s="44"/>
      <c r="F736" s="44"/>
      <c r="G736" s="44"/>
      <c r="H736" s="44"/>
      <c r="I736" s="44"/>
      <c r="J736" s="44"/>
      <c r="K736" s="44"/>
      <c r="L736" s="44"/>
      <c r="M736" s="44"/>
      <c r="N736" s="44"/>
      <c r="O736" s="44"/>
    </row>
    <row r="737" spans="1:15" ht="17.25" customHeight="1">
      <c r="A737" s="44"/>
      <c r="B737" s="44"/>
      <c r="C737" s="44"/>
      <c r="D737" s="44"/>
      <c r="E737" s="44"/>
      <c r="F737" s="44"/>
      <c r="G737" s="44"/>
      <c r="H737" s="44"/>
      <c r="I737" s="44"/>
      <c r="J737" s="44"/>
      <c r="K737" s="44"/>
      <c r="L737" s="44"/>
      <c r="M737" s="44"/>
      <c r="N737" s="44"/>
      <c r="O737" s="44"/>
    </row>
    <row r="738" spans="1:15" ht="17.25" customHeight="1">
      <c r="A738" s="44"/>
      <c r="B738" s="44"/>
      <c r="C738" s="44"/>
      <c r="D738" s="44"/>
      <c r="E738" s="44"/>
      <c r="F738" s="44"/>
      <c r="G738" s="44"/>
      <c r="H738" s="44"/>
      <c r="I738" s="44"/>
      <c r="J738" s="44"/>
      <c r="K738" s="44"/>
      <c r="L738" s="44"/>
      <c r="M738" s="44"/>
      <c r="N738" s="44"/>
      <c r="O738" s="44"/>
    </row>
    <row r="739" spans="1:15" ht="17.25" customHeight="1">
      <c r="A739" s="44"/>
      <c r="B739" s="44"/>
      <c r="C739" s="44"/>
      <c r="D739" s="44"/>
      <c r="E739" s="44"/>
      <c r="F739" s="44"/>
      <c r="G739" s="44"/>
      <c r="H739" s="44"/>
      <c r="I739" s="44"/>
      <c r="J739" s="44"/>
      <c r="K739" s="44"/>
      <c r="L739" s="44"/>
      <c r="M739" s="44"/>
      <c r="N739" s="44"/>
      <c r="O739" s="44"/>
    </row>
    <row r="740" spans="1:15" ht="17.25" customHeight="1">
      <c r="A740" s="44"/>
      <c r="B740" s="44"/>
      <c r="C740" s="44"/>
      <c r="D740" s="44"/>
      <c r="E740" s="44"/>
      <c r="F740" s="44"/>
      <c r="G740" s="44"/>
      <c r="H740" s="44"/>
      <c r="I740" s="44"/>
      <c r="J740" s="44"/>
      <c r="K740" s="44"/>
      <c r="L740" s="44"/>
      <c r="M740" s="44"/>
      <c r="N740" s="44"/>
      <c r="O740" s="44"/>
    </row>
    <row r="741" spans="1:15" ht="17.25" customHeight="1">
      <c r="A741" s="44"/>
      <c r="B741" s="44"/>
      <c r="C741" s="44"/>
      <c r="D741" s="44"/>
      <c r="E741" s="44"/>
      <c r="F741" s="44"/>
      <c r="G741" s="44"/>
      <c r="H741" s="44"/>
      <c r="I741" s="44"/>
      <c r="J741" s="44"/>
      <c r="K741" s="44"/>
      <c r="L741" s="44"/>
      <c r="M741" s="44"/>
      <c r="N741" s="44"/>
      <c r="O741" s="44"/>
    </row>
    <row r="742" spans="1:15" ht="17.25" customHeight="1">
      <c r="A742" s="44"/>
      <c r="B742" s="44"/>
      <c r="C742" s="44"/>
      <c r="D742" s="44"/>
      <c r="E742" s="44"/>
      <c r="F742" s="44"/>
      <c r="G742" s="44"/>
      <c r="H742" s="44"/>
      <c r="I742" s="44"/>
      <c r="J742" s="44"/>
      <c r="K742" s="44"/>
      <c r="L742" s="44"/>
      <c r="M742" s="44"/>
      <c r="N742" s="44"/>
      <c r="O742" s="44"/>
    </row>
    <row r="743" spans="1:15" ht="17.25" customHeight="1">
      <c r="A743" s="44"/>
      <c r="B743" s="44"/>
      <c r="C743" s="44"/>
      <c r="D743" s="44"/>
      <c r="E743" s="44"/>
      <c r="F743" s="44"/>
      <c r="G743" s="44"/>
      <c r="H743" s="44"/>
      <c r="I743" s="44"/>
      <c r="J743" s="44"/>
      <c r="K743" s="44"/>
      <c r="L743" s="44"/>
      <c r="M743" s="44"/>
      <c r="N743" s="44"/>
      <c r="O743" s="44"/>
    </row>
    <row r="744" spans="1:15" ht="17.25" customHeight="1">
      <c r="A744" s="44"/>
      <c r="B744" s="44"/>
      <c r="C744" s="44"/>
      <c r="D744" s="44"/>
      <c r="E744" s="44"/>
      <c r="F744" s="44"/>
      <c r="G744" s="44"/>
      <c r="H744" s="44"/>
      <c r="I744" s="44"/>
      <c r="J744" s="44"/>
      <c r="K744" s="44"/>
      <c r="L744" s="44"/>
      <c r="M744" s="44"/>
      <c r="N744" s="44"/>
      <c r="O744" s="44"/>
    </row>
    <row r="745" spans="1:15" ht="17.25" customHeight="1">
      <c r="A745" s="44"/>
      <c r="B745" s="44"/>
      <c r="C745" s="44"/>
      <c r="D745" s="44"/>
      <c r="E745" s="44"/>
      <c r="F745" s="44"/>
      <c r="G745" s="44"/>
      <c r="H745" s="44"/>
      <c r="I745" s="44"/>
      <c r="J745" s="44"/>
      <c r="K745" s="44"/>
      <c r="L745" s="44"/>
      <c r="M745" s="44"/>
      <c r="N745" s="44"/>
      <c r="O745" s="44"/>
    </row>
    <row r="746" spans="1:15" ht="17.25" customHeight="1">
      <c r="A746" s="44"/>
      <c r="B746" s="44"/>
      <c r="C746" s="44"/>
      <c r="D746" s="44"/>
      <c r="E746" s="44"/>
      <c r="F746" s="44"/>
      <c r="G746" s="44"/>
      <c r="H746" s="44"/>
      <c r="I746" s="44"/>
      <c r="J746" s="44"/>
      <c r="K746" s="44"/>
      <c r="L746" s="44"/>
      <c r="M746" s="44"/>
      <c r="N746" s="44"/>
      <c r="O746" s="44"/>
    </row>
    <row r="747" spans="1:15" ht="17.25" customHeight="1">
      <c r="A747" s="44"/>
      <c r="B747" s="44"/>
      <c r="C747" s="44"/>
      <c r="D747" s="44"/>
      <c r="E747" s="44"/>
      <c r="F747" s="44"/>
      <c r="G747" s="44"/>
      <c r="H747" s="44"/>
      <c r="I747" s="44"/>
      <c r="J747" s="44"/>
      <c r="K747" s="44"/>
      <c r="L747" s="44"/>
      <c r="M747" s="44"/>
      <c r="N747" s="44"/>
      <c r="O747" s="44"/>
    </row>
    <row r="748" spans="1:15" ht="17.25" customHeight="1">
      <c r="A748" s="44"/>
      <c r="B748" s="44"/>
      <c r="C748" s="44"/>
      <c r="D748" s="44"/>
      <c r="E748" s="44"/>
      <c r="F748" s="44"/>
      <c r="G748" s="44"/>
      <c r="H748" s="44"/>
      <c r="I748" s="44"/>
      <c r="J748" s="44"/>
      <c r="K748" s="44"/>
      <c r="L748" s="44"/>
      <c r="M748" s="44"/>
      <c r="N748" s="44"/>
      <c r="O748" s="44"/>
    </row>
    <row r="749" spans="1:15" ht="17.25" customHeight="1">
      <c r="A749" s="44"/>
      <c r="B749" s="44"/>
      <c r="C749" s="44"/>
      <c r="D749" s="44"/>
      <c r="E749" s="44"/>
      <c r="F749" s="44"/>
      <c r="G749" s="44"/>
      <c r="H749" s="44"/>
      <c r="I749" s="44"/>
      <c r="J749" s="44"/>
      <c r="K749" s="44"/>
      <c r="L749" s="44"/>
      <c r="M749" s="44"/>
      <c r="N749" s="44"/>
      <c r="O749" s="44"/>
    </row>
    <row r="750" spans="1:15" ht="17.25" customHeight="1">
      <c r="A750" s="44"/>
      <c r="B750" s="44"/>
      <c r="C750" s="44"/>
      <c r="D750" s="44"/>
      <c r="E750" s="44"/>
      <c r="F750" s="44"/>
      <c r="G750" s="44"/>
      <c r="H750" s="44"/>
      <c r="I750" s="44"/>
      <c r="J750" s="44"/>
      <c r="K750" s="44"/>
      <c r="L750" s="44"/>
      <c r="M750" s="44"/>
      <c r="N750" s="44"/>
      <c r="O750" s="44"/>
    </row>
    <row r="751" spans="1:15" ht="17.25" customHeight="1">
      <c r="A751" s="44"/>
      <c r="B751" s="44"/>
      <c r="C751" s="44"/>
      <c r="D751" s="44"/>
      <c r="E751" s="44"/>
      <c r="F751" s="44"/>
      <c r="G751" s="44"/>
      <c r="H751" s="44"/>
      <c r="I751" s="44"/>
      <c r="J751" s="44"/>
      <c r="K751" s="44"/>
      <c r="L751" s="44"/>
      <c r="M751" s="44"/>
      <c r="N751" s="44"/>
      <c r="O751" s="44"/>
    </row>
    <row r="752" spans="1:15" ht="17.25" customHeight="1">
      <c r="A752" s="44"/>
      <c r="B752" s="44"/>
      <c r="C752" s="44"/>
      <c r="D752" s="44"/>
      <c r="E752" s="44"/>
      <c r="F752" s="44"/>
      <c r="G752" s="44"/>
      <c r="H752" s="44"/>
      <c r="I752" s="44"/>
      <c r="J752" s="44"/>
      <c r="K752" s="44"/>
      <c r="L752" s="44"/>
      <c r="M752" s="44"/>
      <c r="N752" s="44"/>
      <c r="O752" s="44"/>
    </row>
    <row r="753" spans="1:15" ht="17.25" customHeight="1">
      <c r="A753" s="44"/>
      <c r="B753" s="44"/>
      <c r="C753" s="44"/>
      <c r="D753" s="44"/>
      <c r="E753" s="44"/>
      <c r="F753" s="44"/>
      <c r="G753" s="44"/>
      <c r="H753" s="44"/>
      <c r="I753" s="44"/>
      <c r="J753" s="44"/>
      <c r="K753" s="44"/>
      <c r="L753" s="44"/>
      <c r="M753" s="44"/>
      <c r="N753" s="44"/>
      <c r="O753" s="44"/>
    </row>
    <row r="754" spans="1:15" ht="17.25" customHeight="1">
      <c r="A754" s="44"/>
      <c r="B754" s="44"/>
      <c r="C754" s="44"/>
      <c r="D754" s="44"/>
      <c r="E754" s="44"/>
      <c r="F754" s="44"/>
      <c r="G754" s="44"/>
      <c r="H754" s="44"/>
      <c r="I754" s="44"/>
      <c r="J754" s="44"/>
      <c r="K754" s="44"/>
      <c r="L754" s="44"/>
      <c r="M754" s="44"/>
      <c r="N754" s="44"/>
      <c r="O754" s="44"/>
    </row>
    <row r="755" spans="1:15" ht="17.25" customHeight="1">
      <c r="A755" s="44"/>
      <c r="B755" s="44"/>
      <c r="C755" s="44"/>
      <c r="D755" s="44"/>
      <c r="E755" s="44"/>
      <c r="F755" s="44"/>
      <c r="G755" s="44"/>
      <c r="H755" s="44"/>
      <c r="I755" s="44"/>
      <c r="J755" s="44"/>
      <c r="K755" s="44"/>
      <c r="L755" s="44"/>
      <c r="M755" s="44"/>
      <c r="N755" s="44"/>
      <c r="O755" s="44"/>
    </row>
    <row r="756" spans="1:15" ht="17.25" customHeight="1">
      <c r="A756" s="44"/>
      <c r="B756" s="44"/>
      <c r="C756" s="44"/>
      <c r="D756" s="44"/>
      <c r="E756" s="44"/>
      <c r="F756" s="44"/>
      <c r="G756" s="44"/>
      <c r="H756" s="44"/>
      <c r="I756" s="44"/>
      <c r="J756" s="44"/>
      <c r="K756" s="44"/>
      <c r="L756" s="44"/>
      <c r="M756" s="44"/>
      <c r="N756" s="44"/>
      <c r="O756" s="44"/>
    </row>
    <row r="757" spans="1:15" ht="17.25" customHeight="1">
      <c r="A757" s="44"/>
      <c r="B757" s="44"/>
      <c r="C757" s="44"/>
      <c r="D757" s="44"/>
      <c r="E757" s="44"/>
      <c r="F757" s="44"/>
      <c r="G757" s="44"/>
      <c r="H757" s="44"/>
      <c r="I757" s="44"/>
      <c r="J757" s="44"/>
      <c r="K757" s="44"/>
      <c r="L757" s="44"/>
      <c r="M757" s="44"/>
      <c r="N757" s="44"/>
      <c r="O757" s="44"/>
    </row>
    <row r="758" spans="1:15" ht="17.25" customHeight="1">
      <c r="A758" s="44"/>
      <c r="B758" s="44"/>
      <c r="C758" s="44"/>
      <c r="D758" s="44"/>
      <c r="E758" s="44"/>
      <c r="F758" s="44"/>
      <c r="G758" s="44"/>
      <c r="H758" s="44"/>
      <c r="I758" s="44"/>
      <c r="J758" s="44"/>
      <c r="K758" s="44"/>
      <c r="L758" s="44"/>
      <c r="M758" s="44"/>
      <c r="N758" s="44"/>
      <c r="O758" s="44"/>
    </row>
    <row r="759" spans="1:15" ht="17.25" customHeight="1">
      <c r="A759" s="44"/>
      <c r="B759" s="44"/>
      <c r="C759" s="44"/>
      <c r="D759" s="44"/>
      <c r="E759" s="44"/>
      <c r="F759" s="44"/>
      <c r="G759" s="44"/>
      <c r="H759" s="44"/>
      <c r="I759" s="44"/>
      <c r="J759" s="44"/>
      <c r="K759" s="44"/>
      <c r="L759" s="44"/>
      <c r="M759" s="44"/>
      <c r="N759" s="44"/>
      <c r="O759" s="44"/>
    </row>
    <row r="760" spans="1:15" ht="17.25" customHeight="1">
      <c r="A760" s="44"/>
      <c r="B760" s="44"/>
      <c r="C760" s="44"/>
      <c r="D760" s="44"/>
      <c r="E760" s="44"/>
      <c r="F760" s="44"/>
      <c r="G760" s="44"/>
      <c r="H760" s="44"/>
      <c r="I760" s="44"/>
      <c r="J760" s="44"/>
      <c r="K760" s="44"/>
      <c r="L760" s="44"/>
      <c r="M760" s="44"/>
      <c r="N760" s="44"/>
      <c r="O760" s="44"/>
    </row>
    <row r="761" spans="1:15" ht="17.25" customHeight="1">
      <c r="A761" s="44"/>
      <c r="B761" s="44"/>
      <c r="C761" s="44"/>
      <c r="D761" s="44"/>
      <c r="E761" s="44"/>
      <c r="F761" s="44"/>
      <c r="G761" s="44"/>
      <c r="H761" s="44"/>
      <c r="I761" s="44"/>
      <c r="J761" s="44"/>
      <c r="K761" s="44"/>
      <c r="L761" s="44"/>
      <c r="M761" s="44"/>
      <c r="N761" s="44"/>
      <c r="O761" s="44"/>
    </row>
    <row r="762" spans="1:15" ht="17.25" customHeight="1">
      <c r="A762" s="44"/>
      <c r="B762" s="44"/>
      <c r="C762" s="44"/>
      <c r="D762" s="44"/>
      <c r="E762" s="44"/>
      <c r="F762" s="44"/>
      <c r="G762" s="44"/>
      <c r="H762" s="44"/>
      <c r="I762" s="44"/>
      <c r="J762" s="44"/>
      <c r="K762" s="44"/>
      <c r="L762" s="44"/>
      <c r="M762" s="44"/>
      <c r="N762" s="44"/>
      <c r="O762" s="44"/>
    </row>
    <row r="763" spans="1:15" ht="17.25" customHeight="1">
      <c r="A763" s="44"/>
      <c r="B763" s="44"/>
      <c r="C763" s="44"/>
      <c r="D763" s="44"/>
      <c r="E763" s="44"/>
      <c r="F763" s="44"/>
      <c r="G763" s="44"/>
      <c r="H763" s="44"/>
      <c r="I763" s="44"/>
      <c r="J763" s="44"/>
      <c r="K763" s="44"/>
      <c r="L763" s="44"/>
      <c r="M763" s="44"/>
      <c r="N763" s="44"/>
      <c r="O763" s="44"/>
    </row>
    <row r="764" spans="1:15" ht="17.25" customHeight="1">
      <c r="A764" s="44"/>
      <c r="B764" s="44"/>
      <c r="C764" s="44"/>
      <c r="D764" s="44"/>
      <c r="E764" s="44"/>
      <c r="F764" s="44"/>
      <c r="G764" s="44"/>
      <c r="H764" s="44"/>
      <c r="I764" s="44"/>
      <c r="J764" s="44"/>
      <c r="K764" s="44"/>
      <c r="L764" s="44"/>
      <c r="M764" s="44"/>
      <c r="N764" s="44"/>
      <c r="O764" s="44"/>
    </row>
    <row r="765" spans="1:15" ht="17.25" customHeight="1">
      <c r="A765" s="44"/>
      <c r="B765" s="44"/>
      <c r="C765" s="44"/>
      <c r="D765" s="44"/>
      <c r="E765" s="44"/>
      <c r="F765" s="44"/>
      <c r="G765" s="44"/>
      <c r="H765" s="44"/>
      <c r="I765" s="44"/>
      <c r="J765" s="44"/>
      <c r="K765" s="44"/>
      <c r="L765" s="44"/>
      <c r="M765" s="44"/>
      <c r="N765" s="44"/>
      <c r="O765" s="44"/>
    </row>
    <row r="766" spans="1:15" ht="17.25" customHeight="1">
      <c r="A766" s="44"/>
      <c r="B766" s="44"/>
      <c r="C766" s="44"/>
      <c r="D766" s="44"/>
      <c r="E766" s="44"/>
      <c r="F766" s="44"/>
      <c r="G766" s="44"/>
      <c r="H766" s="44"/>
      <c r="I766" s="44"/>
      <c r="J766" s="44"/>
      <c r="K766" s="44"/>
      <c r="L766" s="44"/>
      <c r="M766" s="44"/>
      <c r="N766" s="44"/>
      <c r="O766" s="44"/>
    </row>
    <row r="767" spans="1:15" ht="17.25" customHeight="1">
      <c r="A767" s="44"/>
      <c r="B767" s="44"/>
      <c r="C767" s="44"/>
      <c r="D767" s="44"/>
      <c r="E767" s="44"/>
      <c r="F767" s="44"/>
      <c r="G767" s="44"/>
      <c r="H767" s="44"/>
      <c r="I767" s="44"/>
      <c r="J767" s="44"/>
      <c r="K767" s="44"/>
      <c r="L767" s="44"/>
      <c r="M767" s="44"/>
      <c r="N767" s="44"/>
      <c r="O767" s="44"/>
    </row>
    <row r="768" spans="1:15" ht="17.25" customHeight="1">
      <c r="A768" s="44"/>
      <c r="B768" s="44"/>
      <c r="C768" s="44"/>
      <c r="D768" s="44"/>
      <c r="E768" s="44"/>
      <c r="F768" s="44"/>
      <c r="G768" s="44"/>
      <c r="H768" s="44"/>
      <c r="I768" s="44"/>
      <c r="J768" s="44"/>
      <c r="K768" s="44"/>
      <c r="L768" s="44"/>
      <c r="M768" s="44"/>
      <c r="N768" s="44"/>
      <c r="O768" s="44"/>
    </row>
    <row r="769" spans="1:15" ht="17.25" customHeight="1">
      <c r="A769" s="44"/>
      <c r="B769" s="44"/>
      <c r="C769" s="44"/>
      <c r="D769" s="44"/>
      <c r="E769" s="44"/>
      <c r="F769" s="44"/>
      <c r="G769" s="44"/>
      <c r="H769" s="44"/>
      <c r="I769" s="44"/>
      <c r="J769" s="44"/>
      <c r="K769" s="44"/>
      <c r="L769" s="44"/>
      <c r="M769" s="44"/>
      <c r="N769" s="44"/>
      <c r="O769" s="44"/>
    </row>
    <row r="770" spans="1:15" ht="17.25" customHeight="1">
      <c r="A770" s="44"/>
      <c r="B770" s="44"/>
      <c r="C770" s="44"/>
      <c r="D770" s="44"/>
      <c r="E770" s="44"/>
      <c r="F770" s="44"/>
      <c r="G770" s="44"/>
      <c r="H770" s="44"/>
      <c r="I770" s="44"/>
      <c r="J770" s="44"/>
      <c r="K770" s="44"/>
      <c r="L770" s="44"/>
      <c r="M770" s="44"/>
      <c r="N770" s="44"/>
      <c r="O770" s="44"/>
    </row>
    <row r="771" spans="1:15" ht="17.25" customHeight="1">
      <c r="A771" s="44"/>
      <c r="B771" s="44"/>
      <c r="C771" s="44"/>
      <c r="D771" s="44"/>
      <c r="E771" s="44"/>
      <c r="F771" s="44"/>
      <c r="G771" s="44"/>
      <c r="H771" s="44"/>
      <c r="I771" s="44"/>
      <c r="J771" s="44"/>
      <c r="K771" s="44"/>
      <c r="L771" s="44"/>
      <c r="M771" s="44"/>
      <c r="N771" s="44"/>
      <c r="O771" s="44"/>
    </row>
    <row r="772" spans="1:15" ht="17.25" customHeight="1">
      <c r="A772" s="44"/>
      <c r="B772" s="44"/>
      <c r="C772" s="44"/>
      <c r="D772" s="44"/>
      <c r="E772" s="44"/>
      <c r="F772" s="44"/>
      <c r="G772" s="44"/>
      <c r="H772" s="44"/>
      <c r="I772" s="44"/>
      <c r="J772" s="44"/>
      <c r="K772" s="44"/>
      <c r="L772" s="44"/>
      <c r="M772" s="44"/>
      <c r="N772" s="44"/>
      <c r="O772" s="44"/>
    </row>
    <row r="773" spans="1:15" ht="17.25" customHeight="1">
      <c r="A773" s="44"/>
      <c r="B773" s="44"/>
      <c r="C773" s="44"/>
      <c r="D773" s="44"/>
      <c r="E773" s="44"/>
      <c r="F773" s="44"/>
      <c r="G773" s="44"/>
      <c r="H773" s="44"/>
      <c r="I773" s="44"/>
      <c r="J773" s="44"/>
      <c r="K773" s="44"/>
      <c r="L773" s="44"/>
      <c r="M773" s="44"/>
      <c r="N773" s="44"/>
      <c r="O773" s="44"/>
    </row>
    <row r="774" spans="1:15" ht="17.25" customHeight="1">
      <c r="A774" s="44"/>
      <c r="B774" s="44"/>
      <c r="C774" s="44"/>
      <c r="D774" s="44"/>
      <c r="E774" s="44"/>
      <c r="F774" s="44"/>
      <c r="G774" s="44"/>
      <c r="H774" s="44"/>
      <c r="I774" s="44"/>
      <c r="J774" s="44"/>
      <c r="K774" s="44"/>
      <c r="L774" s="44"/>
      <c r="M774" s="44"/>
      <c r="N774" s="44"/>
      <c r="O774" s="44"/>
    </row>
    <row r="775" spans="1:15" ht="17.25" customHeight="1">
      <c r="A775" s="44"/>
      <c r="B775" s="44"/>
      <c r="C775" s="44"/>
      <c r="D775" s="44"/>
      <c r="E775" s="44"/>
      <c r="F775" s="44"/>
      <c r="G775" s="44"/>
      <c r="H775" s="44"/>
      <c r="I775" s="44"/>
      <c r="J775" s="44"/>
      <c r="K775" s="44"/>
      <c r="L775" s="44"/>
      <c r="M775" s="44"/>
      <c r="N775" s="44"/>
      <c r="O775" s="44"/>
    </row>
    <row r="776" spans="1:15" ht="17.25" customHeight="1">
      <c r="A776" s="44"/>
      <c r="B776" s="44"/>
      <c r="C776" s="44"/>
      <c r="D776" s="44"/>
      <c r="E776" s="44"/>
      <c r="F776" s="44"/>
      <c r="G776" s="44"/>
      <c r="H776" s="44"/>
      <c r="I776" s="44"/>
      <c r="J776" s="44"/>
      <c r="K776" s="44"/>
      <c r="L776" s="44"/>
      <c r="M776" s="44"/>
      <c r="N776" s="44"/>
      <c r="O776" s="44"/>
    </row>
    <row r="777" spans="1:15" ht="17.25" customHeight="1">
      <c r="A777" s="44"/>
      <c r="B777" s="44"/>
      <c r="C777" s="44"/>
      <c r="D777" s="44"/>
      <c r="E777" s="44"/>
      <c r="F777" s="44"/>
      <c r="G777" s="44"/>
      <c r="H777" s="44"/>
      <c r="I777" s="44"/>
      <c r="J777" s="44"/>
      <c r="K777" s="44"/>
      <c r="L777" s="44"/>
      <c r="M777" s="44"/>
      <c r="N777" s="44"/>
      <c r="O777" s="44"/>
    </row>
    <row r="778" spans="1:15" ht="17.25" customHeight="1">
      <c r="A778" s="44"/>
      <c r="B778" s="44"/>
      <c r="C778" s="44"/>
      <c r="D778" s="44"/>
      <c r="E778" s="44"/>
      <c r="F778" s="44"/>
      <c r="G778" s="44"/>
      <c r="H778" s="44"/>
      <c r="I778" s="44"/>
      <c r="J778" s="44"/>
      <c r="K778" s="44"/>
      <c r="L778" s="44"/>
      <c r="M778" s="44"/>
      <c r="N778" s="44"/>
      <c r="O778" s="44"/>
    </row>
    <row r="779" spans="1:15" ht="17.25" customHeight="1">
      <c r="A779" s="44"/>
      <c r="B779" s="44"/>
      <c r="C779" s="44"/>
      <c r="D779" s="44"/>
      <c r="E779" s="44"/>
      <c r="F779" s="44"/>
      <c r="G779" s="44"/>
      <c r="H779" s="44"/>
      <c r="I779" s="44"/>
      <c r="J779" s="44"/>
      <c r="K779" s="44"/>
      <c r="L779" s="44"/>
      <c r="M779" s="44"/>
      <c r="N779" s="44"/>
      <c r="O779" s="44"/>
    </row>
    <row r="780" spans="1:15" ht="17.25" customHeight="1">
      <c r="A780" s="44"/>
      <c r="B780" s="44"/>
      <c r="C780" s="44"/>
      <c r="D780" s="44"/>
      <c r="E780" s="44"/>
      <c r="F780" s="44"/>
      <c r="G780" s="44"/>
      <c r="H780" s="44"/>
      <c r="I780" s="44"/>
      <c r="J780" s="44"/>
      <c r="K780" s="44"/>
      <c r="L780" s="44"/>
      <c r="M780" s="44"/>
      <c r="N780" s="44"/>
      <c r="O780" s="44"/>
    </row>
    <row r="781" spans="1:15" ht="17.25" customHeight="1">
      <c r="A781" s="44"/>
      <c r="B781" s="44"/>
      <c r="C781" s="44"/>
      <c r="D781" s="44"/>
      <c r="E781" s="44"/>
      <c r="F781" s="44"/>
      <c r="G781" s="44"/>
      <c r="H781" s="44"/>
      <c r="I781" s="44"/>
      <c r="J781" s="44"/>
      <c r="K781" s="44"/>
      <c r="L781" s="44"/>
      <c r="M781" s="44"/>
      <c r="N781" s="44"/>
      <c r="O781" s="44"/>
    </row>
    <row r="782" spans="1:15" ht="17.25" customHeight="1">
      <c r="A782" s="44"/>
      <c r="B782" s="44"/>
      <c r="C782" s="44"/>
      <c r="D782" s="44"/>
      <c r="E782" s="44"/>
      <c r="F782" s="44"/>
      <c r="G782" s="44"/>
      <c r="H782" s="44"/>
      <c r="I782" s="44"/>
      <c r="J782" s="44"/>
      <c r="K782" s="44"/>
      <c r="L782" s="44"/>
      <c r="M782" s="44"/>
      <c r="N782" s="44"/>
      <c r="O782" s="44"/>
    </row>
    <row r="783" spans="1:15" ht="17.25" customHeight="1">
      <c r="A783" s="44"/>
      <c r="B783" s="44"/>
      <c r="C783" s="44"/>
      <c r="D783" s="44"/>
      <c r="E783" s="44"/>
      <c r="F783" s="44"/>
      <c r="G783" s="44"/>
      <c r="H783" s="44"/>
      <c r="I783" s="44"/>
      <c r="J783" s="44"/>
      <c r="K783" s="44"/>
      <c r="L783" s="44"/>
      <c r="M783" s="44"/>
      <c r="N783" s="44"/>
      <c r="O783" s="44"/>
    </row>
    <row r="784" spans="1:15" ht="17.25" customHeight="1">
      <c r="A784" s="44"/>
      <c r="B784" s="44"/>
      <c r="C784" s="44"/>
      <c r="D784" s="44"/>
      <c r="E784" s="44"/>
      <c r="F784" s="44"/>
      <c r="G784" s="44"/>
      <c r="H784" s="44"/>
      <c r="I784" s="44"/>
      <c r="J784" s="44"/>
      <c r="K784" s="44"/>
      <c r="L784" s="44"/>
      <c r="M784" s="44"/>
      <c r="N784" s="44"/>
      <c r="O784" s="44"/>
    </row>
    <row r="785" spans="1:15" ht="17.25" customHeight="1">
      <c r="A785" s="44"/>
      <c r="B785" s="44"/>
      <c r="C785" s="44"/>
      <c r="D785" s="44"/>
      <c r="E785" s="44"/>
      <c r="F785" s="44"/>
      <c r="G785" s="44"/>
      <c r="H785" s="44"/>
      <c r="I785" s="44"/>
      <c r="J785" s="44"/>
      <c r="K785" s="44"/>
      <c r="L785" s="44"/>
      <c r="M785" s="44"/>
      <c r="N785" s="44"/>
      <c r="O785" s="44"/>
    </row>
    <row r="786" spans="1:15" ht="17.25" customHeight="1">
      <c r="A786" s="44"/>
      <c r="B786" s="44"/>
      <c r="C786" s="44"/>
      <c r="D786" s="44"/>
      <c r="E786" s="44"/>
      <c r="F786" s="44"/>
      <c r="G786" s="44"/>
      <c r="H786" s="44"/>
      <c r="I786" s="44"/>
      <c r="J786" s="44"/>
      <c r="K786" s="44"/>
      <c r="L786" s="44"/>
      <c r="M786" s="44"/>
      <c r="N786" s="44"/>
      <c r="O786" s="44"/>
    </row>
    <row r="787" spans="1:15" ht="17.25" customHeight="1">
      <c r="A787" s="44"/>
      <c r="B787" s="44"/>
      <c r="C787" s="44"/>
      <c r="D787" s="44"/>
      <c r="E787" s="44"/>
      <c r="F787" s="44"/>
      <c r="G787" s="44"/>
      <c r="H787" s="44"/>
      <c r="I787" s="44"/>
      <c r="J787" s="44"/>
      <c r="K787" s="44"/>
      <c r="L787" s="44"/>
      <c r="M787" s="44"/>
      <c r="N787" s="44"/>
      <c r="O787" s="44"/>
    </row>
    <row r="788" spans="1:15" ht="17.25" customHeight="1">
      <c r="A788" s="44"/>
      <c r="B788" s="44"/>
      <c r="C788" s="44"/>
      <c r="D788" s="44"/>
      <c r="E788" s="44"/>
      <c r="F788" s="44"/>
      <c r="G788" s="44"/>
      <c r="H788" s="44"/>
      <c r="I788" s="44"/>
      <c r="J788" s="44"/>
      <c r="K788" s="44"/>
      <c r="L788" s="44"/>
      <c r="M788" s="44"/>
      <c r="N788" s="44"/>
      <c r="O788" s="44"/>
    </row>
    <row r="789" spans="1:15" ht="17.25" customHeight="1">
      <c r="A789" s="44"/>
      <c r="B789" s="44"/>
      <c r="C789" s="44"/>
      <c r="D789" s="44"/>
      <c r="E789" s="44"/>
      <c r="F789" s="44"/>
      <c r="G789" s="44"/>
      <c r="H789" s="44"/>
      <c r="I789" s="44"/>
      <c r="J789" s="44"/>
      <c r="K789" s="44"/>
      <c r="L789" s="44"/>
      <c r="M789" s="44"/>
      <c r="N789" s="44"/>
      <c r="O789" s="44"/>
    </row>
    <row r="790" spans="1:15" ht="17.25" customHeight="1">
      <c r="A790" s="44"/>
      <c r="B790" s="44"/>
      <c r="C790" s="44"/>
      <c r="D790" s="44"/>
      <c r="E790" s="44"/>
      <c r="F790" s="44"/>
      <c r="G790" s="44"/>
      <c r="H790" s="44"/>
      <c r="I790" s="44"/>
      <c r="J790" s="44"/>
      <c r="K790" s="44"/>
      <c r="L790" s="44"/>
      <c r="M790" s="44"/>
      <c r="N790" s="44"/>
      <c r="O790" s="44"/>
    </row>
    <row r="791" spans="1:15" ht="17.25" customHeight="1">
      <c r="A791" s="44"/>
      <c r="B791" s="44"/>
      <c r="C791" s="44"/>
      <c r="D791" s="44"/>
      <c r="E791" s="44"/>
      <c r="F791" s="44"/>
      <c r="G791" s="44"/>
      <c r="H791" s="44"/>
      <c r="I791" s="44"/>
      <c r="J791" s="44"/>
      <c r="K791" s="44"/>
      <c r="L791" s="44"/>
      <c r="M791" s="44"/>
      <c r="N791" s="44"/>
      <c r="O791" s="44"/>
    </row>
    <row r="792" spans="1:15" ht="17.25" customHeight="1">
      <c r="A792" s="44"/>
      <c r="B792" s="44"/>
      <c r="C792" s="44"/>
      <c r="D792" s="44"/>
      <c r="E792" s="44"/>
      <c r="F792" s="44"/>
      <c r="G792" s="44"/>
      <c r="H792" s="44"/>
      <c r="I792" s="44"/>
      <c r="J792" s="44"/>
      <c r="K792" s="44"/>
      <c r="L792" s="44"/>
      <c r="M792" s="44"/>
      <c r="N792" s="44"/>
      <c r="O792" s="44"/>
    </row>
    <row r="793" spans="1:15" ht="17.25" customHeight="1">
      <c r="A793" s="44"/>
      <c r="B793" s="44"/>
      <c r="C793" s="44"/>
      <c r="D793" s="44"/>
      <c r="E793" s="44"/>
      <c r="F793" s="44"/>
      <c r="G793" s="44"/>
      <c r="H793" s="44"/>
      <c r="I793" s="44"/>
      <c r="J793" s="44"/>
      <c r="K793" s="44"/>
      <c r="L793" s="44"/>
      <c r="M793" s="44"/>
      <c r="N793" s="44"/>
      <c r="O793" s="44"/>
    </row>
    <row r="794" spans="1:15" ht="17.25" customHeight="1">
      <c r="A794" s="44"/>
      <c r="B794" s="44"/>
      <c r="C794" s="44"/>
      <c r="D794" s="44"/>
      <c r="E794" s="44"/>
      <c r="F794" s="44"/>
      <c r="G794" s="44"/>
      <c r="H794" s="44"/>
      <c r="I794" s="44"/>
      <c r="J794" s="44"/>
      <c r="K794" s="44"/>
      <c r="L794" s="44"/>
      <c r="M794" s="44"/>
      <c r="N794" s="44"/>
      <c r="O794" s="44"/>
    </row>
    <row r="795" spans="1:15" ht="17.25" customHeight="1">
      <c r="A795" s="44"/>
      <c r="B795" s="44"/>
      <c r="C795" s="44"/>
      <c r="D795" s="44"/>
      <c r="E795" s="44"/>
      <c r="F795" s="44"/>
      <c r="G795" s="44"/>
      <c r="H795" s="44"/>
      <c r="I795" s="44"/>
      <c r="J795" s="44"/>
      <c r="K795" s="44"/>
      <c r="L795" s="44"/>
      <c r="M795" s="44"/>
      <c r="N795" s="44"/>
      <c r="O795" s="44"/>
    </row>
    <row r="796" spans="1:15" ht="17.25" customHeight="1">
      <c r="A796" s="44"/>
      <c r="B796" s="44"/>
      <c r="C796" s="44"/>
      <c r="D796" s="44"/>
      <c r="E796" s="44"/>
      <c r="F796" s="44"/>
      <c r="G796" s="44"/>
      <c r="H796" s="44"/>
      <c r="I796" s="44"/>
      <c r="J796" s="44"/>
      <c r="K796" s="44"/>
      <c r="L796" s="44"/>
      <c r="M796" s="44"/>
      <c r="N796" s="44"/>
      <c r="O796" s="44"/>
    </row>
    <row r="797" spans="1:15" ht="17.25" customHeight="1">
      <c r="A797" s="44"/>
      <c r="B797" s="44"/>
      <c r="C797" s="44"/>
      <c r="D797" s="44"/>
      <c r="E797" s="44"/>
      <c r="F797" s="44"/>
      <c r="G797" s="44"/>
      <c r="H797" s="44"/>
      <c r="I797" s="44"/>
      <c r="J797" s="44"/>
      <c r="K797" s="44"/>
      <c r="L797" s="44"/>
      <c r="M797" s="44"/>
      <c r="N797" s="44"/>
      <c r="O797" s="44"/>
    </row>
    <row r="798" spans="1:15" ht="17.25" customHeight="1">
      <c r="A798" s="44"/>
      <c r="B798" s="44"/>
      <c r="C798" s="44"/>
      <c r="D798" s="44"/>
      <c r="E798" s="44"/>
      <c r="F798" s="44"/>
      <c r="G798" s="44"/>
      <c r="H798" s="44"/>
      <c r="I798" s="44"/>
      <c r="J798" s="44"/>
      <c r="K798" s="44"/>
      <c r="L798" s="44"/>
      <c r="M798" s="44"/>
      <c r="N798" s="44"/>
      <c r="O798" s="44"/>
    </row>
    <row r="799" spans="1:15" ht="17.25" customHeight="1">
      <c r="A799" s="44"/>
      <c r="B799" s="44"/>
      <c r="C799" s="44"/>
      <c r="D799" s="44"/>
      <c r="E799" s="44"/>
      <c r="F799" s="44"/>
      <c r="G799" s="44"/>
      <c r="H799" s="44"/>
      <c r="I799" s="44"/>
      <c r="J799" s="44"/>
      <c r="K799" s="44"/>
      <c r="L799" s="44"/>
      <c r="M799" s="44"/>
      <c r="N799" s="44"/>
      <c r="O799" s="44"/>
    </row>
    <row r="800" spans="1:15" ht="17.25" customHeight="1">
      <c r="A800" s="44"/>
      <c r="B800" s="44"/>
      <c r="C800" s="44"/>
      <c r="D800" s="44"/>
      <c r="E800" s="44"/>
      <c r="F800" s="44"/>
      <c r="G800" s="44"/>
      <c r="H800" s="44"/>
      <c r="I800" s="44"/>
      <c r="J800" s="44"/>
      <c r="K800" s="44"/>
      <c r="L800" s="44"/>
      <c r="M800" s="44"/>
      <c r="N800" s="44"/>
      <c r="O800" s="44"/>
    </row>
    <row r="801" spans="1:15" ht="17.25" customHeight="1">
      <c r="A801" s="44"/>
      <c r="B801" s="44"/>
      <c r="C801" s="44"/>
      <c r="D801" s="44"/>
      <c r="E801" s="44"/>
      <c r="F801" s="44"/>
      <c r="G801" s="44"/>
      <c r="H801" s="44"/>
      <c r="I801" s="44"/>
      <c r="J801" s="44"/>
      <c r="K801" s="44"/>
      <c r="L801" s="44"/>
      <c r="M801" s="44"/>
      <c r="N801" s="44"/>
      <c r="O801" s="44"/>
    </row>
    <row r="802" spans="1:15" ht="17.25" customHeight="1">
      <c r="A802" s="44"/>
      <c r="B802" s="44"/>
      <c r="C802" s="44"/>
      <c r="D802" s="44"/>
      <c r="E802" s="44"/>
      <c r="F802" s="44"/>
      <c r="G802" s="44"/>
      <c r="H802" s="44"/>
      <c r="I802" s="44"/>
      <c r="J802" s="44"/>
      <c r="K802" s="44"/>
      <c r="L802" s="44"/>
      <c r="M802" s="44"/>
      <c r="N802" s="44"/>
      <c r="O802" s="44"/>
    </row>
    <row r="803" spans="1:15" ht="17.25" customHeight="1">
      <c r="A803" s="44"/>
      <c r="B803" s="44"/>
      <c r="C803" s="44"/>
      <c r="D803" s="44"/>
      <c r="E803" s="44"/>
      <c r="F803" s="44"/>
      <c r="G803" s="44"/>
      <c r="H803" s="44"/>
      <c r="I803" s="44"/>
      <c r="J803" s="44"/>
      <c r="K803" s="44"/>
      <c r="L803" s="44"/>
      <c r="M803" s="44"/>
      <c r="N803" s="44"/>
      <c r="O803" s="44"/>
    </row>
    <row r="804" spans="1:15" ht="17.25" customHeight="1">
      <c r="A804" s="44"/>
      <c r="B804" s="44"/>
      <c r="C804" s="44"/>
      <c r="D804" s="44"/>
      <c r="E804" s="44"/>
      <c r="F804" s="44"/>
      <c r="G804" s="44"/>
      <c r="H804" s="44"/>
      <c r="I804" s="44"/>
      <c r="J804" s="44"/>
      <c r="K804" s="44"/>
      <c r="L804" s="44"/>
      <c r="M804" s="44"/>
      <c r="N804" s="44"/>
      <c r="O804" s="44"/>
    </row>
    <row r="805" spans="1:15" ht="17.25" customHeight="1">
      <c r="A805" s="44"/>
      <c r="B805" s="44"/>
      <c r="C805" s="44"/>
      <c r="D805" s="44"/>
      <c r="E805" s="44"/>
      <c r="F805" s="44"/>
      <c r="G805" s="44"/>
      <c r="H805" s="44"/>
      <c r="I805" s="44"/>
      <c r="J805" s="44"/>
      <c r="K805" s="44"/>
      <c r="L805" s="44"/>
      <c r="M805" s="44"/>
      <c r="N805" s="44"/>
      <c r="O805" s="44"/>
    </row>
    <row r="806" spans="1:15" ht="17.25" customHeight="1">
      <c r="A806" s="44"/>
      <c r="B806" s="44"/>
      <c r="C806" s="44"/>
      <c r="D806" s="44"/>
      <c r="E806" s="44"/>
      <c r="F806" s="44"/>
      <c r="G806" s="44"/>
      <c r="H806" s="44"/>
      <c r="I806" s="44"/>
      <c r="J806" s="44"/>
      <c r="K806" s="44"/>
      <c r="L806" s="44"/>
      <c r="M806" s="44"/>
      <c r="N806" s="44"/>
      <c r="O806" s="44"/>
    </row>
    <row r="807" spans="1:15" ht="17.25" customHeight="1">
      <c r="A807" s="44"/>
      <c r="B807" s="44"/>
      <c r="C807" s="44"/>
      <c r="D807" s="44"/>
      <c r="E807" s="44"/>
      <c r="F807" s="44"/>
      <c r="G807" s="44"/>
      <c r="H807" s="44"/>
      <c r="I807" s="44"/>
      <c r="J807" s="44"/>
      <c r="K807" s="44"/>
      <c r="L807" s="44"/>
      <c r="M807" s="44"/>
      <c r="N807" s="44"/>
      <c r="O807" s="44"/>
    </row>
    <row r="808" spans="1:15" ht="17.25" customHeight="1">
      <c r="A808" s="44"/>
      <c r="B808" s="44"/>
      <c r="C808" s="44"/>
      <c r="D808" s="44"/>
      <c r="E808" s="44"/>
      <c r="F808" s="44"/>
      <c r="G808" s="44"/>
      <c r="H808" s="44"/>
      <c r="I808" s="44"/>
      <c r="J808" s="44"/>
      <c r="K808" s="44"/>
      <c r="L808" s="44"/>
      <c r="M808" s="44"/>
      <c r="N808" s="44"/>
      <c r="O808" s="44"/>
    </row>
    <row r="809" spans="1:15" ht="17.25" customHeight="1">
      <c r="A809" s="44"/>
      <c r="B809" s="44"/>
      <c r="C809" s="44"/>
      <c r="D809" s="44"/>
      <c r="E809" s="44"/>
      <c r="F809" s="44"/>
      <c r="G809" s="44"/>
      <c r="H809" s="44"/>
      <c r="I809" s="44"/>
      <c r="J809" s="44"/>
      <c r="K809" s="44"/>
      <c r="L809" s="44"/>
      <c r="M809" s="44"/>
      <c r="N809" s="44"/>
      <c r="O809" s="44"/>
    </row>
    <row r="810" spans="1:15" ht="17.25" customHeight="1">
      <c r="A810" s="44"/>
      <c r="B810" s="44"/>
      <c r="C810" s="44"/>
      <c r="D810" s="44"/>
      <c r="E810" s="44"/>
      <c r="F810" s="44"/>
      <c r="G810" s="44"/>
      <c r="H810" s="44"/>
      <c r="I810" s="44"/>
      <c r="J810" s="44"/>
      <c r="K810" s="44"/>
      <c r="L810" s="44"/>
      <c r="M810" s="44"/>
      <c r="N810" s="44"/>
      <c r="O810" s="44"/>
    </row>
    <row r="811" spans="1:15" ht="17.25" customHeight="1">
      <c r="A811" s="44"/>
      <c r="B811" s="44"/>
      <c r="C811" s="44"/>
      <c r="D811" s="44"/>
      <c r="E811" s="44"/>
      <c r="F811" s="44"/>
      <c r="G811" s="44"/>
      <c r="H811" s="44"/>
      <c r="I811" s="44"/>
      <c r="J811" s="44"/>
      <c r="K811" s="44"/>
      <c r="L811" s="44"/>
      <c r="M811" s="44"/>
      <c r="N811" s="44"/>
      <c r="O811" s="44"/>
    </row>
    <row r="812" spans="1:15" ht="17.25" customHeight="1">
      <c r="A812" s="44"/>
      <c r="B812" s="44"/>
      <c r="C812" s="44"/>
      <c r="D812" s="44"/>
      <c r="E812" s="44"/>
      <c r="F812" s="44"/>
      <c r="G812" s="44"/>
      <c r="H812" s="44"/>
      <c r="I812" s="44"/>
      <c r="J812" s="44"/>
      <c r="K812" s="44"/>
      <c r="L812" s="44"/>
      <c r="M812" s="44"/>
      <c r="N812" s="44"/>
      <c r="O812" s="44"/>
    </row>
    <row r="813" spans="1:15" ht="17.25" customHeight="1">
      <c r="A813" s="44"/>
      <c r="B813" s="44"/>
      <c r="C813" s="44"/>
      <c r="D813" s="44"/>
      <c r="E813" s="44"/>
      <c r="F813" s="44"/>
      <c r="G813" s="44"/>
      <c r="H813" s="44"/>
      <c r="I813" s="44"/>
      <c r="J813" s="44"/>
      <c r="K813" s="44"/>
      <c r="L813" s="44"/>
      <c r="M813" s="44"/>
      <c r="N813" s="44"/>
      <c r="O813" s="44"/>
    </row>
    <row r="814" spans="1:15" ht="17.25" customHeight="1">
      <c r="A814" s="44"/>
      <c r="B814" s="44"/>
      <c r="C814" s="44"/>
      <c r="D814" s="44"/>
      <c r="E814" s="44"/>
      <c r="F814" s="44"/>
      <c r="G814" s="44"/>
      <c r="H814" s="44"/>
      <c r="I814" s="44"/>
      <c r="J814" s="44"/>
      <c r="K814" s="44"/>
      <c r="L814" s="44"/>
      <c r="M814" s="44"/>
      <c r="N814" s="44"/>
      <c r="O814" s="44"/>
    </row>
    <row r="815" spans="1:15" ht="17.25" customHeight="1">
      <c r="A815" s="44"/>
      <c r="B815" s="44"/>
      <c r="C815" s="44"/>
      <c r="D815" s="44"/>
      <c r="E815" s="44"/>
      <c r="F815" s="44"/>
      <c r="G815" s="44"/>
      <c r="H815" s="44"/>
      <c r="I815" s="44"/>
      <c r="J815" s="44"/>
      <c r="K815" s="44"/>
      <c r="L815" s="44"/>
      <c r="M815" s="44"/>
      <c r="N815" s="44"/>
      <c r="O815" s="44"/>
    </row>
    <row r="816" spans="1:15" ht="17.25" customHeight="1">
      <c r="A816" s="44"/>
      <c r="B816" s="44"/>
      <c r="C816" s="44"/>
      <c r="D816" s="44"/>
      <c r="E816" s="44"/>
      <c r="F816" s="44"/>
      <c r="G816" s="44"/>
      <c r="H816" s="44"/>
      <c r="I816" s="44"/>
      <c r="J816" s="44"/>
      <c r="K816" s="44"/>
      <c r="L816" s="44"/>
      <c r="M816" s="44"/>
      <c r="N816" s="44"/>
      <c r="O816" s="44"/>
    </row>
    <row r="817" spans="1:15" ht="17.25" customHeight="1">
      <c r="A817" s="44"/>
      <c r="B817" s="44"/>
      <c r="C817" s="44"/>
      <c r="D817" s="44"/>
      <c r="E817" s="44"/>
      <c r="F817" s="44"/>
      <c r="G817" s="44"/>
      <c r="H817" s="44"/>
      <c r="I817" s="44"/>
      <c r="J817" s="44"/>
      <c r="K817" s="44"/>
      <c r="L817" s="44"/>
      <c r="M817" s="44"/>
      <c r="N817" s="44"/>
      <c r="O817" s="44"/>
    </row>
    <row r="818" spans="1:15" ht="17.25" customHeight="1">
      <c r="A818" s="44"/>
      <c r="B818" s="44"/>
      <c r="C818" s="44"/>
      <c r="D818" s="44"/>
      <c r="E818" s="44"/>
      <c r="F818" s="44"/>
      <c r="G818" s="44"/>
      <c r="H818" s="44"/>
      <c r="I818" s="44"/>
      <c r="J818" s="44"/>
      <c r="K818" s="44"/>
      <c r="L818" s="44"/>
      <c r="M818" s="44"/>
      <c r="N818" s="44"/>
      <c r="O818" s="44"/>
    </row>
    <row r="819" spans="1:15" ht="17.25" customHeight="1">
      <c r="A819" s="44"/>
      <c r="B819" s="44"/>
      <c r="C819" s="44"/>
      <c r="D819" s="44"/>
      <c r="E819" s="44"/>
      <c r="F819" s="44"/>
      <c r="G819" s="44"/>
      <c r="H819" s="44"/>
      <c r="I819" s="44"/>
      <c r="J819" s="44"/>
      <c r="K819" s="44"/>
      <c r="L819" s="44"/>
      <c r="M819" s="44"/>
      <c r="N819" s="44"/>
      <c r="O819" s="44"/>
    </row>
    <row r="820" spans="1:15" ht="17.25" customHeight="1">
      <c r="A820" s="44"/>
      <c r="B820" s="44"/>
      <c r="C820" s="44"/>
      <c r="D820" s="44"/>
      <c r="E820" s="44"/>
      <c r="F820" s="44"/>
      <c r="G820" s="44"/>
      <c r="H820" s="44"/>
      <c r="I820" s="44"/>
      <c r="J820" s="44"/>
      <c r="K820" s="44"/>
      <c r="L820" s="44"/>
      <c r="M820" s="44"/>
      <c r="N820" s="44"/>
      <c r="O820" s="44"/>
    </row>
    <row r="821" spans="1:15" ht="17.25" customHeight="1">
      <c r="A821" s="44"/>
      <c r="B821" s="44"/>
      <c r="C821" s="44"/>
      <c r="D821" s="44"/>
      <c r="E821" s="44"/>
      <c r="F821" s="44"/>
      <c r="G821" s="44"/>
      <c r="H821" s="44"/>
      <c r="I821" s="44"/>
      <c r="J821" s="44"/>
      <c r="K821" s="44"/>
      <c r="L821" s="44"/>
      <c r="M821" s="44"/>
      <c r="N821" s="44"/>
      <c r="O821" s="44"/>
    </row>
    <row r="822" spans="1:15" ht="17.25" customHeight="1">
      <c r="A822" s="44"/>
      <c r="B822" s="44"/>
      <c r="C822" s="44"/>
      <c r="D822" s="44"/>
      <c r="E822" s="44"/>
      <c r="F822" s="44"/>
      <c r="G822" s="44"/>
      <c r="H822" s="44"/>
      <c r="I822" s="44"/>
      <c r="J822" s="44"/>
      <c r="K822" s="44"/>
      <c r="L822" s="44"/>
      <c r="M822" s="44"/>
      <c r="N822" s="44"/>
      <c r="O822" s="44"/>
    </row>
    <row r="823" spans="1:15" ht="17.25" customHeight="1">
      <c r="A823" s="44"/>
      <c r="B823" s="44"/>
      <c r="C823" s="44"/>
      <c r="D823" s="44"/>
      <c r="E823" s="44"/>
      <c r="F823" s="44"/>
      <c r="G823" s="44"/>
      <c r="H823" s="44"/>
      <c r="I823" s="44"/>
      <c r="J823" s="44"/>
      <c r="K823" s="44"/>
      <c r="L823" s="44"/>
      <c r="M823" s="44"/>
      <c r="N823" s="44"/>
      <c r="O823" s="44"/>
    </row>
    <row r="824" spans="1:15" ht="17.25" customHeight="1">
      <c r="A824" s="44"/>
      <c r="B824" s="44"/>
      <c r="C824" s="44"/>
      <c r="D824" s="44"/>
      <c r="E824" s="44"/>
      <c r="F824" s="44"/>
      <c r="G824" s="44"/>
      <c r="H824" s="44"/>
      <c r="I824" s="44"/>
      <c r="J824" s="44"/>
      <c r="K824" s="44"/>
      <c r="L824" s="44"/>
      <c r="M824" s="44"/>
      <c r="N824" s="44"/>
      <c r="O824" s="44"/>
    </row>
    <row r="825" spans="1:15" ht="17.25" customHeight="1">
      <c r="A825" s="44"/>
      <c r="B825" s="44"/>
      <c r="C825" s="44"/>
      <c r="D825" s="44"/>
      <c r="E825" s="44"/>
      <c r="F825" s="44"/>
      <c r="G825" s="44"/>
      <c r="H825" s="44"/>
      <c r="I825" s="44"/>
      <c r="J825" s="44"/>
      <c r="K825" s="44"/>
      <c r="L825" s="44"/>
      <c r="M825" s="44"/>
      <c r="N825" s="44"/>
      <c r="O825" s="44"/>
    </row>
    <row r="826" spans="1:15" ht="17.25" customHeight="1">
      <c r="A826" s="44"/>
      <c r="B826" s="44"/>
      <c r="C826" s="44"/>
      <c r="D826" s="44"/>
      <c r="E826" s="44"/>
      <c r="F826" s="44"/>
      <c r="G826" s="44"/>
      <c r="H826" s="44"/>
      <c r="I826" s="44"/>
      <c r="J826" s="44"/>
      <c r="K826" s="44"/>
      <c r="L826" s="44"/>
      <c r="M826" s="44"/>
      <c r="N826" s="44"/>
      <c r="O826" s="44"/>
    </row>
    <row r="827" spans="1:15" ht="17.25" customHeight="1">
      <c r="A827" s="44"/>
      <c r="B827" s="44"/>
      <c r="C827" s="44"/>
      <c r="D827" s="44"/>
      <c r="E827" s="44"/>
      <c r="F827" s="44"/>
      <c r="G827" s="44"/>
      <c r="H827" s="44"/>
      <c r="I827" s="44"/>
      <c r="J827" s="44"/>
      <c r="K827" s="44"/>
      <c r="L827" s="44"/>
      <c r="M827" s="44"/>
      <c r="N827" s="44"/>
      <c r="O827" s="44"/>
    </row>
    <row r="828" spans="1:15" ht="17.25" customHeight="1">
      <c r="A828" s="44"/>
      <c r="B828" s="44"/>
      <c r="C828" s="44"/>
      <c r="D828" s="44"/>
      <c r="E828" s="44"/>
      <c r="F828" s="44"/>
      <c r="G828" s="44"/>
      <c r="H828" s="44"/>
      <c r="I828" s="44"/>
      <c r="J828" s="44"/>
      <c r="K828" s="44"/>
      <c r="L828" s="44"/>
      <c r="M828" s="44"/>
      <c r="N828" s="44"/>
      <c r="O828" s="44"/>
    </row>
    <row r="829" spans="1:15" ht="17.25" customHeight="1">
      <c r="A829" s="44"/>
      <c r="B829" s="44"/>
      <c r="C829" s="44"/>
      <c r="D829" s="44"/>
      <c r="E829" s="44"/>
      <c r="F829" s="44"/>
      <c r="G829" s="44"/>
      <c r="H829" s="44"/>
      <c r="I829" s="44"/>
      <c r="J829" s="44"/>
      <c r="K829" s="44"/>
      <c r="L829" s="44"/>
      <c r="M829" s="44"/>
      <c r="N829" s="44"/>
      <c r="O829" s="44"/>
    </row>
    <row r="830" spans="1:15" ht="17.25" customHeight="1">
      <c r="A830" s="44"/>
      <c r="B830" s="44"/>
      <c r="C830" s="44"/>
      <c r="D830" s="44"/>
      <c r="E830" s="44"/>
      <c r="F830" s="44"/>
      <c r="G830" s="44"/>
      <c r="H830" s="44"/>
      <c r="I830" s="44"/>
      <c r="J830" s="44"/>
      <c r="K830" s="44"/>
      <c r="L830" s="44"/>
      <c r="M830" s="44"/>
      <c r="N830" s="44"/>
      <c r="O830" s="44"/>
    </row>
    <row r="831" spans="1:15" ht="17.25" customHeight="1">
      <c r="A831" s="44"/>
      <c r="B831" s="44"/>
      <c r="C831" s="44"/>
      <c r="D831" s="44"/>
      <c r="E831" s="44"/>
      <c r="F831" s="44"/>
      <c r="G831" s="44"/>
      <c r="H831" s="44"/>
      <c r="I831" s="44"/>
      <c r="J831" s="44"/>
      <c r="K831" s="44"/>
      <c r="L831" s="44"/>
      <c r="M831" s="44"/>
      <c r="N831" s="44"/>
      <c r="O831" s="44"/>
    </row>
    <row r="832" spans="1:15" ht="17.25" customHeight="1">
      <c r="A832" s="44"/>
      <c r="B832" s="44"/>
      <c r="C832" s="44"/>
      <c r="D832" s="44"/>
      <c r="E832" s="44"/>
      <c r="F832" s="44"/>
      <c r="G832" s="44"/>
      <c r="H832" s="44"/>
      <c r="I832" s="44"/>
      <c r="J832" s="44"/>
      <c r="K832" s="44"/>
      <c r="L832" s="44"/>
      <c r="M832" s="44"/>
      <c r="N832" s="44"/>
      <c r="O832" s="44"/>
    </row>
    <row r="833" spans="1:15" ht="17.25" customHeight="1">
      <c r="A833" s="44"/>
      <c r="B833" s="44"/>
      <c r="C833" s="44"/>
      <c r="D833" s="44"/>
      <c r="E833" s="44"/>
      <c r="F833" s="44"/>
      <c r="G833" s="44"/>
      <c r="H833" s="44"/>
      <c r="I833" s="44"/>
      <c r="J833" s="44"/>
      <c r="K833" s="44"/>
      <c r="L833" s="44"/>
      <c r="M833" s="44"/>
      <c r="N833" s="44"/>
      <c r="O833" s="44"/>
    </row>
    <row r="834" spans="1:15" ht="17.25" customHeight="1">
      <c r="A834" s="44"/>
      <c r="B834" s="44"/>
      <c r="C834" s="44"/>
      <c r="D834" s="44"/>
      <c r="E834" s="44"/>
      <c r="F834" s="44"/>
      <c r="G834" s="44"/>
      <c r="H834" s="44"/>
      <c r="I834" s="44"/>
      <c r="J834" s="44"/>
      <c r="K834" s="44"/>
      <c r="L834" s="44"/>
      <c r="M834" s="44"/>
      <c r="N834" s="44"/>
      <c r="O834" s="44"/>
    </row>
    <row r="835" spans="1:15" ht="17.25" customHeight="1">
      <c r="A835" s="44"/>
      <c r="B835" s="44"/>
      <c r="C835" s="44"/>
      <c r="D835" s="44"/>
      <c r="E835" s="44"/>
      <c r="F835" s="44"/>
      <c r="G835" s="44"/>
      <c r="H835" s="44"/>
      <c r="I835" s="44"/>
      <c r="J835" s="44"/>
      <c r="K835" s="44"/>
      <c r="L835" s="44"/>
      <c r="M835" s="44"/>
      <c r="N835" s="44"/>
      <c r="O835" s="44"/>
    </row>
    <row r="836" spans="1:15" ht="17.25" customHeight="1">
      <c r="A836" s="44"/>
      <c r="B836" s="44"/>
      <c r="C836" s="44"/>
      <c r="D836" s="44"/>
      <c r="E836" s="44"/>
      <c r="F836" s="44"/>
      <c r="G836" s="44"/>
      <c r="H836" s="44"/>
      <c r="I836" s="44"/>
      <c r="J836" s="44"/>
      <c r="K836" s="44"/>
      <c r="L836" s="44"/>
      <c r="M836" s="44"/>
      <c r="N836" s="44"/>
      <c r="O836" s="44"/>
    </row>
    <row r="837" spans="1:15" ht="17.25" customHeight="1">
      <c r="A837" s="44"/>
      <c r="B837" s="44"/>
      <c r="C837" s="44"/>
      <c r="D837" s="44"/>
      <c r="E837" s="44"/>
      <c r="F837" s="44"/>
      <c r="G837" s="44"/>
      <c r="H837" s="44"/>
      <c r="I837" s="44"/>
      <c r="J837" s="44"/>
      <c r="K837" s="44"/>
      <c r="L837" s="44"/>
      <c r="M837" s="44"/>
      <c r="N837" s="44"/>
      <c r="O837" s="44"/>
    </row>
    <row r="838" spans="1:15" ht="17.25" customHeight="1">
      <c r="A838" s="44"/>
      <c r="B838" s="44"/>
      <c r="C838" s="44"/>
      <c r="D838" s="44"/>
      <c r="E838" s="44"/>
      <c r="F838" s="44"/>
      <c r="G838" s="44"/>
      <c r="H838" s="44"/>
      <c r="I838" s="44"/>
      <c r="J838" s="44"/>
      <c r="K838" s="44"/>
      <c r="L838" s="44"/>
      <c r="M838" s="44"/>
      <c r="N838" s="44"/>
      <c r="O838" s="44"/>
    </row>
    <row r="839" spans="1:15" ht="17.25" customHeight="1">
      <c r="A839" s="44"/>
      <c r="B839" s="44"/>
      <c r="C839" s="44"/>
      <c r="D839" s="44"/>
      <c r="E839" s="44"/>
      <c r="F839" s="44"/>
      <c r="G839" s="44"/>
      <c r="H839" s="44"/>
      <c r="I839" s="44"/>
      <c r="J839" s="44"/>
      <c r="K839" s="44"/>
      <c r="L839" s="44"/>
      <c r="M839" s="44"/>
      <c r="N839" s="44"/>
      <c r="O839" s="44"/>
    </row>
    <row r="840" spans="1:15" ht="17.25" customHeight="1">
      <c r="A840" s="44"/>
      <c r="B840" s="44"/>
      <c r="C840" s="44"/>
      <c r="D840" s="44"/>
      <c r="E840" s="44"/>
      <c r="F840" s="44"/>
      <c r="G840" s="44"/>
      <c r="H840" s="44"/>
      <c r="I840" s="44"/>
      <c r="J840" s="44"/>
      <c r="K840" s="44"/>
      <c r="L840" s="44"/>
      <c r="M840" s="44"/>
      <c r="N840" s="44"/>
      <c r="O840" s="44"/>
    </row>
    <row r="841" spans="1:15" ht="17.25" customHeight="1">
      <c r="A841" s="44"/>
      <c r="B841" s="44"/>
      <c r="C841" s="44"/>
      <c r="D841" s="44"/>
      <c r="E841" s="44"/>
      <c r="F841" s="44"/>
      <c r="G841" s="44"/>
      <c r="H841" s="44"/>
      <c r="I841" s="44"/>
      <c r="J841" s="44"/>
      <c r="K841" s="44"/>
      <c r="L841" s="44"/>
      <c r="M841" s="44"/>
      <c r="N841" s="44"/>
      <c r="O841" s="44"/>
    </row>
    <row r="842" spans="1:15" ht="17.25" customHeight="1">
      <c r="A842" s="44"/>
      <c r="B842" s="44"/>
      <c r="C842" s="44"/>
      <c r="D842" s="44"/>
      <c r="E842" s="44"/>
      <c r="F842" s="44"/>
      <c r="G842" s="44"/>
      <c r="H842" s="44"/>
      <c r="I842" s="44"/>
      <c r="J842" s="44"/>
      <c r="K842" s="44"/>
      <c r="L842" s="44"/>
      <c r="M842" s="44"/>
      <c r="N842" s="44"/>
      <c r="O842" s="44"/>
    </row>
    <row r="843" spans="1:15" ht="17.25" customHeight="1">
      <c r="A843" s="44"/>
      <c r="B843" s="44"/>
      <c r="C843" s="44"/>
      <c r="D843" s="44"/>
      <c r="E843" s="44"/>
      <c r="F843" s="44"/>
      <c r="G843" s="44"/>
      <c r="H843" s="44"/>
      <c r="I843" s="44"/>
      <c r="J843" s="44"/>
      <c r="K843" s="44"/>
      <c r="L843" s="44"/>
      <c r="M843" s="44"/>
      <c r="N843" s="44"/>
      <c r="O843" s="44"/>
    </row>
    <row r="844" spans="1:15" ht="17.25" customHeight="1">
      <c r="A844" s="44"/>
      <c r="B844" s="44"/>
      <c r="C844" s="44"/>
      <c r="D844" s="44"/>
      <c r="E844" s="44"/>
      <c r="F844" s="44"/>
      <c r="G844" s="44"/>
      <c r="H844" s="44"/>
      <c r="I844" s="44"/>
      <c r="J844" s="44"/>
      <c r="K844" s="44"/>
      <c r="L844" s="44"/>
      <c r="M844" s="44"/>
      <c r="N844" s="44"/>
      <c r="O844" s="44"/>
    </row>
    <row r="845" spans="1:15" ht="17.25" customHeight="1">
      <c r="A845" s="44"/>
      <c r="B845" s="44"/>
      <c r="C845" s="44"/>
      <c r="D845" s="44"/>
      <c r="E845" s="44"/>
      <c r="F845" s="44"/>
      <c r="G845" s="44"/>
      <c r="H845" s="44"/>
      <c r="I845" s="44"/>
      <c r="J845" s="44"/>
      <c r="K845" s="44"/>
      <c r="L845" s="44"/>
      <c r="M845" s="44"/>
      <c r="N845" s="44"/>
      <c r="O845" s="44"/>
    </row>
    <row r="846" spans="1:15" ht="17.25" customHeight="1">
      <c r="A846" s="44"/>
      <c r="B846" s="44"/>
      <c r="C846" s="44"/>
      <c r="D846" s="44"/>
      <c r="E846" s="44"/>
      <c r="F846" s="44"/>
      <c r="G846" s="44"/>
      <c r="H846" s="44"/>
      <c r="I846" s="44"/>
      <c r="J846" s="44"/>
      <c r="K846" s="44"/>
      <c r="L846" s="44"/>
      <c r="M846" s="44"/>
      <c r="N846" s="44"/>
      <c r="O846" s="44"/>
    </row>
    <row r="847" spans="1:15" ht="17.25" customHeight="1">
      <c r="A847" s="44"/>
      <c r="B847" s="44"/>
      <c r="C847" s="44"/>
      <c r="D847" s="44"/>
      <c r="E847" s="44"/>
      <c r="F847" s="44"/>
      <c r="G847" s="44"/>
      <c r="H847" s="44"/>
      <c r="I847" s="44"/>
      <c r="J847" s="44"/>
      <c r="K847" s="44"/>
      <c r="L847" s="44"/>
      <c r="M847" s="44"/>
      <c r="N847" s="44"/>
      <c r="O847" s="44"/>
    </row>
    <row r="848" spans="1:15" ht="17.25" customHeight="1">
      <c r="A848" s="44"/>
      <c r="B848" s="44"/>
      <c r="C848" s="44"/>
      <c r="D848" s="44"/>
      <c r="E848" s="44"/>
      <c r="F848" s="44"/>
      <c r="G848" s="44"/>
      <c r="H848" s="44"/>
      <c r="I848" s="44"/>
      <c r="J848" s="44"/>
      <c r="K848" s="44"/>
      <c r="L848" s="44"/>
      <c r="M848" s="44"/>
      <c r="N848" s="44"/>
      <c r="O848" s="44"/>
    </row>
    <row r="849" spans="1:15" ht="17.25" customHeight="1">
      <c r="A849" s="44"/>
      <c r="B849" s="44"/>
      <c r="C849" s="44"/>
      <c r="D849" s="44"/>
      <c r="E849" s="44"/>
      <c r="F849" s="44"/>
      <c r="G849" s="44"/>
      <c r="H849" s="44"/>
      <c r="I849" s="44"/>
      <c r="J849" s="44"/>
      <c r="K849" s="44"/>
      <c r="L849" s="44"/>
      <c r="M849" s="44"/>
      <c r="N849" s="44"/>
      <c r="O849" s="44"/>
    </row>
    <row r="850" spans="1:15" ht="17.25" customHeight="1">
      <c r="A850" s="44"/>
      <c r="B850" s="44"/>
      <c r="C850" s="44"/>
      <c r="D850" s="44"/>
      <c r="E850" s="44"/>
      <c r="F850" s="44"/>
      <c r="G850" s="44"/>
      <c r="H850" s="44"/>
      <c r="I850" s="44"/>
      <c r="J850" s="44"/>
      <c r="K850" s="44"/>
      <c r="L850" s="44"/>
      <c r="M850" s="44"/>
      <c r="N850" s="44"/>
      <c r="O850" s="44"/>
    </row>
    <row r="851" spans="1:15" ht="17.25" customHeight="1">
      <c r="A851" s="44"/>
      <c r="B851" s="44"/>
      <c r="C851" s="44"/>
      <c r="D851" s="44"/>
      <c r="E851" s="44"/>
      <c r="F851" s="44"/>
      <c r="G851" s="44"/>
      <c r="H851" s="44"/>
      <c r="I851" s="44"/>
      <c r="J851" s="44"/>
      <c r="K851" s="44"/>
      <c r="L851" s="44"/>
      <c r="M851" s="44"/>
      <c r="N851" s="44"/>
      <c r="O851" s="44"/>
    </row>
    <row r="852" spans="1:15" ht="17.25" customHeight="1">
      <c r="A852" s="44"/>
      <c r="B852" s="44"/>
      <c r="C852" s="44"/>
      <c r="D852" s="44"/>
      <c r="E852" s="44"/>
      <c r="F852" s="44"/>
      <c r="G852" s="44"/>
      <c r="H852" s="44"/>
      <c r="I852" s="44"/>
      <c r="J852" s="44"/>
      <c r="K852" s="44"/>
      <c r="L852" s="44"/>
      <c r="M852" s="44"/>
      <c r="N852" s="44"/>
      <c r="O852" s="44"/>
    </row>
    <row r="853" spans="1:15" ht="17.25" customHeight="1">
      <c r="A853" s="44"/>
      <c r="B853" s="44"/>
      <c r="C853" s="44"/>
      <c r="D853" s="44"/>
      <c r="E853" s="44"/>
      <c r="F853" s="44"/>
      <c r="G853" s="44"/>
      <c r="H853" s="44"/>
      <c r="I853" s="44"/>
      <c r="J853" s="44"/>
      <c r="K853" s="44"/>
      <c r="L853" s="44"/>
      <c r="M853" s="44"/>
      <c r="N853" s="44"/>
      <c r="O853" s="44"/>
    </row>
    <row r="854" spans="1:15" ht="17.25" customHeight="1">
      <c r="A854" s="44"/>
      <c r="B854" s="44"/>
      <c r="C854" s="44"/>
      <c r="D854" s="44"/>
      <c r="E854" s="44"/>
      <c r="F854" s="44"/>
      <c r="G854" s="44"/>
      <c r="H854" s="44"/>
      <c r="I854" s="44"/>
      <c r="J854" s="44"/>
      <c r="K854" s="44"/>
      <c r="L854" s="44"/>
      <c r="M854" s="44"/>
      <c r="N854" s="44"/>
      <c r="O854" s="44"/>
    </row>
    <row r="855" spans="1:15" ht="17.25" customHeight="1">
      <c r="A855" s="44"/>
      <c r="B855" s="44"/>
      <c r="C855" s="44"/>
      <c r="D855" s="44"/>
      <c r="E855" s="44"/>
      <c r="F855" s="44"/>
      <c r="G855" s="44"/>
      <c r="H855" s="44"/>
      <c r="I855" s="44"/>
      <c r="J855" s="44"/>
      <c r="K855" s="44"/>
      <c r="L855" s="44"/>
      <c r="M855" s="44"/>
      <c r="N855" s="44"/>
      <c r="O855" s="44"/>
    </row>
    <row r="856" spans="1:15" ht="17.25" customHeight="1">
      <c r="A856" s="44"/>
      <c r="B856" s="44"/>
      <c r="C856" s="44"/>
      <c r="D856" s="44"/>
      <c r="E856" s="44"/>
      <c r="F856" s="44"/>
      <c r="G856" s="44"/>
      <c r="H856" s="44"/>
      <c r="I856" s="44"/>
      <c r="J856" s="44"/>
      <c r="K856" s="44"/>
      <c r="L856" s="44"/>
      <c r="M856" s="44"/>
      <c r="N856" s="44"/>
      <c r="O856" s="44"/>
    </row>
    <row r="857" spans="1:15" ht="17.25" customHeight="1">
      <c r="A857" s="44"/>
      <c r="B857" s="44"/>
      <c r="C857" s="44"/>
      <c r="D857" s="44"/>
      <c r="E857" s="44"/>
      <c r="F857" s="44"/>
      <c r="G857" s="44"/>
      <c r="H857" s="44"/>
      <c r="I857" s="44"/>
      <c r="J857" s="44"/>
      <c r="K857" s="44"/>
      <c r="L857" s="44"/>
      <c r="M857" s="44"/>
      <c r="N857" s="44"/>
      <c r="O857" s="44"/>
    </row>
    <row r="858" spans="1:15" ht="17.25" customHeight="1">
      <c r="A858" s="44"/>
      <c r="B858" s="44"/>
      <c r="C858" s="44"/>
      <c r="D858" s="44"/>
      <c r="E858" s="44"/>
      <c r="F858" s="44"/>
      <c r="G858" s="44"/>
      <c r="H858" s="44"/>
      <c r="I858" s="44"/>
      <c r="J858" s="44"/>
      <c r="K858" s="44"/>
      <c r="L858" s="44"/>
      <c r="M858" s="44"/>
      <c r="N858" s="44"/>
      <c r="O858" s="44"/>
    </row>
    <row r="859" spans="1:15" ht="17.25" customHeight="1">
      <c r="A859" s="44"/>
      <c r="B859" s="44"/>
      <c r="C859" s="44"/>
      <c r="D859" s="44"/>
      <c r="E859" s="44"/>
      <c r="F859" s="44"/>
      <c r="G859" s="44"/>
      <c r="H859" s="44"/>
      <c r="I859" s="44"/>
      <c r="J859" s="44"/>
      <c r="K859" s="44"/>
      <c r="L859" s="44"/>
      <c r="M859" s="44"/>
      <c r="N859" s="44"/>
      <c r="O859" s="44"/>
    </row>
    <row r="860" spans="1:15" ht="17.25" customHeight="1">
      <c r="A860" s="44"/>
      <c r="B860" s="44"/>
      <c r="C860" s="44"/>
      <c r="D860" s="44"/>
      <c r="E860" s="44"/>
      <c r="F860" s="44"/>
      <c r="G860" s="44"/>
      <c r="H860" s="44"/>
      <c r="I860" s="44"/>
      <c r="J860" s="44"/>
      <c r="K860" s="44"/>
      <c r="L860" s="44"/>
      <c r="M860" s="44"/>
      <c r="N860" s="44"/>
      <c r="O860" s="44"/>
    </row>
    <row r="861" spans="1:15" ht="17.25" customHeight="1">
      <c r="A861" s="44"/>
      <c r="B861" s="44"/>
      <c r="C861" s="44"/>
      <c r="D861" s="44"/>
      <c r="E861" s="44"/>
      <c r="F861" s="44"/>
      <c r="G861" s="44"/>
      <c r="H861" s="44"/>
      <c r="I861" s="44"/>
      <c r="J861" s="44"/>
      <c r="K861" s="44"/>
      <c r="L861" s="44"/>
      <c r="M861" s="44"/>
      <c r="N861" s="44"/>
      <c r="O861" s="44"/>
    </row>
    <row r="862" spans="1:15" ht="17.25" customHeight="1">
      <c r="A862" s="44"/>
      <c r="B862" s="44"/>
      <c r="C862" s="44"/>
      <c r="D862" s="44"/>
      <c r="E862" s="44"/>
      <c r="F862" s="44"/>
      <c r="G862" s="44"/>
      <c r="H862" s="44"/>
      <c r="I862" s="44"/>
      <c r="J862" s="44"/>
      <c r="K862" s="44"/>
      <c r="L862" s="44"/>
      <c r="M862" s="44"/>
      <c r="N862" s="44"/>
      <c r="O862" s="44"/>
    </row>
    <row r="863" spans="1:15" ht="17.25" customHeight="1">
      <c r="A863" s="44"/>
      <c r="B863" s="44"/>
      <c r="C863" s="44"/>
      <c r="D863" s="44"/>
      <c r="E863" s="44"/>
      <c r="F863" s="44"/>
      <c r="G863" s="44"/>
      <c r="H863" s="44"/>
      <c r="I863" s="44"/>
      <c r="J863" s="44"/>
      <c r="K863" s="44"/>
      <c r="L863" s="44"/>
      <c r="M863" s="44"/>
      <c r="N863" s="44"/>
      <c r="O863" s="44"/>
    </row>
    <row r="864" spans="1:15" ht="17.25" customHeight="1">
      <c r="A864" s="44"/>
      <c r="B864" s="44"/>
      <c r="C864" s="44"/>
      <c r="D864" s="44"/>
      <c r="E864" s="44"/>
      <c r="F864" s="44"/>
      <c r="G864" s="44"/>
      <c r="H864" s="44"/>
      <c r="I864" s="44"/>
      <c r="J864" s="44"/>
      <c r="K864" s="44"/>
      <c r="L864" s="44"/>
      <c r="M864" s="44"/>
      <c r="N864" s="44"/>
      <c r="O864" s="44"/>
    </row>
    <row r="865" spans="1:15" ht="17.25" customHeight="1">
      <c r="A865" s="44"/>
      <c r="B865" s="44"/>
      <c r="C865" s="44"/>
      <c r="D865" s="44"/>
      <c r="E865" s="44"/>
      <c r="F865" s="44"/>
      <c r="G865" s="44"/>
      <c r="H865" s="44"/>
      <c r="I865" s="44"/>
      <c r="J865" s="44"/>
      <c r="K865" s="44"/>
      <c r="L865" s="44"/>
      <c r="M865" s="44"/>
      <c r="N865" s="44"/>
      <c r="O865" s="44"/>
    </row>
    <row r="866" spans="1:15" ht="17.25" customHeight="1">
      <c r="A866" s="44"/>
      <c r="B866" s="44"/>
      <c r="C866" s="44"/>
      <c r="D866" s="44"/>
      <c r="E866" s="44"/>
      <c r="F866" s="44"/>
      <c r="G866" s="44"/>
      <c r="H866" s="44"/>
      <c r="I866" s="44"/>
      <c r="J866" s="44"/>
      <c r="K866" s="44"/>
      <c r="L866" s="44"/>
      <c r="M866" s="44"/>
      <c r="N866" s="44"/>
      <c r="O866" s="44"/>
    </row>
    <row r="867" spans="1:15" ht="17.25" customHeight="1">
      <c r="A867" s="44"/>
      <c r="B867" s="44"/>
      <c r="C867" s="44"/>
      <c r="D867" s="44"/>
      <c r="E867" s="44"/>
      <c r="F867" s="44"/>
      <c r="G867" s="44"/>
      <c r="H867" s="44"/>
      <c r="I867" s="44"/>
      <c r="J867" s="44"/>
      <c r="K867" s="44"/>
      <c r="L867" s="44"/>
      <c r="M867" s="44"/>
      <c r="N867" s="44"/>
      <c r="O867" s="44"/>
    </row>
    <row r="868" spans="1:15" ht="17.25" customHeight="1">
      <c r="A868" s="44"/>
      <c r="B868" s="44"/>
      <c r="C868" s="44"/>
      <c r="D868" s="44"/>
      <c r="E868" s="44"/>
      <c r="F868" s="44"/>
      <c r="G868" s="44"/>
      <c r="H868" s="44"/>
      <c r="I868" s="44"/>
      <c r="J868" s="44"/>
      <c r="K868" s="44"/>
      <c r="L868" s="44"/>
      <c r="M868" s="44"/>
      <c r="N868" s="44"/>
      <c r="O868" s="44"/>
    </row>
    <row r="869" spans="1:15" ht="17.25" customHeight="1">
      <c r="A869" s="44"/>
      <c r="B869" s="44"/>
      <c r="C869" s="44"/>
      <c r="D869" s="44"/>
      <c r="E869" s="44"/>
      <c r="F869" s="44"/>
      <c r="G869" s="44"/>
      <c r="H869" s="44"/>
      <c r="I869" s="44"/>
      <c r="J869" s="44"/>
      <c r="K869" s="44"/>
      <c r="L869" s="44"/>
      <c r="M869" s="44"/>
      <c r="N869" s="44"/>
      <c r="O869" s="44"/>
    </row>
    <row r="870" spans="1:15" ht="17.25" customHeight="1">
      <c r="A870" s="44"/>
      <c r="B870" s="44"/>
      <c r="C870" s="44"/>
      <c r="D870" s="44"/>
      <c r="E870" s="44"/>
      <c r="F870" s="44"/>
      <c r="G870" s="44"/>
      <c r="H870" s="44"/>
      <c r="I870" s="44"/>
      <c r="J870" s="44"/>
      <c r="K870" s="44"/>
      <c r="L870" s="44"/>
      <c r="M870" s="44"/>
      <c r="N870" s="44"/>
      <c r="O870" s="44"/>
    </row>
    <row r="871" spans="1:15" ht="17.25" customHeight="1">
      <c r="A871" s="44"/>
      <c r="B871" s="44"/>
      <c r="C871" s="44"/>
      <c r="D871" s="44"/>
      <c r="E871" s="44"/>
      <c r="F871" s="44"/>
      <c r="G871" s="44"/>
      <c r="H871" s="44"/>
      <c r="I871" s="44"/>
      <c r="J871" s="44"/>
      <c r="K871" s="44"/>
      <c r="L871" s="44"/>
      <c r="M871" s="44"/>
      <c r="N871" s="44"/>
      <c r="O871" s="44"/>
    </row>
    <row r="872" spans="1:15" ht="17.25" customHeight="1">
      <c r="A872" s="44"/>
      <c r="B872" s="44"/>
      <c r="C872" s="44"/>
      <c r="D872" s="44"/>
      <c r="E872" s="44"/>
      <c r="F872" s="44"/>
      <c r="G872" s="44"/>
      <c r="H872" s="44"/>
      <c r="I872" s="44"/>
      <c r="J872" s="44"/>
      <c r="K872" s="44"/>
      <c r="L872" s="44"/>
      <c r="M872" s="44"/>
      <c r="N872" s="44"/>
      <c r="O872" s="44"/>
    </row>
    <row r="873" spans="1:15" ht="17.25" customHeight="1">
      <c r="A873" s="44"/>
      <c r="B873" s="44"/>
      <c r="C873" s="44"/>
      <c r="D873" s="44"/>
      <c r="E873" s="44"/>
      <c r="F873" s="44"/>
      <c r="G873" s="44"/>
      <c r="H873" s="44"/>
      <c r="I873" s="44"/>
      <c r="J873" s="44"/>
      <c r="K873" s="44"/>
      <c r="L873" s="44"/>
      <c r="M873" s="44"/>
      <c r="N873" s="44"/>
      <c r="O873" s="44"/>
    </row>
    <row r="874" spans="1:15" ht="17.25" customHeight="1">
      <c r="A874" s="44"/>
      <c r="B874" s="44"/>
      <c r="C874" s="44"/>
      <c r="D874" s="44"/>
      <c r="E874" s="44"/>
      <c r="F874" s="44"/>
      <c r="G874" s="44"/>
      <c r="H874" s="44"/>
      <c r="I874" s="44"/>
      <c r="J874" s="44"/>
      <c r="K874" s="44"/>
      <c r="L874" s="44"/>
      <c r="M874" s="44"/>
      <c r="N874" s="44"/>
      <c r="O874" s="44"/>
    </row>
    <row r="875" spans="1:15" ht="17.25" customHeight="1">
      <c r="A875" s="44"/>
      <c r="B875" s="44"/>
      <c r="C875" s="44"/>
      <c r="D875" s="44"/>
      <c r="E875" s="44"/>
      <c r="F875" s="44"/>
      <c r="G875" s="44"/>
      <c r="H875" s="44"/>
      <c r="I875" s="44"/>
      <c r="J875" s="44"/>
      <c r="K875" s="44"/>
      <c r="L875" s="44"/>
      <c r="M875" s="44"/>
      <c r="N875" s="44"/>
      <c r="O875" s="44"/>
    </row>
    <row r="876" spans="1:15" ht="17.25" customHeight="1">
      <c r="A876" s="44"/>
      <c r="B876" s="44"/>
      <c r="C876" s="44"/>
      <c r="D876" s="44"/>
      <c r="E876" s="44"/>
      <c r="F876" s="44"/>
      <c r="G876" s="44"/>
      <c r="H876" s="44"/>
      <c r="I876" s="44"/>
      <c r="J876" s="44"/>
      <c r="K876" s="44"/>
      <c r="L876" s="44"/>
      <c r="M876" s="44"/>
      <c r="N876" s="44"/>
      <c r="O876" s="44"/>
    </row>
    <row r="877" spans="1:15" ht="17.25" customHeight="1">
      <c r="A877" s="44"/>
      <c r="B877" s="44"/>
      <c r="C877" s="44"/>
      <c r="D877" s="44"/>
      <c r="E877" s="44"/>
      <c r="F877" s="44"/>
      <c r="G877" s="44"/>
      <c r="H877" s="44"/>
      <c r="I877" s="44"/>
      <c r="J877" s="44"/>
      <c r="K877" s="44"/>
      <c r="L877" s="44"/>
      <c r="M877" s="44"/>
      <c r="N877" s="44"/>
      <c r="O877" s="44"/>
    </row>
    <row r="878" spans="1:15" ht="17.25" customHeight="1">
      <c r="A878" s="44"/>
      <c r="B878" s="44"/>
      <c r="C878" s="44"/>
      <c r="D878" s="44"/>
      <c r="E878" s="44"/>
      <c r="F878" s="44"/>
      <c r="G878" s="44"/>
      <c r="H878" s="44"/>
      <c r="I878" s="44"/>
      <c r="J878" s="44"/>
      <c r="K878" s="44"/>
      <c r="L878" s="44"/>
      <c r="M878" s="44"/>
      <c r="N878" s="44"/>
      <c r="O878" s="44"/>
    </row>
    <row r="879" spans="1:15" ht="17.25" customHeight="1">
      <c r="A879" s="44"/>
      <c r="B879" s="44"/>
      <c r="C879" s="44"/>
      <c r="D879" s="44"/>
      <c r="E879" s="44"/>
      <c r="F879" s="44"/>
      <c r="G879" s="44"/>
      <c r="H879" s="44"/>
      <c r="I879" s="44"/>
      <c r="J879" s="44"/>
      <c r="K879" s="44"/>
      <c r="L879" s="44"/>
      <c r="M879" s="44"/>
      <c r="N879" s="44"/>
      <c r="O879" s="44"/>
    </row>
    <row r="880" spans="1:15" ht="17.25" customHeight="1">
      <c r="A880" s="44"/>
      <c r="B880" s="44"/>
      <c r="C880" s="44"/>
      <c r="D880" s="44"/>
      <c r="E880" s="44"/>
      <c r="F880" s="44"/>
      <c r="G880" s="44"/>
      <c r="H880" s="44"/>
      <c r="I880" s="44"/>
      <c r="J880" s="44"/>
      <c r="K880" s="44"/>
      <c r="L880" s="44"/>
      <c r="M880" s="44"/>
      <c r="N880" s="44"/>
      <c r="O880" s="44"/>
    </row>
    <row r="881" spans="1:15" ht="17.25" customHeight="1">
      <c r="A881" s="44"/>
      <c r="B881" s="44"/>
      <c r="C881" s="44"/>
      <c r="D881" s="44"/>
      <c r="E881" s="44"/>
      <c r="F881" s="44"/>
      <c r="G881" s="44"/>
      <c r="H881" s="44"/>
      <c r="I881" s="44"/>
      <c r="J881" s="44"/>
      <c r="K881" s="44"/>
      <c r="L881" s="44"/>
      <c r="M881" s="44"/>
      <c r="N881" s="44"/>
      <c r="O881" s="44"/>
    </row>
    <row r="882" spans="1:15" ht="17.25" customHeight="1">
      <c r="A882" s="44"/>
      <c r="B882" s="44"/>
      <c r="C882" s="44"/>
      <c r="D882" s="44"/>
      <c r="E882" s="44"/>
      <c r="F882" s="44"/>
      <c r="G882" s="44"/>
      <c r="H882" s="44"/>
      <c r="I882" s="44"/>
      <c r="J882" s="44"/>
      <c r="K882" s="44"/>
      <c r="L882" s="44"/>
      <c r="M882" s="44"/>
      <c r="N882" s="44"/>
      <c r="O882" s="44"/>
    </row>
    <row r="883" spans="1:15" ht="17.25" customHeight="1">
      <c r="A883" s="44"/>
      <c r="B883" s="44"/>
      <c r="C883" s="44"/>
      <c r="D883" s="44"/>
      <c r="E883" s="44"/>
      <c r="F883" s="44"/>
      <c r="G883" s="44"/>
      <c r="H883" s="44"/>
      <c r="I883" s="44"/>
      <c r="J883" s="44"/>
      <c r="K883" s="44"/>
      <c r="L883" s="44"/>
      <c r="M883" s="44"/>
      <c r="N883" s="44"/>
      <c r="O883" s="44"/>
    </row>
    <row r="884" spans="1:15" ht="17.25" customHeight="1">
      <c r="A884" s="44"/>
      <c r="B884" s="44"/>
      <c r="C884" s="44"/>
      <c r="D884" s="44"/>
      <c r="E884" s="44"/>
      <c r="F884" s="44"/>
      <c r="G884" s="44"/>
      <c r="H884" s="44"/>
      <c r="I884" s="44"/>
      <c r="J884" s="44"/>
      <c r="K884" s="44"/>
      <c r="L884" s="44"/>
      <c r="M884" s="44"/>
      <c r="N884" s="44"/>
      <c r="O884" s="44"/>
    </row>
    <row r="885" spans="1:15" ht="17.25" customHeight="1">
      <c r="A885" s="44"/>
      <c r="B885" s="44"/>
      <c r="C885" s="44"/>
      <c r="D885" s="44"/>
      <c r="E885" s="44"/>
      <c r="F885" s="44"/>
      <c r="G885" s="44"/>
      <c r="H885" s="44"/>
      <c r="I885" s="44"/>
      <c r="J885" s="44"/>
      <c r="K885" s="44"/>
      <c r="L885" s="44"/>
      <c r="M885" s="44"/>
      <c r="N885" s="44"/>
      <c r="O885" s="44"/>
    </row>
    <row r="886" spans="1:15" ht="17.25" customHeight="1">
      <c r="A886" s="44"/>
      <c r="B886" s="44"/>
      <c r="C886" s="44"/>
      <c r="D886" s="44"/>
      <c r="E886" s="44"/>
      <c r="F886" s="44"/>
      <c r="G886" s="44"/>
      <c r="H886" s="44"/>
      <c r="I886" s="44"/>
      <c r="J886" s="44"/>
      <c r="K886" s="44"/>
      <c r="L886" s="44"/>
      <c r="M886" s="44"/>
      <c r="N886" s="44"/>
      <c r="O886" s="44"/>
    </row>
    <row r="887" spans="1:15" ht="17.25" customHeight="1">
      <c r="A887" s="44"/>
      <c r="B887" s="44"/>
      <c r="C887" s="44"/>
      <c r="D887" s="44"/>
      <c r="E887" s="44"/>
      <c r="F887" s="44"/>
      <c r="G887" s="44"/>
      <c r="H887" s="44"/>
      <c r="I887" s="44"/>
      <c r="J887" s="44"/>
      <c r="K887" s="44"/>
      <c r="L887" s="44"/>
      <c r="M887" s="44"/>
      <c r="N887" s="44"/>
      <c r="O887" s="44"/>
    </row>
    <row r="888" spans="1:15" ht="17.25" customHeight="1">
      <c r="A888" s="44"/>
      <c r="B888" s="44"/>
      <c r="C888" s="44"/>
      <c r="D888" s="44"/>
      <c r="E888" s="44"/>
      <c r="F888" s="44"/>
      <c r="G888" s="44"/>
      <c r="H888" s="44"/>
      <c r="I888" s="44"/>
      <c r="J888" s="44"/>
      <c r="K888" s="44"/>
      <c r="L888" s="44"/>
      <c r="M888" s="44"/>
      <c r="N888" s="44"/>
      <c r="O888" s="44"/>
    </row>
    <row r="889" spans="1:15" ht="17.25" customHeight="1">
      <c r="A889" s="44"/>
      <c r="B889" s="44"/>
      <c r="C889" s="44"/>
      <c r="D889" s="44"/>
      <c r="E889" s="44"/>
      <c r="F889" s="44"/>
      <c r="G889" s="44"/>
      <c r="H889" s="44"/>
      <c r="I889" s="44"/>
      <c r="J889" s="44"/>
      <c r="K889" s="44"/>
      <c r="L889" s="44"/>
      <c r="M889" s="44"/>
      <c r="N889" s="44"/>
      <c r="O889" s="44"/>
    </row>
    <row r="890" spans="1:15" ht="17.25" customHeight="1">
      <c r="A890" s="44"/>
      <c r="B890" s="44"/>
      <c r="C890" s="44"/>
      <c r="D890" s="44"/>
      <c r="E890" s="44"/>
      <c r="F890" s="44"/>
      <c r="G890" s="44"/>
      <c r="H890" s="44"/>
      <c r="I890" s="44"/>
      <c r="J890" s="44"/>
      <c r="K890" s="44"/>
      <c r="L890" s="44"/>
      <c r="M890" s="44"/>
      <c r="N890" s="44"/>
      <c r="O890" s="44"/>
    </row>
    <row r="891" spans="1:15" ht="17.25" customHeight="1">
      <c r="A891" s="44"/>
      <c r="B891" s="44"/>
      <c r="C891" s="44"/>
      <c r="D891" s="44"/>
      <c r="E891" s="44"/>
      <c r="F891" s="44"/>
      <c r="G891" s="44"/>
      <c r="H891" s="44"/>
      <c r="I891" s="44"/>
      <c r="J891" s="44"/>
      <c r="K891" s="44"/>
      <c r="L891" s="44"/>
      <c r="M891" s="44"/>
      <c r="N891" s="44"/>
      <c r="O891" s="44"/>
    </row>
    <row r="892" spans="1:15" ht="17.25" customHeight="1">
      <c r="A892" s="44"/>
      <c r="B892" s="44"/>
      <c r="C892" s="44"/>
      <c r="D892" s="44"/>
      <c r="E892" s="44"/>
      <c r="F892" s="44"/>
      <c r="G892" s="44"/>
      <c r="H892" s="44"/>
      <c r="I892" s="44"/>
      <c r="J892" s="44"/>
      <c r="K892" s="44"/>
      <c r="L892" s="44"/>
      <c r="M892" s="44"/>
      <c r="N892" s="44"/>
      <c r="O892" s="44"/>
    </row>
    <row r="893" spans="1:15" ht="17.25" customHeight="1">
      <c r="A893" s="44"/>
      <c r="B893" s="44"/>
      <c r="C893" s="44"/>
      <c r="D893" s="44"/>
      <c r="E893" s="44"/>
      <c r="F893" s="44"/>
      <c r="G893" s="44"/>
      <c r="H893" s="44"/>
      <c r="I893" s="44"/>
      <c r="J893" s="44"/>
      <c r="K893" s="44"/>
      <c r="L893" s="44"/>
      <c r="M893" s="44"/>
      <c r="N893" s="44"/>
      <c r="O893" s="44"/>
    </row>
    <row r="894" spans="1:15" ht="17.25" customHeight="1">
      <c r="A894" s="44"/>
      <c r="B894" s="44"/>
      <c r="C894" s="44"/>
      <c r="D894" s="44"/>
      <c r="E894" s="44"/>
      <c r="F894" s="44"/>
      <c r="G894" s="44"/>
      <c r="H894" s="44"/>
      <c r="I894" s="44"/>
      <c r="J894" s="44"/>
      <c r="K894" s="44"/>
      <c r="L894" s="44"/>
      <c r="M894" s="44"/>
      <c r="N894" s="44"/>
      <c r="O894" s="44"/>
    </row>
    <row r="895" spans="1:15" ht="17.25" customHeight="1">
      <c r="A895" s="44"/>
      <c r="B895" s="44"/>
      <c r="C895" s="44"/>
      <c r="D895" s="44"/>
      <c r="E895" s="44"/>
      <c r="F895" s="44"/>
      <c r="G895" s="44"/>
      <c r="H895" s="44"/>
      <c r="I895" s="44"/>
      <c r="J895" s="44"/>
      <c r="K895" s="44"/>
      <c r="L895" s="44"/>
      <c r="M895" s="44"/>
      <c r="N895" s="44"/>
      <c r="O895" s="44"/>
    </row>
    <row r="896" spans="1:15" ht="17.25" customHeight="1">
      <c r="A896" s="44"/>
      <c r="B896" s="44"/>
      <c r="C896" s="44"/>
      <c r="D896" s="44"/>
      <c r="E896" s="44"/>
      <c r="F896" s="44"/>
      <c r="G896" s="44"/>
      <c r="H896" s="44"/>
      <c r="I896" s="44"/>
      <c r="J896" s="44"/>
      <c r="K896" s="44"/>
      <c r="L896" s="44"/>
      <c r="M896" s="44"/>
      <c r="N896" s="44"/>
      <c r="O896" s="44"/>
    </row>
    <row r="897" spans="1:15" ht="17.25" customHeight="1">
      <c r="A897" s="44"/>
      <c r="B897" s="44"/>
      <c r="C897" s="44"/>
      <c r="D897" s="44"/>
      <c r="E897" s="44"/>
      <c r="F897" s="44"/>
      <c r="G897" s="44"/>
      <c r="H897" s="44"/>
      <c r="I897" s="44"/>
      <c r="J897" s="44"/>
      <c r="K897" s="44"/>
      <c r="L897" s="44"/>
      <c r="M897" s="44"/>
      <c r="N897" s="44"/>
      <c r="O897" s="44"/>
    </row>
    <row r="898" spans="1:15" ht="17.25" customHeight="1">
      <c r="A898" s="44"/>
      <c r="B898" s="44"/>
      <c r="C898" s="44"/>
      <c r="D898" s="44"/>
      <c r="E898" s="44"/>
      <c r="F898" s="44"/>
      <c r="G898" s="44"/>
      <c r="H898" s="44"/>
      <c r="I898" s="44"/>
      <c r="J898" s="44"/>
      <c r="K898" s="44"/>
      <c r="L898" s="44"/>
      <c r="M898" s="44"/>
      <c r="N898" s="44"/>
      <c r="O898" s="44"/>
    </row>
    <row r="899" spans="1:15" ht="17.25" customHeight="1">
      <c r="A899" s="44"/>
      <c r="B899" s="44"/>
      <c r="C899" s="44"/>
      <c r="D899" s="44"/>
      <c r="E899" s="44"/>
      <c r="F899" s="44"/>
      <c r="G899" s="44"/>
      <c r="H899" s="44"/>
      <c r="I899" s="44"/>
      <c r="J899" s="44"/>
      <c r="K899" s="44"/>
      <c r="L899" s="44"/>
      <c r="M899" s="44"/>
      <c r="N899" s="44"/>
      <c r="O899" s="44"/>
    </row>
    <row r="900" spans="1:15" ht="17.25" customHeight="1">
      <c r="A900" s="44"/>
      <c r="B900" s="44"/>
      <c r="C900" s="44"/>
      <c r="D900" s="44"/>
      <c r="E900" s="44"/>
      <c r="F900" s="44"/>
      <c r="G900" s="44"/>
      <c r="H900" s="44"/>
      <c r="I900" s="44"/>
      <c r="J900" s="44"/>
      <c r="K900" s="44"/>
      <c r="L900" s="44"/>
      <c r="M900" s="44"/>
      <c r="N900" s="44"/>
      <c r="O900" s="44"/>
    </row>
    <row r="901" spans="1:15" ht="17.25" customHeight="1">
      <c r="A901" s="44"/>
      <c r="B901" s="44"/>
      <c r="C901" s="44"/>
      <c r="D901" s="44"/>
      <c r="E901" s="44"/>
      <c r="F901" s="44"/>
      <c r="G901" s="44"/>
      <c r="H901" s="44"/>
      <c r="I901" s="44"/>
      <c r="J901" s="44"/>
      <c r="K901" s="44"/>
      <c r="L901" s="44"/>
      <c r="M901" s="44"/>
      <c r="N901" s="44"/>
      <c r="O901" s="44"/>
    </row>
    <row r="902" spans="1:15" ht="17.25" customHeight="1">
      <c r="A902" s="44"/>
      <c r="B902" s="44"/>
      <c r="C902" s="44"/>
      <c r="D902" s="44"/>
      <c r="E902" s="44"/>
      <c r="F902" s="44"/>
      <c r="G902" s="44"/>
      <c r="H902" s="44"/>
      <c r="I902" s="44"/>
      <c r="J902" s="44"/>
      <c r="K902" s="44"/>
      <c r="L902" s="44"/>
      <c r="M902" s="44"/>
      <c r="N902" s="44"/>
      <c r="O902" s="44"/>
    </row>
    <row r="903" spans="1:15" ht="17.25" customHeight="1">
      <c r="A903" s="44"/>
      <c r="B903" s="44"/>
      <c r="C903" s="44"/>
      <c r="D903" s="44"/>
      <c r="E903" s="44"/>
      <c r="F903" s="44"/>
      <c r="G903" s="44"/>
      <c r="H903" s="44"/>
      <c r="I903" s="44"/>
      <c r="J903" s="44"/>
      <c r="K903" s="44"/>
      <c r="L903" s="44"/>
      <c r="M903" s="44"/>
      <c r="N903" s="44"/>
      <c r="O903" s="44"/>
    </row>
    <row r="904" spans="1:15" ht="17.25" customHeight="1">
      <c r="A904" s="44"/>
      <c r="B904" s="44"/>
      <c r="C904" s="44"/>
      <c r="D904" s="44"/>
      <c r="E904" s="44"/>
      <c r="F904" s="44"/>
      <c r="G904" s="44"/>
      <c r="H904" s="44"/>
      <c r="I904" s="44"/>
      <c r="J904" s="44"/>
      <c r="K904" s="44"/>
      <c r="L904" s="44"/>
      <c r="M904" s="44"/>
      <c r="N904" s="44"/>
      <c r="O904" s="44"/>
    </row>
    <row r="905" spans="1:15" ht="17.25" customHeight="1">
      <c r="A905" s="44"/>
      <c r="B905" s="44"/>
      <c r="C905" s="44"/>
      <c r="D905" s="44"/>
      <c r="E905" s="44"/>
      <c r="F905" s="44"/>
      <c r="G905" s="44"/>
      <c r="H905" s="44"/>
      <c r="I905" s="44"/>
      <c r="J905" s="44"/>
      <c r="K905" s="44"/>
      <c r="L905" s="44"/>
      <c r="M905" s="44"/>
      <c r="N905" s="44"/>
      <c r="O905" s="44"/>
    </row>
    <row r="906" spans="1:15" ht="17.25" customHeight="1">
      <c r="A906" s="44"/>
      <c r="B906" s="44"/>
      <c r="C906" s="44"/>
      <c r="D906" s="44"/>
      <c r="E906" s="44"/>
      <c r="F906" s="44"/>
      <c r="G906" s="44"/>
      <c r="H906" s="44"/>
      <c r="I906" s="44"/>
      <c r="J906" s="44"/>
      <c r="K906" s="44"/>
      <c r="L906" s="44"/>
      <c r="M906" s="44"/>
      <c r="N906" s="44"/>
      <c r="O906" s="44"/>
    </row>
    <row r="907" spans="1:15" ht="17.25" customHeight="1">
      <c r="A907" s="44"/>
      <c r="B907" s="44"/>
      <c r="C907" s="44"/>
      <c r="D907" s="44"/>
      <c r="E907" s="44"/>
      <c r="F907" s="44"/>
      <c r="G907" s="44"/>
      <c r="H907" s="44"/>
      <c r="I907" s="44"/>
      <c r="J907" s="44"/>
      <c r="K907" s="44"/>
      <c r="L907" s="44"/>
      <c r="M907" s="44"/>
      <c r="N907" s="44"/>
      <c r="O907" s="44"/>
    </row>
    <row r="908" spans="1:15" ht="17.25" customHeight="1">
      <c r="A908" s="44"/>
      <c r="B908" s="44"/>
      <c r="C908" s="44"/>
      <c r="D908" s="44"/>
      <c r="E908" s="44"/>
      <c r="F908" s="44"/>
      <c r="G908" s="44"/>
      <c r="H908" s="44"/>
      <c r="I908" s="44"/>
      <c r="J908" s="44"/>
      <c r="K908" s="44"/>
      <c r="L908" s="44"/>
      <c r="M908" s="44"/>
      <c r="N908" s="44"/>
      <c r="O908" s="44"/>
    </row>
    <row r="909" spans="1:15" ht="17.25" customHeight="1">
      <c r="A909" s="44"/>
      <c r="B909" s="44"/>
      <c r="C909" s="44"/>
      <c r="D909" s="44"/>
      <c r="E909" s="44"/>
      <c r="F909" s="44"/>
      <c r="G909" s="44"/>
      <c r="H909" s="44"/>
      <c r="I909" s="44"/>
      <c r="J909" s="44"/>
      <c r="K909" s="44"/>
      <c r="L909" s="44"/>
      <c r="M909" s="44"/>
      <c r="N909" s="44"/>
      <c r="O909" s="44"/>
    </row>
    <row r="910" spans="1:15" ht="17.25" customHeight="1">
      <c r="A910" s="44"/>
      <c r="B910" s="44"/>
      <c r="C910" s="44"/>
      <c r="D910" s="44"/>
      <c r="E910" s="44"/>
      <c r="F910" s="44"/>
      <c r="G910" s="44"/>
      <c r="H910" s="44"/>
      <c r="I910" s="44"/>
      <c r="J910" s="44"/>
      <c r="K910" s="44"/>
      <c r="L910" s="44"/>
      <c r="M910" s="44"/>
      <c r="N910" s="44"/>
      <c r="O910" s="44"/>
    </row>
    <row r="911" spans="1:15" ht="17.25" customHeight="1">
      <c r="A911" s="44"/>
      <c r="B911" s="44"/>
      <c r="C911" s="44"/>
      <c r="D911" s="44"/>
      <c r="E911" s="44"/>
      <c r="F911" s="44"/>
      <c r="G911" s="44"/>
      <c r="H911" s="44"/>
      <c r="I911" s="44"/>
      <c r="J911" s="44"/>
      <c r="K911" s="44"/>
      <c r="L911" s="44"/>
      <c r="M911" s="44"/>
      <c r="N911" s="44"/>
      <c r="O911" s="44"/>
    </row>
    <row r="912" spans="1:15" ht="17.25" customHeight="1">
      <c r="A912" s="44"/>
      <c r="B912" s="44"/>
      <c r="C912" s="44"/>
      <c r="D912" s="44"/>
      <c r="E912" s="44"/>
      <c r="F912" s="44"/>
      <c r="G912" s="44"/>
      <c r="H912" s="44"/>
      <c r="I912" s="44"/>
      <c r="J912" s="44"/>
      <c r="K912" s="44"/>
      <c r="L912" s="44"/>
      <c r="M912" s="44"/>
      <c r="N912" s="44"/>
      <c r="O912" s="44"/>
    </row>
    <row r="913" spans="1:15" ht="17.25" customHeight="1">
      <c r="A913" s="44"/>
      <c r="B913" s="44"/>
      <c r="C913" s="44"/>
      <c r="D913" s="44"/>
      <c r="E913" s="44"/>
      <c r="F913" s="44"/>
      <c r="G913" s="44"/>
      <c r="H913" s="44"/>
      <c r="I913" s="44"/>
      <c r="J913" s="44"/>
      <c r="K913" s="44"/>
      <c r="L913" s="44"/>
      <c r="M913" s="44"/>
      <c r="N913" s="44"/>
      <c r="O913" s="44"/>
    </row>
    <row r="914" spans="1:15" ht="17.25" customHeight="1">
      <c r="A914" s="44"/>
      <c r="B914" s="44"/>
      <c r="C914" s="44"/>
      <c r="D914" s="44"/>
      <c r="E914" s="44"/>
      <c r="F914" s="44"/>
      <c r="G914" s="44"/>
      <c r="H914" s="44"/>
      <c r="I914" s="44"/>
      <c r="J914" s="44"/>
      <c r="K914" s="44"/>
      <c r="L914" s="44"/>
      <c r="M914" s="44"/>
      <c r="N914" s="44"/>
      <c r="O914" s="44"/>
    </row>
    <row r="915" spans="1:15" ht="17.25" customHeight="1">
      <c r="A915" s="44"/>
      <c r="B915" s="44"/>
      <c r="C915" s="44"/>
      <c r="D915" s="44"/>
      <c r="E915" s="44"/>
      <c r="F915" s="44"/>
      <c r="G915" s="44"/>
      <c r="H915" s="44"/>
      <c r="I915" s="44"/>
      <c r="J915" s="44"/>
      <c r="K915" s="44"/>
      <c r="L915" s="44"/>
      <c r="M915" s="44"/>
      <c r="N915" s="44"/>
      <c r="O915" s="44"/>
    </row>
    <row r="916" spans="1:15" ht="17.25" customHeight="1">
      <c r="A916" s="44"/>
      <c r="B916" s="44"/>
      <c r="C916" s="44"/>
      <c r="D916" s="44"/>
      <c r="E916" s="44"/>
      <c r="F916" s="44"/>
      <c r="G916" s="44"/>
      <c r="H916" s="44"/>
      <c r="I916" s="44"/>
      <c r="J916" s="44"/>
      <c r="K916" s="44"/>
      <c r="L916" s="44"/>
      <c r="M916" s="44"/>
      <c r="N916" s="44"/>
      <c r="O916" s="44"/>
    </row>
    <row r="917" spans="1:15" ht="17.25" customHeight="1">
      <c r="A917" s="44"/>
      <c r="B917" s="44"/>
      <c r="C917" s="44"/>
      <c r="D917" s="44"/>
      <c r="E917" s="44"/>
      <c r="F917" s="44"/>
      <c r="G917" s="44"/>
      <c r="H917" s="44"/>
      <c r="I917" s="44"/>
      <c r="J917" s="44"/>
      <c r="K917" s="44"/>
      <c r="L917" s="44"/>
      <c r="M917" s="44"/>
      <c r="N917" s="44"/>
      <c r="O917" s="44"/>
    </row>
    <row r="918" spans="1:15" ht="17.25" customHeight="1">
      <c r="A918" s="44"/>
      <c r="B918" s="44"/>
      <c r="C918" s="44"/>
      <c r="D918" s="44"/>
      <c r="E918" s="44"/>
      <c r="F918" s="44"/>
      <c r="G918" s="44"/>
      <c r="H918" s="44"/>
      <c r="I918" s="44"/>
      <c r="J918" s="44"/>
      <c r="K918" s="44"/>
      <c r="L918" s="44"/>
      <c r="M918" s="44"/>
      <c r="N918" s="44"/>
      <c r="O918" s="44"/>
    </row>
    <row r="919" spans="1:15" ht="17.25" customHeight="1">
      <c r="A919" s="44"/>
      <c r="B919" s="44"/>
      <c r="C919" s="44"/>
      <c r="D919" s="44"/>
      <c r="E919" s="44"/>
      <c r="F919" s="44"/>
      <c r="G919" s="44"/>
      <c r="H919" s="44"/>
      <c r="I919" s="44"/>
      <c r="J919" s="44"/>
      <c r="K919" s="44"/>
      <c r="L919" s="44"/>
      <c r="M919" s="44"/>
      <c r="N919" s="44"/>
      <c r="O919" s="44"/>
    </row>
    <row r="920" spans="1:15" ht="17.25" customHeight="1">
      <c r="A920" s="44"/>
      <c r="B920" s="44"/>
      <c r="C920" s="44"/>
      <c r="D920" s="44"/>
      <c r="E920" s="44"/>
      <c r="F920" s="44"/>
      <c r="G920" s="44"/>
      <c r="H920" s="44"/>
      <c r="I920" s="44"/>
      <c r="J920" s="44"/>
      <c r="K920" s="44"/>
      <c r="L920" s="44"/>
      <c r="M920" s="44"/>
      <c r="N920" s="44"/>
      <c r="O920" s="44"/>
    </row>
    <row r="921" spans="1:15" ht="17.25" customHeight="1">
      <c r="A921" s="44"/>
      <c r="B921" s="44"/>
      <c r="C921" s="44"/>
      <c r="D921" s="44"/>
      <c r="E921" s="44"/>
      <c r="F921" s="44"/>
      <c r="G921" s="44"/>
      <c r="H921" s="44"/>
      <c r="I921" s="44"/>
      <c r="J921" s="44"/>
      <c r="K921" s="44"/>
      <c r="L921" s="44"/>
      <c r="M921" s="44"/>
      <c r="N921" s="44"/>
      <c r="O921" s="44"/>
    </row>
    <row r="922" spans="1:15" ht="17.25" customHeight="1">
      <c r="A922" s="44"/>
      <c r="B922" s="44"/>
      <c r="C922" s="44"/>
      <c r="D922" s="44"/>
      <c r="E922" s="44"/>
      <c r="F922" s="44"/>
      <c r="G922" s="44"/>
      <c r="H922" s="44"/>
      <c r="I922" s="44"/>
      <c r="J922" s="44"/>
      <c r="K922" s="44"/>
      <c r="L922" s="44"/>
      <c r="M922" s="44"/>
      <c r="N922" s="44"/>
      <c r="O922" s="44"/>
    </row>
    <row r="923" spans="1:15" ht="17.25" customHeight="1">
      <c r="A923" s="44"/>
      <c r="B923" s="44"/>
      <c r="C923" s="44"/>
      <c r="D923" s="44"/>
      <c r="E923" s="44"/>
      <c r="F923" s="44"/>
      <c r="G923" s="44"/>
      <c r="H923" s="44"/>
      <c r="I923" s="44"/>
      <c r="J923" s="44"/>
      <c r="K923" s="44"/>
      <c r="L923" s="44"/>
      <c r="M923" s="44"/>
      <c r="N923" s="44"/>
      <c r="O923" s="44"/>
    </row>
    <row r="924" spans="1:15" ht="17.25" customHeight="1">
      <c r="A924" s="44"/>
      <c r="B924" s="44"/>
      <c r="C924" s="44"/>
      <c r="D924" s="44"/>
      <c r="E924" s="44"/>
      <c r="F924" s="44"/>
      <c r="G924" s="44"/>
      <c r="H924" s="44"/>
      <c r="I924" s="44"/>
      <c r="J924" s="44"/>
      <c r="K924" s="44"/>
      <c r="L924" s="44"/>
      <c r="M924" s="44"/>
      <c r="N924" s="44"/>
      <c r="O924" s="44"/>
    </row>
    <row r="925" spans="1:15" ht="17.25" customHeight="1">
      <c r="A925" s="44"/>
      <c r="B925" s="44"/>
      <c r="C925" s="44"/>
      <c r="D925" s="44"/>
      <c r="E925" s="44"/>
      <c r="F925" s="44"/>
      <c r="G925" s="44"/>
      <c r="H925" s="44"/>
      <c r="I925" s="44"/>
      <c r="J925" s="44"/>
      <c r="K925" s="44"/>
      <c r="L925" s="44"/>
      <c r="M925" s="44"/>
      <c r="N925" s="44"/>
      <c r="O925" s="44"/>
    </row>
    <row r="926" spans="1:15" ht="17.25" customHeight="1">
      <c r="A926" s="44"/>
      <c r="B926" s="44"/>
      <c r="C926" s="44"/>
      <c r="D926" s="44"/>
      <c r="E926" s="44"/>
      <c r="F926" s="44"/>
      <c r="G926" s="44"/>
      <c r="H926" s="44"/>
      <c r="I926" s="44"/>
      <c r="J926" s="44"/>
      <c r="K926" s="44"/>
      <c r="L926" s="44"/>
      <c r="M926" s="44"/>
      <c r="N926" s="44"/>
      <c r="O926" s="44"/>
    </row>
    <row r="927" spans="1:15" ht="17.25" customHeight="1">
      <c r="A927" s="44"/>
      <c r="B927" s="44"/>
      <c r="C927" s="44"/>
      <c r="D927" s="44"/>
      <c r="E927" s="44"/>
      <c r="F927" s="44"/>
      <c r="G927" s="44"/>
      <c r="H927" s="44"/>
      <c r="I927" s="44"/>
      <c r="J927" s="44"/>
      <c r="K927" s="44"/>
      <c r="L927" s="44"/>
      <c r="M927" s="44"/>
      <c r="N927" s="44"/>
      <c r="O927" s="44"/>
    </row>
    <row r="928" spans="1:15" ht="17.25" customHeight="1">
      <c r="A928" s="44"/>
      <c r="B928" s="44"/>
      <c r="C928" s="44"/>
      <c r="D928" s="44"/>
      <c r="E928" s="44"/>
      <c r="F928" s="44"/>
      <c r="G928" s="44"/>
      <c r="H928" s="44"/>
      <c r="I928" s="44"/>
      <c r="J928" s="44"/>
      <c r="K928" s="44"/>
      <c r="L928" s="44"/>
      <c r="M928" s="44"/>
      <c r="N928" s="44"/>
      <c r="O928" s="44"/>
    </row>
    <row r="929" spans="1:15" ht="17.25" customHeight="1">
      <c r="A929" s="44"/>
      <c r="B929" s="44"/>
      <c r="C929" s="44"/>
      <c r="D929" s="44"/>
      <c r="E929" s="44"/>
      <c r="F929" s="44"/>
      <c r="G929" s="44"/>
      <c r="H929" s="44"/>
      <c r="I929" s="44"/>
      <c r="J929" s="44"/>
      <c r="K929" s="44"/>
      <c r="L929" s="44"/>
      <c r="M929" s="44"/>
      <c r="N929" s="44"/>
      <c r="O929" s="44"/>
    </row>
    <row r="930" spans="1:15" ht="17.25" customHeight="1">
      <c r="A930" s="44"/>
      <c r="B930" s="44"/>
      <c r="C930" s="44"/>
      <c r="D930" s="44"/>
      <c r="E930" s="44"/>
      <c r="F930" s="44"/>
      <c r="G930" s="44"/>
      <c r="H930" s="44"/>
      <c r="I930" s="44"/>
      <c r="J930" s="44"/>
      <c r="K930" s="44"/>
      <c r="L930" s="44"/>
      <c r="M930" s="44"/>
      <c r="N930" s="44"/>
      <c r="O930" s="44"/>
    </row>
    <row r="931" spans="1:15" ht="17.25" customHeight="1">
      <c r="A931" s="44"/>
      <c r="B931" s="44"/>
      <c r="C931" s="44"/>
      <c r="D931" s="44"/>
      <c r="E931" s="44"/>
      <c r="F931" s="44"/>
      <c r="G931" s="44"/>
      <c r="H931" s="44"/>
      <c r="I931" s="44"/>
      <c r="J931" s="44"/>
      <c r="K931" s="44"/>
      <c r="L931" s="44"/>
      <c r="M931" s="44"/>
      <c r="N931" s="44"/>
      <c r="O931" s="44"/>
    </row>
    <row r="932" spans="1:15" ht="17.25" customHeight="1">
      <c r="A932" s="44"/>
      <c r="B932" s="44"/>
      <c r="C932" s="44"/>
      <c r="D932" s="44"/>
      <c r="E932" s="44"/>
      <c r="F932" s="44"/>
      <c r="G932" s="44"/>
      <c r="H932" s="44"/>
      <c r="I932" s="44"/>
      <c r="J932" s="44"/>
      <c r="K932" s="44"/>
      <c r="L932" s="44"/>
      <c r="M932" s="44"/>
      <c r="N932" s="44"/>
      <c r="O932" s="44"/>
    </row>
    <row r="933" spans="1:15" ht="17.25" customHeight="1">
      <c r="A933" s="44"/>
      <c r="B933" s="44"/>
      <c r="C933" s="44"/>
      <c r="D933" s="44"/>
      <c r="E933" s="44"/>
      <c r="F933" s="44"/>
      <c r="G933" s="44"/>
      <c r="H933" s="44"/>
      <c r="I933" s="44"/>
      <c r="J933" s="44"/>
      <c r="K933" s="44"/>
      <c r="L933" s="44"/>
      <c r="M933" s="44"/>
      <c r="N933" s="44"/>
      <c r="O933" s="44"/>
    </row>
    <row r="934" spans="1:15" ht="17.25" customHeight="1">
      <c r="A934" s="44"/>
      <c r="B934" s="44"/>
      <c r="C934" s="44"/>
      <c r="D934" s="44"/>
      <c r="E934" s="44"/>
      <c r="F934" s="44"/>
      <c r="G934" s="44"/>
      <c r="H934" s="44"/>
      <c r="I934" s="44"/>
      <c r="J934" s="44"/>
      <c r="K934" s="44"/>
      <c r="L934" s="44"/>
      <c r="M934" s="44"/>
      <c r="N934" s="44"/>
      <c r="O934" s="44"/>
    </row>
    <row r="935" spans="1:15" ht="17.25" customHeight="1">
      <c r="A935" s="44"/>
      <c r="B935" s="44"/>
      <c r="C935" s="44"/>
      <c r="D935" s="44"/>
      <c r="E935" s="44"/>
      <c r="F935" s="44"/>
      <c r="G935" s="44"/>
      <c r="H935" s="44"/>
      <c r="I935" s="44"/>
      <c r="J935" s="44"/>
      <c r="K935" s="44"/>
      <c r="L935" s="44"/>
      <c r="M935" s="44"/>
      <c r="N935" s="44"/>
      <c r="O935" s="44"/>
    </row>
    <row r="936" spans="1:15" ht="17.25" customHeight="1">
      <c r="A936" s="44"/>
      <c r="B936" s="44"/>
      <c r="C936" s="44"/>
      <c r="D936" s="44"/>
      <c r="E936" s="44"/>
      <c r="F936" s="44"/>
      <c r="G936" s="44"/>
      <c r="H936" s="44"/>
      <c r="I936" s="44"/>
      <c r="J936" s="44"/>
      <c r="K936" s="44"/>
      <c r="L936" s="44"/>
      <c r="M936" s="44"/>
      <c r="N936" s="44"/>
      <c r="O936" s="44"/>
    </row>
    <row r="937" spans="1:15" ht="17.25" customHeight="1">
      <c r="A937" s="44"/>
      <c r="B937" s="44"/>
      <c r="C937" s="44"/>
      <c r="D937" s="44"/>
      <c r="E937" s="44"/>
      <c r="F937" s="44"/>
      <c r="G937" s="44"/>
      <c r="H937" s="44"/>
      <c r="I937" s="44"/>
      <c r="J937" s="44"/>
      <c r="K937" s="44"/>
      <c r="L937" s="44"/>
      <c r="M937" s="44"/>
      <c r="N937" s="44"/>
      <c r="O937" s="44"/>
    </row>
    <row r="938" spans="1:15" ht="17.25" customHeight="1">
      <c r="A938" s="44"/>
      <c r="B938" s="44"/>
      <c r="C938" s="44"/>
      <c r="D938" s="44"/>
      <c r="E938" s="44"/>
      <c r="F938" s="44"/>
      <c r="G938" s="44"/>
      <c r="H938" s="44"/>
      <c r="I938" s="44"/>
      <c r="J938" s="44"/>
      <c r="K938" s="44"/>
      <c r="L938" s="44"/>
      <c r="M938" s="44"/>
      <c r="N938" s="44"/>
      <c r="O938" s="44"/>
    </row>
    <row r="939" spans="1:15" ht="17.25" customHeight="1">
      <c r="A939" s="44"/>
      <c r="B939" s="44"/>
      <c r="C939" s="44"/>
      <c r="D939" s="44"/>
      <c r="E939" s="44"/>
      <c r="F939" s="44"/>
      <c r="G939" s="44"/>
      <c r="H939" s="44"/>
      <c r="I939" s="44"/>
      <c r="J939" s="44"/>
      <c r="K939" s="44"/>
      <c r="L939" s="44"/>
      <c r="M939" s="44"/>
      <c r="N939" s="44"/>
      <c r="O939" s="44"/>
    </row>
    <row r="940" spans="1:15" ht="17.25" customHeight="1">
      <c r="A940" s="44"/>
      <c r="B940" s="44"/>
      <c r="C940" s="44"/>
      <c r="D940" s="44"/>
      <c r="E940" s="44"/>
      <c r="F940" s="44"/>
      <c r="G940" s="44"/>
      <c r="H940" s="44"/>
      <c r="I940" s="44"/>
      <c r="J940" s="44"/>
      <c r="K940" s="44"/>
      <c r="L940" s="44"/>
      <c r="M940" s="44"/>
      <c r="N940" s="44"/>
      <c r="O940" s="44"/>
    </row>
    <row r="941" spans="1:15" ht="17.25" customHeight="1">
      <c r="A941" s="44"/>
      <c r="B941" s="44"/>
      <c r="C941" s="44"/>
      <c r="D941" s="44"/>
      <c r="E941" s="44"/>
      <c r="F941" s="44"/>
      <c r="G941" s="44"/>
      <c r="H941" s="44"/>
      <c r="I941" s="44"/>
      <c r="J941" s="44"/>
      <c r="K941" s="44"/>
      <c r="L941" s="44"/>
      <c r="M941" s="44"/>
      <c r="N941" s="44"/>
      <c r="O941" s="44"/>
    </row>
    <row r="942" spans="1:15" ht="17.25" customHeight="1">
      <c r="A942" s="44"/>
      <c r="B942" s="44"/>
      <c r="C942" s="44"/>
      <c r="D942" s="44"/>
      <c r="E942" s="44"/>
      <c r="F942" s="44"/>
      <c r="G942" s="44"/>
      <c r="H942" s="44"/>
      <c r="I942" s="44"/>
      <c r="J942" s="44"/>
      <c r="K942" s="44"/>
      <c r="L942" s="44"/>
      <c r="M942" s="44"/>
      <c r="N942" s="44"/>
      <c r="O942" s="44"/>
    </row>
    <row r="943" spans="1:15" ht="17.25" customHeight="1">
      <c r="A943" s="44"/>
      <c r="B943" s="44"/>
      <c r="C943" s="44"/>
      <c r="D943" s="44"/>
      <c r="E943" s="44"/>
      <c r="F943" s="44"/>
      <c r="G943" s="44"/>
      <c r="H943" s="44"/>
      <c r="I943" s="44"/>
      <c r="J943" s="44"/>
      <c r="K943" s="44"/>
      <c r="L943" s="44"/>
      <c r="M943" s="44"/>
      <c r="N943" s="44"/>
      <c r="O943" s="44"/>
    </row>
    <row r="944" spans="1:15" ht="17.25" customHeight="1">
      <c r="A944" s="44"/>
      <c r="B944" s="44"/>
      <c r="C944" s="44"/>
      <c r="D944" s="44"/>
      <c r="E944" s="44"/>
      <c r="F944" s="44"/>
      <c r="G944" s="44"/>
      <c r="H944" s="44"/>
      <c r="I944" s="44"/>
      <c r="J944" s="44"/>
      <c r="K944" s="44"/>
      <c r="L944" s="44"/>
      <c r="M944" s="44"/>
      <c r="N944" s="44"/>
      <c r="O944" s="44"/>
    </row>
    <row r="945" spans="1:15" ht="17.25" customHeight="1">
      <c r="A945" s="44"/>
      <c r="B945" s="44"/>
      <c r="C945" s="44"/>
      <c r="D945" s="44"/>
      <c r="E945" s="44"/>
      <c r="F945" s="44"/>
      <c r="G945" s="44"/>
      <c r="H945" s="44"/>
      <c r="I945" s="44"/>
      <c r="J945" s="44"/>
      <c r="K945" s="44"/>
      <c r="L945" s="44"/>
      <c r="M945" s="44"/>
      <c r="N945" s="44"/>
      <c r="O945" s="44"/>
    </row>
    <row r="946" spans="1:15" ht="17.25" customHeight="1">
      <c r="A946" s="44"/>
      <c r="B946" s="44"/>
      <c r="C946" s="44"/>
      <c r="D946" s="44"/>
      <c r="E946" s="44"/>
      <c r="F946" s="44"/>
      <c r="G946" s="44"/>
      <c r="H946" s="44"/>
      <c r="I946" s="44"/>
      <c r="J946" s="44"/>
      <c r="K946" s="44"/>
      <c r="L946" s="44"/>
      <c r="M946" s="44"/>
      <c r="N946" s="44"/>
      <c r="O946" s="44"/>
    </row>
    <row r="947" spans="1:15" ht="17.25" customHeight="1">
      <c r="A947" s="44"/>
      <c r="B947" s="44"/>
      <c r="C947" s="44"/>
      <c r="D947" s="44"/>
      <c r="E947" s="44"/>
      <c r="F947" s="44"/>
      <c r="G947" s="44"/>
      <c r="H947" s="44"/>
      <c r="I947" s="44"/>
      <c r="J947" s="44"/>
      <c r="K947" s="44"/>
      <c r="L947" s="44"/>
      <c r="M947" s="44"/>
      <c r="N947" s="44"/>
      <c r="O947" s="44"/>
    </row>
    <row r="948" spans="1:15" ht="17.25" customHeight="1">
      <c r="A948" s="44"/>
      <c r="B948" s="44"/>
      <c r="C948" s="44"/>
      <c r="D948" s="44"/>
      <c r="E948" s="44"/>
      <c r="F948" s="44"/>
      <c r="G948" s="44"/>
      <c r="H948" s="44"/>
      <c r="I948" s="44"/>
      <c r="J948" s="44"/>
      <c r="K948" s="44"/>
      <c r="L948" s="44"/>
      <c r="M948" s="44"/>
      <c r="N948" s="44"/>
      <c r="O948" s="44"/>
    </row>
    <row r="949" spans="1:15" ht="17.25" customHeight="1">
      <c r="A949" s="44"/>
      <c r="B949" s="44"/>
      <c r="C949" s="44"/>
      <c r="D949" s="44"/>
      <c r="E949" s="44"/>
      <c r="F949" s="44"/>
      <c r="G949" s="44"/>
      <c r="H949" s="44"/>
      <c r="I949" s="44"/>
      <c r="J949" s="44"/>
      <c r="K949" s="44"/>
      <c r="L949" s="44"/>
      <c r="M949" s="44"/>
      <c r="N949" s="44"/>
      <c r="O949" s="44"/>
    </row>
    <row r="950" spans="1:15" ht="17.25" customHeight="1">
      <c r="A950" s="44"/>
      <c r="B950" s="44"/>
      <c r="C950" s="44"/>
      <c r="D950" s="44"/>
      <c r="E950" s="44"/>
      <c r="F950" s="44"/>
      <c r="G950" s="44"/>
      <c r="H950" s="44"/>
      <c r="I950" s="44"/>
      <c r="J950" s="44"/>
      <c r="K950" s="44"/>
      <c r="L950" s="44"/>
      <c r="M950" s="44"/>
      <c r="N950" s="44"/>
      <c r="O950" s="44"/>
    </row>
    <row r="951" spans="1:15" ht="17.25" customHeight="1">
      <c r="A951" s="44"/>
      <c r="B951" s="44"/>
      <c r="C951" s="44"/>
      <c r="D951" s="44"/>
      <c r="E951" s="44"/>
      <c r="F951" s="44"/>
      <c r="G951" s="44"/>
      <c r="H951" s="44"/>
      <c r="I951" s="44"/>
      <c r="J951" s="44"/>
      <c r="K951" s="44"/>
      <c r="L951" s="44"/>
      <c r="M951" s="44"/>
      <c r="N951" s="44"/>
      <c r="O951" s="44"/>
    </row>
    <row r="952" spans="1:15" ht="17.25" customHeight="1">
      <c r="A952" s="44"/>
      <c r="B952" s="44"/>
      <c r="C952" s="44"/>
      <c r="D952" s="44"/>
      <c r="E952" s="44"/>
      <c r="F952" s="44"/>
      <c r="G952" s="44"/>
      <c r="H952" s="44"/>
      <c r="I952" s="44"/>
      <c r="J952" s="44"/>
      <c r="K952" s="44"/>
      <c r="L952" s="44"/>
      <c r="M952" s="44"/>
      <c r="N952" s="44"/>
      <c r="O952" s="44"/>
    </row>
    <row r="953" spans="1:15" ht="17.25" customHeight="1">
      <c r="A953" s="44"/>
      <c r="B953" s="44"/>
      <c r="C953" s="44"/>
      <c r="D953" s="44"/>
      <c r="E953" s="44"/>
      <c r="F953" s="44"/>
      <c r="G953" s="44"/>
      <c r="H953" s="44"/>
      <c r="I953" s="44"/>
      <c r="J953" s="44"/>
      <c r="K953" s="44"/>
      <c r="L953" s="44"/>
      <c r="M953" s="44"/>
      <c r="N953" s="44"/>
      <c r="O953" s="44"/>
    </row>
    <row r="954" spans="1:15" ht="17.25" customHeight="1">
      <c r="A954" s="44"/>
      <c r="B954" s="44"/>
      <c r="C954" s="44"/>
      <c r="D954" s="44"/>
      <c r="E954" s="44"/>
      <c r="F954" s="44"/>
      <c r="G954" s="44"/>
      <c r="H954" s="44"/>
      <c r="I954" s="44"/>
      <c r="J954" s="44"/>
      <c r="K954" s="44"/>
      <c r="L954" s="44"/>
      <c r="M954" s="44"/>
      <c r="N954" s="44"/>
      <c r="O954" s="44"/>
    </row>
    <row r="955" spans="1:15" ht="17.25" customHeight="1">
      <c r="A955" s="44"/>
      <c r="B955" s="44"/>
      <c r="C955" s="44"/>
      <c r="D955" s="44"/>
      <c r="E955" s="44"/>
      <c r="F955" s="44"/>
      <c r="G955" s="44"/>
      <c r="H955" s="44"/>
      <c r="I955" s="44"/>
      <c r="J955" s="44"/>
      <c r="K955" s="44"/>
      <c r="L955" s="44"/>
      <c r="M955" s="44"/>
      <c r="N955" s="44"/>
      <c r="O955" s="44"/>
    </row>
    <row r="956" spans="1:15" ht="17.25" customHeight="1">
      <c r="A956" s="44"/>
      <c r="B956" s="44"/>
      <c r="C956" s="44"/>
      <c r="D956" s="44"/>
      <c r="E956" s="44"/>
      <c r="F956" s="44"/>
      <c r="G956" s="44"/>
      <c r="H956" s="44"/>
      <c r="I956" s="44"/>
      <c r="J956" s="44"/>
      <c r="K956" s="44"/>
      <c r="L956" s="44"/>
      <c r="M956" s="44"/>
      <c r="N956" s="44"/>
      <c r="O956" s="44"/>
    </row>
    <row r="957" spans="1:15" ht="17.25" customHeight="1">
      <c r="A957" s="44"/>
      <c r="B957" s="44"/>
      <c r="C957" s="44"/>
      <c r="D957" s="44"/>
      <c r="E957" s="44"/>
      <c r="F957" s="44"/>
      <c r="G957" s="44"/>
      <c r="H957" s="44"/>
      <c r="I957" s="44"/>
      <c r="J957" s="44"/>
      <c r="K957" s="44"/>
      <c r="L957" s="44"/>
      <c r="M957" s="44"/>
      <c r="N957" s="44"/>
      <c r="O957" s="44"/>
    </row>
    <row r="958" spans="1:15" ht="17.25" customHeight="1">
      <c r="A958" s="44"/>
      <c r="B958" s="44"/>
      <c r="C958" s="44"/>
      <c r="D958" s="44"/>
      <c r="E958" s="44"/>
      <c r="F958" s="44"/>
      <c r="G958" s="44"/>
      <c r="H958" s="44"/>
      <c r="I958" s="44"/>
      <c r="J958" s="44"/>
      <c r="K958" s="44"/>
      <c r="L958" s="44"/>
      <c r="M958" s="44"/>
      <c r="N958" s="44"/>
      <c r="O958" s="44"/>
    </row>
    <row r="959" spans="1:15" ht="17.25" customHeight="1">
      <c r="A959" s="44"/>
      <c r="B959" s="44"/>
      <c r="C959" s="44"/>
      <c r="D959" s="44"/>
      <c r="E959" s="44"/>
      <c r="F959" s="44"/>
      <c r="G959" s="44"/>
      <c r="H959" s="44"/>
      <c r="I959" s="44"/>
      <c r="J959" s="44"/>
      <c r="K959" s="44"/>
      <c r="L959" s="44"/>
      <c r="M959" s="44"/>
      <c r="N959" s="44"/>
      <c r="O959" s="44"/>
    </row>
    <row r="960" spans="1:15" ht="17.25" customHeight="1">
      <c r="A960" s="44"/>
      <c r="B960" s="44"/>
      <c r="C960" s="44"/>
      <c r="D960" s="44"/>
      <c r="E960" s="44"/>
      <c r="F960" s="44"/>
      <c r="G960" s="44"/>
      <c r="H960" s="44"/>
      <c r="I960" s="44"/>
      <c r="J960" s="44"/>
      <c r="K960" s="44"/>
      <c r="L960" s="44"/>
      <c r="M960" s="44"/>
      <c r="N960" s="44"/>
      <c r="O960" s="44"/>
    </row>
    <row r="961" spans="1:15" ht="17.25" customHeight="1">
      <c r="A961" s="44"/>
      <c r="B961" s="44"/>
      <c r="C961" s="44"/>
      <c r="D961" s="44"/>
      <c r="E961" s="44"/>
      <c r="F961" s="44"/>
      <c r="G961" s="44"/>
      <c r="H961" s="44"/>
      <c r="I961" s="44"/>
      <c r="J961" s="44"/>
      <c r="K961" s="44"/>
      <c r="L961" s="44"/>
      <c r="M961" s="44"/>
      <c r="N961" s="44"/>
      <c r="O961" s="44"/>
    </row>
    <row r="962" spans="1:15" ht="17.25" customHeight="1">
      <c r="A962" s="44"/>
      <c r="B962" s="44"/>
      <c r="C962" s="44"/>
      <c r="D962" s="44"/>
      <c r="E962" s="44"/>
      <c r="F962" s="44"/>
      <c r="G962" s="44"/>
      <c r="H962" s="44"/>
      <c r="I962" s="44"/>
      <c r="J962" s="44"/>
      <c r="K962" s="44"/>
      <c r="L962" s="44"/>
      <c r="M962" s="44"/>
      <c r="N962" s="44"/>
      <c r="O962" s="44"/>
    </row>
    <row r="963" spans="1:15" ht="17.25" customHeight="1">
      <c r="A963" s="44"/>
      <c r="B963" s="44"/>
      <c r="C963" s="44"/>
      <c r="D963" s="44"/>
      <c r="E963" s="44"/>
      <c r="F963" s="44"/>
      <c r="G963" s="44"/>
      <c r="H963" s="44"/>
      <c r="I963" s="44"/>
      <c r="J963" s="44"/>
      <c r="K963" s="44"/>
      <c r="L963" s="44"/>
      <c r="M963" s="44"/>
      <c r="N963" s="44"/>
      <c r="O963" s="44"/>
    </row>
    <row r="964" spans="1:15" ht="17.25" customHeight="1">
      <c r="A964" s="44"/>
      <c r="B964" s="44"/>
      <c r="C964" s="44"/>
      <c r="D964" s="44"/>
      <c r="E964" s="44"/>
      <c r="F964" s="44"/>
      <c r="G964" s="44"/>
      <c r="H964" s="44"/>
      <c r="I964" s="44"/>
      <c r="J964" s="44"/>
      <c r="K964" s="44"/>
      <c r="L964" s="44"/>
      <c r="M964" s="44"/>
      <c r="N964" s="44"/>
      <c r="O964" s="44"/>
    </row>
    <row r="965" spans="1:15" ht="17.25" customHeight="1">
      <c r="A965" s="44"/>
      <c r="B965" s="44"/>
      <c r="C965" s="44"/>
      <c r="D965" s="44"/>
      <c r="E965" s="44"/>
      <c r="F965" s="44"/>
      <c r="G965" s="44"/>
      <c r="H965" s="44"/>
      <c r="I965" s="44"/>
      <c r="J965" s="44"/>
      <c r="K965" s="44"/>
      <c r="L965" s="44"/>
      <c r="M965" s="44"/>
      <c r="N965" s="44"/>
      <c r="O965" s="44"/>
    </row>
    <row r="966" spans="1:15" ht="17.25" customHeight="1">
      <c r="A966" s="44"/>
      <c r="B966" s="44"/>
      <c r="C966" s="44"/>
      <c r="D966" s="44"/>
      <c r="E966" s="44"/>
      <c r="F966" s="44"/>
      <c r="G966" s="44"/>
      <c r="H966" s="44"/>
      <c r="I966" s="44"/>
      <c r="J966" s="44"/>
      <c r="K966" s="44"/>
      <c r="L966" s="44"/>
      <c r="M966" s="44"/>
      <c r="N966" s="44"/>
      <c r="O966" s="44"/>
    </row>
    <row r="967" spans="1:15" ht="17.25" customHeight="1">
      <c r="A967" s="44"/>
      <c r="B967" s="44"/>
      <c r="C967" s="44"/>
      <c r="D967" s="44"/>
      <c r="E967" s="44"/>
      <c r="F967" s="44"/>
      <c r="G967" s="44"/>
      <c r="H967" s="44"/>
      <c r="I967" s="44"/>
      <c r="J967" s="44"/>
      <c r="K967" s="44"/>
      <c r="L967" s="44"/>
      <c r="M967" s="44"/>
      <c r="N967" s="44"/>
      <c r="O967" s="44"/>
    </row>
    <row r="968" spans="1:15" ht="17.25" customHeight="1">
      <c r="A968" s="44"/>
      <c r="B968" s="44"/>
      <c r="C968" s="44"/>
      <c r="D968" s="44"/>
      <c r="E968" s="44"/>
      <c r="F968" s="44"/>
      <c r="G968" s="44"/>
      <c r="H968" s="44"/>
      <c r="I968" s="44"/>
      <c r="J968" s="44"/>
      <c r="K968" s="44"/>
      <c r="L968" s="44"/>
      <c r="M968" s="44"/>
      <c r="N968" s="44"/>
      <c r="O968" s="44"/>
    </row>
    <row r="969" spans="1:15" ht="17.25" customHeight="1">
      <c r="A969" s="44"/>
      <c r="B969" s="44"/>
      <c r="C969" s="44"/>
      <c r="D969" s="44"/>
      <c r="E969" s="44"/>
      <c r="F969" s="44"/>
      <c r="G969" s="44"/>
      <c r="H969" s="44"/>
      <c r="I969" s="44"/>
      <c r="J969" s="44"/>
      <c r="K969" s="44"/>
      <c r="L969" s="44"/>
      <c r="M969" s="44"/>
      <c r="N969" s="44"/>
      <c r="O969" s="44"/>
    </row>
    <row r="970" spans="1:15" ht="17.25" customHeight="1">
      <c r="A970" s="44"/>
      <c r="B970" s="44"/>
      <c r="C970" s="44"/>
      <c r="D970" s="44"/>
      <c r="E970" s="44"/>
      <c r="F970" s="44"/>
      <c r="G970" s="44"/>
      <c r="H970" s="44"/>
      <c r="I970" s="44"/>
      <c r="J970" s="44"/>
      <c r="K970" s="44"/>
      <c r="L970" s="44"/>
      <c r="M970" s="44"/>
      <c r="N970" s="44"/>
      <c r="O970" s="44"/>
    </row>
    <row r="971" spans="1:15" ht="17.25" customHeight="1">
      <c r="A971" s="44"/>
      <c r="B971" s="44"/>
      <c r="C971" s="44"/>
      <c r="D971" s="44"/>
      <c r="E971" s="44"/>
      <c r="F971" s="44"/>
      <c r="G971" s="44"/>
      <c r="H971" s="44"/>
      <c r="I971" s="44"/>
      <c r="J971" s="44"/>
      <c r="K971" s="44"/>
      <c r="L971" s="44"/>
      <c r="M971" s="44"/>
      <c r="N971" s="44"/>
      <c r="O971" s="44"/>
    </row>
    <row r="972" spans="1:15" ht="17.25" customHeight="1">
      <c r="A972" s="44"/>
      <c r="B972" s="44"/>
      <c r="C972" s="44"/>
      <c r="D972" s="44"/>
      <c r="E972" s="44"/>
      <c r="F972" s="44"/>
      <c r="G972" s="44"/>
      <c r="H972" s="44"/>
      <c r="I972" s="44"/>
      <c r="J972" s="44"/>
      <c r="K972" s="44"/>
      <c r="L972" s="44"/>
      <c r="M972" s="44"/>
      <c r="N972" s="44"/>
      <c r="O972" s="44"/>
    </row>
    <row r="973" spans="1:15" ht="17.25" customHeight="1">
      <c r="A973" s="44"/>
      <c r="B973" s="44"/>
      <c r="C973" s="44"/>
      <c r="D973" s="44"/>
      <c r="E973" s="44"/>
      <c r="F973" s="44"/>
      <c r="G973" s="44"/>
      <c r="H973" s="44"/>
      <c r="I973" s="44"/>
      <c r="J973" s="44"/>
      <c r="K973" s="44"/>
      <c r="L973" s="44"/>
      <c r="M973" s="44"/>
      <c r="N973" s="44"/>
      <c r="O973" s="44"/>
    </row>
    <row r="974" spans="1:15" ht="17.25" customHeight="1">
      <c r="A974" s="44"/>
      <c r="B974" s="44"/>
      <c r="C974" s="44"/>
      <c r="D974" s="44"/>
      <c r="E974" s="44"/>
      <c r="F974" s="44"/>
      <c r="G974" s="44"/>
      <c r="H974" s="44"/>
      <c r="I974" s="44"/>
      <c r="J974" s="44"/>
      <c r="K974" s="44"/>
      <c r="L974" s="44"/>
      <c r="M974" s="44"/>
      <c r="N974" s="44"/>
      <c r="O974" s="44"/>
    </row>
    <row r="975" spans="1:15" ht="17.25" customHeight="1">
      <c r="A975" s="44"/>
      <c r="B975" s="44"/>
      <c r="C975" s="44"/>
      <c r="D975" s="44"/>
      <c r="E975" s="44"/>
      <c r="F975" s="44"/>
      <c r="G975" s="44"/>
      <c r="H975" s="44"/>
      <c r="I975" s="44"/>
      <c r="J975" s="44"/>
      <c r="K975" s="44"/>
      <c r="L975" s="44"/>
      <c r="M975" s="44"/>
      <c r="N975" s="44"/>
      <c r="O975" s="44"/>
    </row>
    <row r="976" spans="1:15" ht="17.25" customHeight="1">
      <c r="A976" s="44"/>
      <c r="B976" s="44"/>
      <c r="C976" s="44"/>
      <c r="D976" s="44"/>
      <c r="E976" s="44"/>
      <c r="F976" s="44"/>
      <c r="G976" s="44"/>
      <c r="H976" s="44"/>
      <c r="I976" s="44"/>
      <c r="J976" s="44"/>
      <c r="K976" s="44"/>
      <c r="L976" s="44"/>
      <c r="M976" s="44"/>
      <c r="N976" s="44"/>
      <c r="O976" s="44"/>
    </row>
    <row r="977" spans="1:15" ht="17.25" customHeight="1">
      <c r="A977" s="44"/>
      <c r="B977" s="44"/>
      <c r="C977" s="44"/>
      <c r="D977" s="44"/>
      <c r="E977" s="44"/>
      <c r="F977" s="44"/>
      <c r="G977" s="44"/>
      <c r="H977" s="44"/>
      <c r="I977" s="44"/>
      <c r="J977" s="44"/>
      <c r="K977" s="44"/>
      <c r="L977" s="44"/>
      <c r="M977" s="44"/>
      <c r="N977" s="44"/>
      <c r="O977" s="44"/>
    </row>
    <row r="978" spans="1:15" ht="17.25" customHeight="1">
      <c r="A978" s="44"/>
      <c r="B978" s="44"/>
      <c r="C978" s="44"/>
      <c r="D978" s="44"/>
      <c r="E978" s="44"/>
      <c r="F978" s="44"/>
      <c r="G978" s="44"/>
      <c r="H978" s="44"/>
      <c r="I978" s="44"/>
      <c r="J978" s="44"/>
      <c r="K978" s="44"/>
      <c r="L978" s="44"/>
      <c r="M978" s="44"/>
      <c r="N978" s="44"/>
      <c r="O978" s="44"/>
    </row>
    <row r="979" spans="1:15" ht="17.25" customHeight="1">
      <c r="A979" s="44"/>
      <c r="B979" s="44"/>
      <c r="C979" s="44"/>
      <c r="D979" s="44"/>
      <c r="E979" s="44"/>
      <c r="F979" s="44"/>
      <c r="G979" s="44"/>
      <c r="H979" s="44"/>
      <c r="I979" s="44"/>
      <c r="J979" s="44"/>
      <c r="K979" s="44"/>
      <c r="L979" s="44"/>
      <c r="M979" s="44"/>
      <c r="N979" s="44"/>
      <c r="O979" s="44"/>
    </row>
    <row r="980" spans="1:15" ht="17.25" customHeight="1">
      <c r="A980" s="44"/>
      <c r="B980" s="44"/>
      <c r="C980" s="44"/>
      <c r="D980" s="44"/>
      <c r="E980" s="44"/>
      <c r="F980" s="44"/>
      <c r="G980" s="44"/>
      <c r="H980" s="44"/>
      <c r="I980" s="44"/>
      <c r="J980" s="44"/>
      <c r="K980" s="44"/>
      <c r="L980" s="44"/>
      <c r="M980" s="44"/>
      <c r="N980" s="44"/>
      <c r="O980" s="44"/>
    </row>
    <row r="981" spans="1:15" ht="17.25" customHeight="1">
      <c r="A981" s="44"/>
      <c r="B981" s="44"/>
      <c r="C981" s="44"/>
      <c r="D981" s="44"/>
      <c r="E981" s="44"/>
      <c r="F981" s="44"/>
      <c r="G981" s="44"/>
      <c r="H981" s="44"/>
      <c r="I981" s="44"/>
      <c r="J981" s="44"/>
      <c r="K981" s="44"/>
      <c r="L981" s="44"/>
      <c r="M981" s="44"/>
      <c r="N981" s="44"/>
      <c r="O981" s="44"/>
    </row>
    <row r="982" spans="1:15" ht="17.25" customHeight="1">
      <c r="A982" s="44"/>
      <c r="B982" s="44"/>
      <c r="C982" s="44"/>
      <c r="D982" s="44"/>
      <c r="E982" s="44"/>
      <c r="F982" s="44"/>
      <c r="G982" s="44"/>
      <c r="H982" s="44"/>
      <c r="I982" s="44"/>
      <c r="J982" s="44"/>
      <c r="K982" s="44"/>
      <c r="L982" s="44"/>
      <c r="M982" s="44"/>
      <c r="N982" s="44"/>
      <c r="O982" s="44"/>
    </row>
    <row r="983" spans="1:15" ht="17.25" customHeight="1">
      <c r="A983" s="44"/>
      <c r="B983" s="44"/>
      <c r="C983" s="44"/>
      <c r="D983" s="44"/>
      <c r="E983" s="44"/>
      <c r="F983" s="44"/>
      <c r="G983" s="44"/>
      <c r="H983" s="44"/>
      <c r="I983" s="44"/>
      <c r="J983" s="44"/>
      <c r="K983" s="44"/>
      <c r="L983" s="44"/>
      <c r="M983" s="44"/>
      <c r="N983" s="44"/>
      <c r="O983" s="44"/>
    </row>
    <row r="984" spans="1:15" ht="17.25" customHeight="1">
      <c r="A984" s="44"/>
      <c r="B984" s="44"/>
      <c r="C984" s="44"/>
      <c r="D984" s="44"/>
      <c r="E984" s="44"/>
      <c r="F984" s="44"/>
      <c r="G984" s="44"/>
      <c r="H984" s="44"/>
      <c r="I984" s="44"/>
      <c r="J984" s="44"/>
      <c r="K984" s="44"/>
      <c r="L984" s="44"/>
      <c r="M984" s="44"/>
      <c r="N984" s="44"/>
      <c r="O984" s="44"/>
    </row>
    <row r="985" spans="1:15" ht="17.25" customHeight="1">
      <c r="A985" s="44"/>
      <c r="B985" s="44"/>
      <c r="C985" s="44"/>
      <c r="D985" s="44"/>
      <c r="E985" s="44"/>
      <c r="F985" s="44"/>
      <c r="G985" s="44"/>
      <c r="H985" s="44"/>
      <c r="I985" s="44"/>
      <c r="J985" s="44"/>
      <c r="K985" s="44"/>
      <c r="L985" s="44"/>
      <c r="M985" s="44"/>
      <c r="N985" s="44"/>
      <c r="O985" s="44"/>
    </row>
    <row r="986" spans="1:15" ht="17.25" customHeight="1">
      <c r="A986" s="44"/>
      <c r="B986" s="44"/>
      <c r="C986" s="44"/>
      <c r="D986" s="44"/>
      <c r="E986" s="44"/>
      <c r="F986" s="44"/>
      <c r="G986" s="44"/>
      <c r="H986" s="44"/>
      <c r="I986" s="44"/>
      <c r="J986" s="44"/>
      <c r="K986" s="44"/>
      <c r="L986" s="44"/>
      <c r="M986" s="44"/>
      <c r="N986" s="44"/>
      <c r="O986" s="44"/>
    </row>
    <row r="987" spans="1:15" ht="17.25" customHeight="1">
      <c r="A987" s="44"/>
      <c r="B987" s="44"/>
      <c r="C987" s="44"/>
      <c r="D987" s="44"/>
      <c r="E987" s="44"/>
      <c r="F987" s="44"/>
      <c r="G987" s="44"/>
      <c r="H987" s="44"/>
      <c r="I987" s="44"/>
      <c r="J987" s="44"/>
      <c r="K987" s="44"/>
      <c r="L987" s="44"/>
      <c r="M987" s="44"/>
      <c r="N987" s="44"/>
      <c r="O987" s="44"/>
    </row>
    <row r="988" spans="1:15" ht="17.25" customHeight="1">
      <c r="A988" s="44"/>
      <c r="B988" s="44"/>
      <c r="C988" s="44"/>
      <c r="D988" s="44"/>
      <c r="E988" s="44"/>
      <c r="F988" s="44"/>
      <c r="G988" s="44"/>
      <c r="H988" s="44"/>
      <c r="I988" s="44"/>
      <c r="J988" s="44"/>
      <c r="K988" s="44"/>
      <c r="L988" s="44"/>
      <c r="M988" s="44"/>
      <c r="N988" s="44"/>
      <c r="O988" s="44"/>
    </row>
    <row r="989" spans="1:15" ht="17.25" customHeight="1">
      <c r="A989" s="44"/>
      <c r="B989" s="44"/>
      <c r="C989" s="44"/>
      <c r="D989" s="44"/>
      <c r="E989" s="44"/>
      <c r="F989" s="44"/>
      <c r="G989" s="44"/>
      <c r="H989" s="44"/>
      <c r="I989" s="44"/>
      <c r="J989" s="44"/>
      <c r="K989" s="44"/>
      <c r="L989" s="44"/>
      <c r="M989" s="44"/>
      <c r="N989" s="44"/>
      <c r="O989" s="44"/>
    </row>
    <row r="990" spans="1:15" ht="17.25" customHeight="1">
      <c r="A990" s="44"/>
      <c r="B990" s="44"/>
      <c r="C990" s="44"/>
      <c r="D990" s="44"/>
      <c r="E990" s="44"/>
      <c r="F990" s="44"/>
      <c r="G990" s="44"/>
      <c r="H990" s="44"/>
      <c r="I990" s="44"/>
      <c r="J990" s="44"/>
      <c r="K990" s="44"/>
      <c r="L990" s="44"/>
      <c r="M990" s="44"/>
      <c r="N990" s="44"/>
      <c r="O990" s="44"/>
    </row>
    <row r="991" spans="1:15" ht="17.25" customHeight="1">
      <c r="A991" s="44"/>
      <c r="B991" s="44"/>
      <c r="C991" s="44"/>
      <c r="D991" s="44"/>
      <c r="E991" s="44"/>
      <c r="F991" s="44"/>
      <c r="G991" s="44"/>
      <c r="H991" s="44"/>
      <c r="I991" s="44"/>
      <c r="J991" s="44"/>
      <c r="K991" s="44"/>
      <c r="L991" s="44"/>
      <c r="M991" s="44"/>
      <c r="N991" s="44"/>
      <c r="O991" s="44"/>
    </row>
    <row r="992" spans="1:15" ht="17.25" customHeight="1">
      <c r="A992" s="44"/>
      <c r="B992" s="44"/>
      <c r="C992" s="44"/>
      <c r="D992" s="44"/>
      <c r="E992" s="44"/>
      <c r="F992" s="44"/>
      <c r="G992" s="44"/>
      <c r="H992" s="44"/>
      <c r="I992" s="44"/>
      <c r="J992" s="44"/>
      <c r="K992" s="44"/>
      <c r="L992" s="44"/>
      <c r="M992" s="44"/>
      <c r="N992" s="44"/>
      <c r="O992" s="44"/>
    </row>
    <row r="993" spans="1:15" ht="17.25" customHeight="1">
      <c r="A993" s="44"/>
      <c r="B993" s="44"/>
      <c r="C993" s="44"/>
      <c r="D993" s="44"/>
      <c r="E993" s="44"/>
      <c r="F993" s="44"/>
      <c r="G993" s="44"/>
      <c r="H993" s="44"/>
      <c r="I993" s="44"/>
      <c r="J993" s="44"/>
      <c r="K993" s="44"/>
      <c r="L993" s="44"/>
      <c r="M993" s="44"/>
      <c r="N993" s="44"/>
      <c r="O993" s="44"/>
    </row>
    <row r="994" spans="1:15" ht="17.25" customHeight="1">
      <c r="A994" s="44"/>
      <c r="B994" s="44"/>
      <c r="C994" s="44"/>
      <c r="D994" s="44"/>
      <c r="E994" s="44"/>
      <c r="F994" s="44"/>
      <c r="G994" s="44"/>
      <c r="H994" s="44"/>
      <c r="I994" s="44"/>
      <c r="J994" s="44"/>
      <c r="K994" s="44"/>
      <c r="L994" s="44"/>
      <c r="M994" s="44"/>
      <c r="N994" s="44"/>
      <c r="O994" s="44"/>
    </row>
    <row r="995" spans="1:15" ht="17.25" customHeight="1">
      <c r="A995" s="44"/>
      <c r="B995" s="44"/>
      <c r="C995" s="44"/>
      <c r="D995" s="44"/>
      <c r="E995" s="44"/>
      <c r="F995" s="44"/>
      <c r="G995" s="44"/>
      <c r="H995" s="44"/>
      <c r="I995" s="44"/>
      <c r="J995" s="44"/>
      <c r="K995" s="44"/>
      <c r="L995" s="44"/>
      <c r="M995" s="44"/>
      <c r="N995" s="44"/>
      <c r="O995" s="44"/>
    </row>
    <row r="996" spans="1:15" ht="17.25" customHeight="1">
      <c r="A996" s="44"/>
      <c r="B996" s="44"/>
      <c r="C996" s="44"/>
      <c r="D996" s="44"/>
      <c r="E996" s="44"/>
      <c r="F996" s="44"/>
      <c r="G996" s="44"/>
      <c r="H996" s="44"/>
      <c r="I996" s="44"/>
      <c r="J996" s="44"/>
      <c r="K996" s="44"/>
      <c r="L996" s="44"/>
      <c r="M996" s="44"/>
      <c r="N996" s="44"/>
      <c r="O996" s="44"/>
    </row>
    <row r="997" spans="1:15" ht="17.25" customHeight="1">
      <c r="A997" s="44"/>
      <c r="B997" s="44"/>
      <c r="C997" s="44"/>
      <c r="D997" s="44"/>
      <c r="E997" s="44"/>
      <c r="F997" s="44"/>
      <c r="G997" s="44"/>
      <c r="H997" s="44"/>
      <c r="I997" s="44"/>
      <c r="J997" s="44"/>
      <c r="K997" s="44"/>
      <c r="L997" s="44"/>
      <c r="M997" s="44"/>
      <c r="N997" s="44"/>
      <c r="O997" s="44"/>
    </row>
    <row r="998" spans="1:15" ht="17.25" customHeight="1">
      <c r="A998" s="44"/>
      <c r="B998" s="44"/>
      <c r="C998" s="44"/>
      <c r="D998" s="44"/>
      <c r="E998" s="44"/>
      <c r="F998" s="44"/>
      <c r="G998" s="44"/>
      <c r="H998" s="44"/>
      <c r="I998" s="44"/>
      <c r="J998" s="44"/>
      <c r="K998" s="44"/>
      <c r="L998" s="44"/>
      <c r="M998" s="44"/>
      <c r="N998" s="44"/>
      <c r="O998" s="44"/>
    </row>
  </sheetData>
  <mergeCells count="2">
    <mergeCell ref="G1:J2"/>
    <mergeCell ref="B4:C4"/>
  </mergeCells>
  <pageMargins left="0.7" right="0.7" top="0.75" bottom="0.75" header="0" footer="0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96"/>
  <sheetViews>
    <sheetView showGridLines="0" workbookViewId="0">
      <selection activeCell="K27" sqref="K27"/>
    </sheetView>
  </sheetViews>
  <sheetFormatPr baseColWidth="10" defaultColWidth="14.42578125" defaultRowHeight="15" customHeight="1"/>
  <cols>
    <col min="1" max="1" width="5.28515625" style="46" customWidth="1"/>
    <col min="2" max="3" width="12.42578125" style="46" customWidth="1"/>
    <col min="4" max="4" width="6.140625" style="46" customWidth="1"/>
    <col min="5" max="5" width="4.85546875" style="46" customWidth="1"/>
    <col min="6" max="6" width="3.28515625" style="46" customWidth="1"/>
    <col min="7" max="10" width="11.42578125" style="46" customWidth="1"/>
    <col min="11" max="11" width="8.42578125" style="46" customWidth="1"/>
    <col min="12" max="12" width="11.42578125" style="46" customWidth="1"/>
    <col min="13" max="13" width="7" style="46" customWidth="1"/>
    <col min="14" max="14" width="13.85546875" style="46" customWidth="1"/>
    <col min="15" max="15" width="3.140625" style="46" customWidth="1"/>
    <col min="16" max="16" width="30.85546875" style="46" customWidth="1"/>
    <col min="17" max="16384" width="14.42578125" style="46"/>
  </cols>
  <sheetData>
    <row r="1" spans="1:18" ht="21.75" customHeight="1">
      <c r="A1" s="44"/>
      <c r="B1" s="44"/>
      <c r="C1" s="44"/>
      <c r="D1" s="45"/>
      <c r="E1" s="45"/>
      <c r="F1" s="45"/>
      <c r="G1" s="156" t="s">
        <v>68</v>
      </c>
      <c r="H1" s="157"/>
      <c r="I1" s="157"/>
      <c r="J1" s="157"/>
      <c r="K1" s="44"/>
      <c r="L1" s="44"/>
      <c r="M1" s="44"/>
      <c r="N1" s="44"/>
      <c r="O1" s="44"/>
    </row>
    <row r="2" spans="1:18" ht="25.5" customHeight="1">
      <c r="A2" s="44"/>
      <c r="B2" s="44"/>
      <c r="C2" s="44"/>
      <c r="D2" s="47"/>
      <c r="E2" s="47"/>
      <c r="F2" s="47"/>
      <c r="G2" s="157"/>
      <c r="H2" s="157"/>
      <c r="I2" s="157"/>
      <c r="J2" s="157"/>
      <c r="K2" s="44"/>
      <c r="L2" s="44"/>
      <c r="M2" s="44"/>
      <c r="N2" s="44"/>
      <c r="O2" s="44"/>
    </row>
    <row r="3" spans="1:18" ht="17.25" customHeight="1">
      <c r="A3" s="44"/>
      <c r="B3" s="44"/>
      <c r="C3" s="44"/>
      <c r="D3" s="48"/>
      <c r="E3" s="48"/>
      <c r="F3" s="48"/>
      <c r="G3" s="44"/>
      <c r="H3" s="44"/>
      <c r="I3" s="44"/>
      <c r="J3" s="44"/>
      <c r="K3" s="44"/>
      <c r="L3" s="44"/>
      <c r="M3" s="44"/>
      <c r="N3" s="44"/>
      <c r="O3" s="44"/>
    </row>
    <row r="4" spans="1:18" ht="17.25" customHeight="1">
      <c r="A4" s="44"/>
      <c r="B4" s="158" t="s">
        <v>84</v>
      </c>
      <c r="C4" s="159"/>
      <c r="D4" s="48"/>
      <c r="E4" s="48"/>
      <c r="F4" s="48"/>
      <c r="G4" s="44"/>
      <c r="H4" s="44"/>
      <c r="I4" s="44"/>
      <c r="J4" s="44"/>
      <c r="K4" s="44"/>
      <c r="L4" s="44"/>
      <c r="M4" s="44"/>
      <c r="N4" s="44"/>
      <c r="O4" s="44"/>
      <c r="P4" t="s">
        <v>56</v>
      </c>
      <c r="Q4"/>
      <c r="R4"/>
    </row>
    <row r="5" spans="1:18" ht="17.25" customHeight="1" thickBot="1">
      <c r="A5" s="50" t="s">
        <v>71</v>
      </c>
      <c r="B5" s="50" t="s">
        <v>69</v>
      </c>
      <c r="C5" s="50" t="s">
        <v>70</v>
      </c>
      <c r="D5" s="48"/>
      <c r="E5" s="48"/>
      <c r="F5" s="48"/>
      <c r="G5" s="44"/>
      <c r="H5" s="44"/>
      <c r="I5" s="44"/>
      <c r="J5" s="44"/>
      <c r="K5" s="44"/>
      <c r="L5" s="44"/>
      <c r="M5" s="44"/>
      <c r="N5" s="44"/>
      <c r="O5" s="44"/>
      <c r="P5"/>
      <c r="Q5"/>
      <c r="R5"/>
    </row>
    <row r="6" spans="1:18" ht="17.25" customHeight="1">
      <c r="A6" s="53">
        <v>1</v>
      </c>
      <c r="B6" s="103">
        <v>1.8570000000011099E-3</v>
      </c>
      <c r="C6" s="103">
        <v>0.31181687500000499</v>
      </c>
      <c r="D6" s="48"/>
      <c r="E6" s="48"/>
      <c r="F6" s="48"/>
      <c r="G6" s="44" t="s">
        <v>72</v>
      </c>
      <c r="H6" s="44"/>
      <c r="I6" s="44"/>
      <c r="J6" s="44"/>
      <c r="K6" s="44"/>
      <c r="L6" s="44"/>
      <c r="M6" s="44"/>
      <c r="N6" s="44"/>
      <c r="O6" s="44"/>
      <c r="P6" s="43"/>
      <c r="Q6" s="43" t="s">
        <v>98</v>
      </c>
      <c r="R6" s="43" t="s">
        <v>99</v>
      </c>
    </row>
    <row r="7" spans="1:18" ht="17.25" customHeight="1">
      <c r="A7" s="53">
        <v>2</v>
      </c>
      <c r="B7" s="103">
        <v>7.9897500000001301E-2</v>
      </c>
      <c r="C7" s="103">
        <v>0.36210050000000399</v>
      </c>
      <c r="D7" s="48"/>
      <c r="E7" s="48"/>
      <c r="F7" s="48"/>
      <c r="G7" s="44"/>
      <c r="H7" s="44"/>
      <c r="I7" s="55" t="s">
        <v>73</v>
      </c>
      <c r="J7" s="56">
        <f>AVERAGE(B6:B23)</f>
        <v>0.14848124305555721</v>
      </c>
      <c r="K7" s="57" t="s">
        <v>74</v>
      </c>
      <c r="L7" s="58">
        <f>COUNT(B6:B23)</f>
        <v>18</v>
      </c>
      <c r="M7" s="57" t="s">
        <v>73</v>
      </c>
      <c r="N7" s="59">
        <f>_xlfn.VAR.S(B6:B23)</f>
        <v>1.0079383084721776E-2</v>
      </c>
      <c r="O7" s="44"/>
      <c r="P7" s="41" t="s">
        <v>57</v>
      </c>
      <c r="Q7" s="41">
        <v>0.16137616666666868</v>
      </c>
      <c r="R7" s="41">
        <v>0.12850768750000027</v>
      </c>
    </row>
    <row r="8" spans="1:18" ht="17.25" customHeight="1">
      <c r="A8" s="53">
        <v>3</v>
      </c>
      <c r="B8" s="103">
        <v>7.5158750000014193E-2</v>
      </c>
      <c r="C8" s="103">
        <v>7.5161500000007195E-2</v>
      </c>
      <c r="D8" s="48"/>
      <c r="E8" s="48"/>
      <c r="F8" s="48"/>
      <c r="G8" s="44"/>
      <c r="H8" s="44"/>
      <c r="I8" s="60" t="s">
        <v>73</v>
      </c>
      <c r="J8" s="56">
        <f>AVERAGE(C6:C23)</f>
        <v>0.1433585208333352</v>
      </c>
      <c r="K8" s="57" t="s">
        <v>75</v>
      </c>
      <c r="L8" s="58">
        <f>COUNT(C6:C23)</f>
        <v>18</v>
      </c>
      <c r="M8" s="57" t="s">
        <v>73</v>
      </c>
      <c r="N8" s="59">
        <f>_xlfn.VAR.S(C6:C23)</f>
        <v>1.1526374231379199E-2</v>
      </c>
      <c r="O8" s="44"/>
      <c r="P8" s="41" t="s">
        <v>58</v>
      </c>
      <c r="Q8" s="41">
        <v>1.1302961284084105E-2</v>
      </c>
      <c r="R8" s="41">
        <v>7.9944299582713884E-3</v>
      </c>
    </row>
    <row r="9" spans="1:18" ht="17.25" customHeight="1">
      <c r="A9" s="53">
        <v>4</v>
      </c>
      <c r="B9" s="103">
        <v>0.15158374999999999</v>
      </c>
      <c r="C9" s="103">
        <v>1.6721625000002405E-2</v>
      </c>
      <c r="D9" s="48"/>
      <c r="E9" s="48"/>
      <c r="F9" s="48"/>
      <c r="G9" s="44"/>
      <c r="H9" s="44"/>
      <c r="I9" s="44"/>
      <c r="J9" s="44"/>
      <c r="K9" s="44"/>
      <c r="L9" s="44"/>
      <c r="M9" s="57" t="s">
        <v>73</v>
      </c>
      <c r="N9" s="59">
        <f>((L7-1)*N7+(L8-1)*N8)/(L7+L8-2)</f>
        <v>1.0802878658050487E-2</v>
      </c>
      <c r="O9" s="44"/>
      <c r="P9" s="41" t="s">
        <v>59</v>
      </c>
      <c r="Q9" s="41">
        <v>12</v>
      </c>
      <c r="R9" s="41">
        <v>12</v>
      </c>
    </row>
    <row r="10" spans="1:18" ht="17.25" customHeight="1">
      <c r="A10" s="53">
        <v>5</v>
      </c>
      <c r="B10" s="103">
        <v>0.26329074999999602</v>
      </c>
      <c r="C10" s="103">
        <v>7.1670500000010406E-2</v>
      </c>
      <c r="D10" s="48"/>
      <c r="E10" s="48"/>
      <c r="F10" s="48"/>
      <c r="G10" s="44"/>
      <c r="H10" s="44"/>
      <c r="I10" s="57" t="s">
        <v>76</v>
      </c>
      <c r="J10" s="61">
        <f>(J7-J8)/SQRT(N7/L7+N8/L8)</f>
        <v>0.14786054845847543</v>
      </c>
      <c r="K10" s="44"/>
      <c r="L10" s="44"/>
      <c r="M10" s="44"/>
      <c r="N10" s="44"/>
      <c r="O10" s="44"/>
      <c r="P10" s="41" t="s">
        <v>60</v>
      </c>
      <c r="Q10" s="41">
        <v>9.6486956211777469E-3</v>
      </c>
      <c r="R10" s="41"/>
    </row>
    <row r="11" spans="1:18" ht="17.25" customHeight="1" thickBot="1">
      <c r="A11" s="53">
        <v>6</v>
      </c>
      <c r="B11" s="103">
        <v>0.16436062499999299</v>
      </c>
      <c r="C11" s="103">
        <v>0.200890125000001</v>
      </c>
      <c r="D11" s="48"/>
      <c r="E11" s="48"/>
      <c r="F11" s="48"/>
      <c r="G11" s="44"/>
      <c r="H11" s="44"/>
      <c r="I11" s="44"/>
      <c r="J11" s="44"/>
      <c r="K11" s="44"/>
      <c r="L11" s="44"/>
      <c r="M11" s="62"/>
      <c r="N11" s="44">
        <f>J10</f>
        <v>0.14786054845847543</v>
      </c>
      <c r="O11" s="44"/>
      <c r="P11" s="41" t="s">
        <v>61</v>
      </c>
      <c r="Q11" s="41">
        <v>0</v>
      </c>
      <c r="R11" s="41"/>
    </row>
    <row r="12" spans="1:18" ht="17.25" customHeight="1">
      <c r="A12" s="53">
        <v>1</v>
      </c>
      <c r="B12" s="155">
        <v>0.22165162500000701</v>
      </c>
      <c r="C12" s="155">
        <v>6.0752000000000805E-2</v>
      </c>
      <c r="D12" s="48"/>
      <c r="E12" s="48"/>
      <c r="F12" s="48"/>
      <c r="G12" s="44"/>
      <c r="H12" s="44"/>
      <c r="I12" s="44"/>
      <c r="J12" s="44"/>
      <c r="K12" s="44"/>
      <c r="L12" s="44"/>
      <c r="M12" s="62"/>
      <c r="N12" s="44"/>
      <c r="O12" s="44"/>
      <c r="P12" s="41" t="s">
        <v>62</v>
      </c>
      <c r="Q12" s="41">
        <v>22</v>
      </c>
      <c r="R12" s="41"/>
    </row>
    <row r="13" spans="1:18" ht="17.25" customHeight="1">
      <c r="A13" s="53">
        <v>2</v>
      </c>
      <c r="B13" s="103">
        <v>0.35614675000000801</v>
      </c>
      <c r="C13" s="103">
        <v>0.24848500000000201</v>
      </c>
      <c r="D13" s="48"/>
      <c r="E13" s="48"/>
      <c r="F13" s="48"/>
      <c r="G13" s="63" t="s">
        <v>77</v>
      </c>
      <c r="H13" s="63"/>
      <c r="I13" s="64" t="s">
        <v>78</v>
      </c>
      <c r="J13" s="65">
        <f>L7+L8-2</f>
        <v>34</v>
      </c>
      <c r="K13" s="44"/>
      <c r="L13" s="44"/>
      <c r="M13" s="62"/>
      <c r="N13" s="66"/>
      <c r="O13" s="44"/>
      <c r="P13" s="41" t="s">
        <v>63</v>
      </c>
      <c r="Q13" s="41">
        <v>0.81963582345537489</v>
      </c>
      <c r="R13" s="41"/>
    </row>
    <row r="14" spans="1:18" ht="17.25" customHeight="1">
      <c r="A14" s="53">
        <v>3</v>
      </c>
      <c r="B14" s="103">
        <v>0.29506824999999998</v>
      </c>
      <c r="C14" s="103">
        <v>6.0062375000008203E-2</v>
      </c>
      <c r="D14" s="48"/>
      <c r="E14" s="48"/>
      <c r="F14" s="48"/>
      <c r="G14" s="63"/>
      <c r="H14" s="63"/>
      <c r="I14" s="80" t="s">
        <v>79</v>
      </c>
      <c r="J14" s="67">
        <v>0.05</v>
      </c>
      <c r="K14" s="68"/>
      <c r="L14" s="44"/>
      <c r="M14" s="44"/>
      <c r="N14" s="66"/>
      <c r="O14" s="44"/>
      <c r="P14" s="41" t="s">
        <v>64</v>
      </c>
      <c r="Q14" s="41">
        <v>0.21060758899339899</v>
      </c>
      <c r="R14" s="41"/>
    </row>
    <row r="15" spans="1:18" ht="17.25" customHeight="1">
      <c r="A15" s="53">
        <v>4</v>
      </c>
      <c r="B15" s="125">
        <v>0.123073374999997</v>
      </c>
      <c r="C15" s="125">
        <v>2.5383125000004725E-2</v>
      </c>
      <c r="D15" s="48"/>
      <c r="E15" s="48"/>
      <c r="F15" s="48"/>
      <c r="G15" s="63"/>
      <c r="H15" s="63"/>
      <c r="I15" s="63"/>
      <c r="J15" s="63"/>
      <c r="K15" s="44"/>
      <c r="L15" s="44"/>
      <c r="M15" s="44"/>
      <c r="N15" s="44"/>
      <c r="O15" s="44"/>
      <c r="P15" s="41" t="s">
        <v>65</v>
      </c>
      <c r="Q15" s="41">
        <v>1.7171443743802424</v>
      </c>
      <c r="R15" s="41"/>
    </row>
    <row r="16" spans="1:18" ht="17.25" customHeight="1">
      <c r="A16" s="53">
        <v>5</v>
      </c>
      <c r="B16" s="125">
        <v>4.103399999999624E-2</v>
      </c>
      <c r="C16" s="125">
        <v>8.6094249999995001E-2</v>
      </c>
      <c r="D16" s="48"/>
      <c r="E16" s="48"/>
      <c r="F16" s="48"/>
      <c r="G16" s="63"/>
      <c r="H16" s="63"/>
      <c r="I16" s="71" t="s">
        <v>73</v>
      </c>
      <c r="J16" s="72">
        <f>_xlfn.T.INV.2T(J14,J13)</f>
        <v>2.0322445093177191</v>
      </c>
      <c r="K16" s="73"/>
      <c r="L16" s="62">
        <f>-J16</f>
        <v>-2.0322445093177191</v>
      </c>
      <c r="M16" s="44"/>
      <c r="N16" s="74">
        <f>J16</f>
        <v>2.0322445093177191</v>
      </c>
      <c r="O16" s="44"/>
      <c r="P16" s="41" t="s">
        <v>66</v>
      </c>
      <c r="Q16" s="41">
        <v>0.42121517798679797</v>
      </c>
      <c r="R16" s="41"/>
    </row>
    <row r="17" spans="1:18" ht="17.25" customHeight="1" thickBot="1">
      <c r="A17" s="53">
        <v>6</v>
      </c>
      <c r="B17" s="34">
        <v>0.10756900000000513</v>
      </c>
      <c r="C17" s="34">
        <v>0.16345612499999618</v>
      </c>
      <c r="D17" s="48"/>
      <c r="E17" s="48"/>
      <c r="F17" s="48"/>
      <c r="G17" s="63"/>
      <c r="H17" s="63"/>
      <c r="I17" s="63" t="s">
        <v>80</v>
      </c>
      <c r="J17" s="72">
        <f>_xlfn.T.DIST.2T(J10,J13)</f>
        <v>0.88332623134499244</v>
      </c>
      <c r="K17" s="75"/>
      <c r="L17" s="44"/>
      <c r="M17" s="44"/>
      <c r="N17" s="44"/>
      <c r="O17" s="44"/>
      <c r="P17" s="42" t="s">
        <v>67</v>
      </c>
      <c r="Q17" s="42">
        <v>2.0738730679040258</v>
      </c>
      <c r="R17" s="42"/>
    </row>
    <row r="18" spans="1:18" ht="17.25" customHeight="1">
      <c r="A18" s="53">
        <v>1</v>
      </c>
      <c r="B18" s="30">
        <v>0.10173412500000012</v>
      </c>
      <c r="C18" s="30">
        <v>1.43531249999995E-2</v>
      </c>
      <c r="D18" s="48"/>
      <c r="E18" s="48"/>
      <c r="F18" s="48"/>
      <c r="G18" s="44"/>
      <c r="H18" s="75"/>
      <c r="I18" s="44"/>
      <c r="J18" s="44"/>
      <c r="K18" s="44"/>
      <c r="L18" s="44"/>
      <c r="M18" s="44"/>
      <c r="N18" s="44"/>
      <c r="O18" s="44"/>
    </row>
    <row r="19" spans="1:18" ht="17.25" customHeight="1">
      <c r="A19" s="53">
        <v>2</v>
      </c>
      <c r="B19" s="125">
        <v>0.16969525000000399</v>
      </c>
      <c r="C19" s="125">
        <v>0.18863799999999001</v>
      </c>
      <c r="D19" s="48"/>
      <c r="E19" s="48"/>
      <c r="F19" s="48"/>
      <c r="G19" s="57" t="s">
        <v>81</v>
      </c>
      <c r="H19" s="76" t="s">
        <v>114</v>
      </c>
      <c r="I19" s="44"/>
      <c r="J19" s="44"/>
      <c r="K19" s="44"/>
      <c r="L19" s="44"/>
      <c r="M19" s="44"/>
      <c r="N19" s="44"/>
      <c r="O19" s="44"/>
    </row>
    <row r="20" spans="1:18" ht="17.25" customHeight="1">
      <c r="A20" s="53">
        <v>3</v>
      </c>
      <c r="B20" s="125">
        <v>0.29062800000001199</v>
      </c>
      <c r="C20" s="125">
        <v>0.29227862500000901</v>
      </c>
      <c r="D20" s="48"/>
      <c r="E20" s="48"/>
      <c r="F20" s="48"/>
      <c r="G20" s="57"/>
      <c r="H20" s="44"/>
      <c r="I20" s="44"/>
      <c r="J20" s="44"/>
      <c r="K20" s="44"/>
      <c r="L20" s="44"/>
      <c r="M20" s="44"/>
      <c r="N20" s="44"/>
      <c r="O20" s="44"/>
    </row>
    <row r="21" spans="1:18" ht="17.25" customHeight="1">
      <c r="A21" s="53">
        <v>4</v>
      </c>
      <c r="B21" s="125">
        <v>7.0955250000004355E-2</v>
      </c>
      <c r="C21" s="125">
        <v>0.18686975</v>
      </c>
      <c r="D21" s="48"/>
      <c r="E21" s="48"/>
      <c r="F21" s="48"/>
      <c r="G21" s="77"/>
      <c r="H21" s="44"/>
      <c r="I21" s="44"/>
      <c r="J21" s="44"/>
      <c r="K21" s="44"/>
      <c r="L21" s="44"/>
      <c r="M21" s="44"/>
      <c r="N21" s="44"/>
      <c r="O21" s="44"/>
    </row>
    <row r="22" spans="1:18" ht="17.25" customHeight="1">
      <c r="A22" s="53">
        <v>5</v>
      </c>
      <c r="B22" s="125">
        <v>0.12488374999999501</v>
      </c>
      <c r="C22" s="125">
        <v>6.9866624999996005E-2</v>
      </c>
      <c r="D22" s="48"/>
      <c r="E22" s="44"/>
      <c r="F22" s="48"/>
      <c r="G22" s="44"/>
      <c r="H22" s="44"/>
      <c r="I22" s="44"/>
      <c r="J22" s="44"/>
      <c r="K22" s="44"/>
      <c r="L22" s="44"/>
      <c r="M22" s="44"/>
      <c r="N22" s="44"/>
      <c r="O22" s="44"/>
    </row>
    <row r="23" spans="1:18" ht="17.25" customHeight="1" thickBot="1">
      <c r="A23" s="53">
        <v>6</v>
      </c>
      <c r="B23" s="34">
        <v>3.4074624999995251E-2</v>
      </c>
      <c r="C23" s="34">
        <v>0.14585325000000199</v>
      </c>
      <c r="D23" s="48"/>
      <c r="E23" s="44"/>
      <c r="F23" s="44"/>
      <c r="G23" s="44"/>
      <c r="H23" s="44"/>
      <c r="I23" s="78"/>
      <c r="J23" s="79"/>
      <c r="K23" s="44"/>
      <c r="L23" s="44"/>
      <c r="M23" s="44"/>
      <c r="N23" s="44"/>
      <c r="O23" s="44"/>
    </row>
    <row r="24" spans="1:18" ht="17.25" customHeight="1">
      <c r="A24" s="44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</row>
    <row r="25" spans="1:18" ht="17.25" customHeight="1">
      <c r="A25" s="44"/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</row>
    <row r="26" spans="1:18" ht="17.25" customHeight="1">
      <c r="A26" s="44"/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</row>
    <row r="27" spans="1:18" ht="17.25" customHeight="1">
      <c r="A27" s="44"/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</row>
    <row r="28" spans="1:18" ht="17.25" customHeight="1">
      <c r="A28" s="44"/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</row>
    <row r="29" spans="1:18" ht="17.25" customHeight="1">
      <c r="A29" s="44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</row>
    <row r="30" spans="1:18" ht="17.25" customHeight="1">
      <c r="A30" s="44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</row>
    <row r="31" spans="1:18" ht="17.25" customHeight="1">
      <c r="A31" s="44"/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</row>
    <row r="32" spans="1:18" ht="17.25" customHeight="1">
      <c r="A32" s="44"/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</row>
    <row r="33" spans="1:15" ht="17.25" customHeight="1">
      <c r="A33" s="44"/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</row>
    <row r="34" spans="1:15" ht="17.25" customHeight="1">
      <c r="A34" s="44"/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</row>
    <row r="35" spans="1:15" ht="17.25" customHeight="1">
      <c r="A35" s="44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</row>
    <row r="36" spans="1:15" ht="17.25" customHeight="1">
      <c r="A36" s="44"/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</row>
    <row r="37" spans="1:15" ht="17.25" customHeight="1">
      <c r="A37" s="44"/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</row>
    <row r="38" spans="1:15" ht="17.25" customHeight="1">
      <c r="A38" s="44"/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</row>
    <row r="39" spans="1:15" ht="17.25" customHeight="1">
      <c r="A39" s="44"/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</row>
    <row r="40" spans="1:15" ht="17.25" customHeight="1">
      <c r="A40" s="44"/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</row>
    <row r="41" spans="1:15" ht="17.25" customHeight="1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</row>
    <row r="42" spans="1:15" ht="17.25" customHeight="1">
      <c r="A42" s="44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</row>
    <row r="43" spans="1:15" ht="17.25" customHeight="1">
      <c r="A43" s="44"/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</row>
    <row r="44" spans="1:15" ht="17.25" customHeight="1">
      <c r="A44" s="44"/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</row>
    <row r="45" spans="1:15" ht="17.25" customHeight="1">
      <c r="A45" s="44"/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</row>
    <row r="46" spans="1:15" ht="17.25" customHeight="1">
      <c r="A46" s="44"/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</row>
    <row r="47" spans="1:15" ht="17.25" customHeight="1">
      <c r="A47" s="44"/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</row>
    <row r="48" spans="1:15" ht="17.25" customHeight="1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</row>
    <row r="49" spans="1:15" ht="17.25" customHeight="1">
      <c r="A49" s="44"/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</row>
    <row r="50" spans="1:15" ht="17.25" customHeight="1">
      <c r="A50" s="44"/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</row>
    <row r="51" spans="1:15" ht="17.25" customHeight="1">
      <c r="A51" s="44"/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</row>
    <row r="52" spans="1:15" ht="17.25" customHeight="1">
      <c r="A52" s="44"/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</row>
    <row r="53" spans="1:15" ht="17.25" customHeight="1">
      <c r="A53" s="44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</row>
    <row r="54" spans="1:15" ht="17.25" customHeight="1">
      <c r="A54" s="44"/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</row>
    <row r="55" spans="1:15" ht="17.25" customHeight="1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</row>
    <row r="56" spans="1:15" ht="17.25" customHeight="1">
      <c r="A56" s="44"/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</row>
    <row r="57" spans="1:15" ht="17.25" customHeight="1">
      <c r="A57" s="44"/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</row>
    <row r="58" spans="1:15" ht="17.25" customHeight="1">
      <c r="A58" s="44"/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</row>
    <row r="59" spans="1:15" ht="17.25" customHeight="1">
      <c r="A59" s="44"/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</row>
    <row r="60" spans="1:15" ht="17.25" customHeight="1">
      <c r="A60" s="44"/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</row>
    <row r="61" spans="1:15" ht="17.25" customHeight="1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</row>
    <row r="62" spans="1:15" ht="17.25" customHeight="1">
      <c r="A62" s="44"/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</row>
    <row r="63" spans="1:15" ht="17.25" customHeight="1">
      <c r="A63" s="44"/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</row>
    <row r="64" spans="1:15" ht="17.25" customHeight="1">
      <c r="A64" s="44"/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</row>
    <row r="65" spans="1:15" ht="17.25" customHeight="1">
      <c r="A65" s="44"/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</row>
    <row r="66" spans="1:15" ht="17.25" customHeight="1">
      <c r="A66" s="44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</row>
    <row r="67" spans="1:15" ht="17.25" customHeight="1">
      <c r="A67" s="44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</row>
    <row r="68" spans="1:15" ht="17.25" customHeight="1">
      <c r="A68" s="44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</row>
    <row r="69" spans="1:15" ht="17.25" customHeight="1">
      <c r="A69" s="44"/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</row>
    <row r="70" spans="1:15" ht="17.25" customHeight="1">
      <c r="A70" s="44"/>
      <c r="B70" s="44"/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</row>
    <row r="71" spans="1:15" ht="17.25" customHeight="1">
      <c r="A71" s="44"/>
      <c r="B71" s="44"/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</row>
    <row r="72" spans="1:15" ht="17.25" customHeight="1">
      <c r="A72" s="44"/>
      <c r="B72" s="44"/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</row>
    <row r="73" spans="1:15" ht="17.25" customHeight="1">
      <c r="A73" s="44"/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</row>
    <row r="74" spans="1:15" ht="17.25" customHeight="1">
      <c r="A74" s="44"/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</row>
    <row r="75" spans="1:15" ht="17.25" customHeight="1">
      <c r="A75" s="44"/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</row>
    <row r="76" spans="1:15" ht="17.25" customHeight="1">
      <c r="A76" s="44"/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</row>
    <row r="77" spans="1:15" ht="17.25" customHeight="1">
      <c r="A77" s="44"/>
      <c r="B77" s="44"/>
      <c r="C77" s="44"/>
      <c r="D77" s="44"/>
      <c r="E77" s="44"/>
      <c r="F77" s="44"/>
      <c r="G77" s="44"/>
      <c r="H77" s="44"/>
      <c r="I77" s="44"/>
      <c r="J77" s="44"/>
      <c r="K77" s="44"/>
      <c r="L77" s="44"/>
      <c r="M77" s="44"/>
      <c r="N77" s="44"/>
      <c r="O77" s="44"/>
    </row>
    <row r="78" spans="1:15" ht="17.25" customHeight="1">
      <c r="A78" s="44"/>
      <c r="B78" s="44"/>
      <c r="C78" s="44"/>
      <c r="D78" s="44"/>
      <c r="E78" s="44"/>
      <c r="F78" s="44"/>
      <c r="G78" s="44"/>
      <c r="H78" s="44"/>
      <c r="I78" s="44"/>
      <c r="J78" s="44"/>
      <c r="K78" s="44"/>
      <c r="L78" s="44"/>
      <c r="M78" s="44"/>
      <c r="N78" s="44"/>
      <c r="O78" s="44"/>
    </row>
    <row r="79" spans="1:15" ht="17.25" customHeight="1">
      <c r="A79" s="44"/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</row>
    <row r="80" spans="1:15" ht="17.25" customHeight="1">
      <c r="A80" s="44"/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</row>
    <row r="81" spans="1:15" ht="17.25" customHeight="1">
      <c r="A81" s="44"/>
      <c r="B81" s="44"/>
      <c r="C81" s="44"/>
      <c r="D81" s="44"/>
      <c r="E81" s="44"/>
      <c r="F81" s="44"/>
      <c r="G81" s="44"/>
      <c r="H81" s="44"/>
      <c r="I81" s="44"/>
      <c r="J81" s="44"/>
      <c r="K81" s="44"/>
      <c r="L81" s="44"/>
      <c r="M81" s="44"/>
      <c r="N81" s="44"/>
      <c r="O81" s="44"/>
    </row>
    <row r="82" spans="1:15" ht="17.25" customHeight="1">
      <c r="A82" s="44"/>
      <c r="B82" s="44"/>
      <c r="C82" s="44"/>
      <c r="D82" s="44"/>
      <c r="E82" s="44"/>
      <c r="F82" s="44"/>
      <c r="G82" s="44"/>
      <c r="H82" s="44"/>
      <c r="I82" s="44"/>
      <c r="J82" s="44"/>
      <c r="K82" s="44"/>
      <c r="L82" s="44"/>
      <c r="M82" s="44"/>
      <c r="N82" s="44"/>
      <c r="O82" s="44"/>
    </row>
    <row r="83" spans="1:15" ht="17.25" customHeight="1">
      <c r="A83" s="44"/>
      <c r="B83" s="44"/>
      <c r="C83" s="44"/>
      <c r="D83" s="44"/>
      <c r="E83" s="44"/>
      <c r="F83" s="44"/>
      <c r="G83" s="44"/>
      <c r="H83" s="44"/>
      <c r="I83" s="44"/>
      <c r="J83" s="44"/>
      <c r="K83" s="44"/>
      <c r="L83" s="44"/>
      <c r="M83" s="44"/>
      <c r="N83" s="44"/>
      <c r="O83" s="44"/>
    </row>
    <row r="84" spans="1:15" ht="17.25" customHeight="1">
      <c r="A84" s="44"/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M84" s="44"/>
      <c r="N84" s="44"/>
      <c r="O84" s="44"/>
    </row>
    <row r="85" spans="1:15" ht="17.25" customHeight="1">
      <c r="A85" s="44"/>
      <c r="B85" s="44"/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</row>
    <row r="86" spans="1:15" ht="17.25" customHeight="1">
      <c r="A86" s="44"/>
      <c r="B86" s="44"/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</row>
    <row r="87" spans="1:15" ht="17.25" customHeight="1">
      <c r="A87" s="44"/>
      <c r="B87" s="44"/>
      <c r="C87" s="44"/>
      <c r="D87" s="44"/>
      <c r="E87" s="44"/>
      <c r="F87" s="44"/>
      <c r="G87" s="44"/>
      <c r="H87" s="44"/>
      <c r="I87" s="44"/>
      <c r="J87" s="44"/>
      <c r="K87" s="44"/>
      <c r="L87" s="44"/>
      <c r="M87" s="44"/>
      <c r="N87" s="44"/>
      <c r="O87" s="44"/>
    </row>
    <row r="88" spans="1:15" ht="17.25" customHeight="1">
      <c r="A88" s="44"/>
      <c r="B88" s="44"/>
      <c r="C88" s="44"/>
      <c r="D88" s="44"/>
      <c r="E88" s="44"/>
      <c r="F88" s="44"/>
      <c r="G88" s="44"/>
      <c r="H88" s="44"/>
      <c r="I88" s="44"/>
      <c r="J88" s="44"/>
      <c r="K88" s="44"/>
      <c r="L88" s="44"/>
      <c r="M88" s="44"/>
      <c r="N88" s="44"/>
      <c r="O88" s="44"/>
    </row>
    <row r="89" spans="1:15" ht="17.25" customHeight="1">
      <c r="A89" s="44"/>
      <c r="B89" s="44"/>
      <c r="C89" s="44"/>
      <c r="D89" s="44"/>
      <c r="E89" s="44"/>
      <c r="F89" s="44"/>
      <c r="G89" s="44"/>
      <c r="H89" s="44"/>
      <c r="I89" s="44"/>
      <c r="J89" s="44"/>
      <c r="K89" s="44"/>
      <c r="L89" s="44"/>
      <c r="M89" s="44"/>
      <c r="N89" s="44"/>
      <c r="O89" s="44"/>
    </row>
    <row r="90" spans="1:15" ht="17.25" customHeight="1">
      <c r="A90" s="44"/>
      <c r="B90" s="44"/>
      <c r="C90" s="44"/>
      <c r="D90" s="44"/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44"/>
    </row>
    <row r="91" spans="1:15" ht="17.25" customHeight="1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</row>
    <row r="92" spans="1:15" ht="17.25" customHeight="1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</row>
    <row r="93" spans="1:15" ht="17.25" customHeight="1">
      <c r="A93" s="44"/>
      <c r="B93" s="44"/>
      <c r="C93" s="44"/>
      <c r="D93" s="44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</row>
    <row r="94" spans="1:15" ht="17.25" customHeight="1">
      <c r="A94" s="44"/>
      <c r="B94" s="44"/>
      <c r="C94" s="44"/>
      <c r="D94" s="44"/>
      <c r="E94" s="44"/>
      <c r="F94" s="44"/>
      <c r="G94" s="44"/>
      <c r="H94" s="44"/>
      <c r="I94" s="44"/>
      <c r="J94" s="44"/>
      <c r="K94" s="44"/>
      <c r="L94" s="44"/>
      <c r="M94" s="44"/>
      <c r="N94" s="44"/>
      <c r="O94" s="44"/>
    </row>
    <row r="95" spans="1:15" ht="17.25" customHeight="1">
      <c r="A95" s="44"/>
      <c r="B95" s="44"/>
      <c r="C95" s="44"/>
      <c r="D95" s="44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</row>
    <row r="96" spans="1:15" ht="17.25" customHeight="1">
      <c r="A96" s="44"/>
      <c r="B96" s="44"/>
      <c r="C96" s="44"/>
      <c r="D96" s="44"/>
      <c r="E96" s="44"/>
      <c r="F96" s="44"/>
      <c r="G96" s="44"/>
      <c r="H96" s="44"/>
      <c r="I96" s="44"/>
      <c r="J96" s="44"/>
      <c r="K96" s="44"/>
      <c r="L96" s="44"/>
      <c r="M96" s="44"/>
      <c r="N96" s="44"/>
      <c r="O96" s="44"/>
    </row>
    <row r="97" spans="1:15" ht="17.25" customHeight="1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</row>
    <row r="98" spans="1:15" ht="17.25" customHeight="1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</row>
    <row r="99" spans="1:15" ht="17.25" customHeight="1">
      <c r="A99" s="44"/>
      <c r="B99" s="44"/>
      <c r="C99" s="44"/>
      <c r="D99" s="44"/>
      <c r="E99" s="44"/>
      <c r="F99" s="44"/>
      <c r="G99" s="44"/>
      <c r="H99" s="44"/>
      <c r="I99" s="44"/>
      <c r="J99" s="44"/>
      <c r="K99" s="44"/>
      <c r="L99" s="44"/>
      <c r="M99" s="44"/>
      <c r="N99" s="44"/>
      <c r="O99" s="44"/>
    </row>
    <row r="100" spans="1:15" ht="17.25" customHeight="1">
      <c r="A100" s="44"/>
      <c r="B100" s="44"/>
      <c r="C100" s="44"/>
      <c r="D100" s="44"/>
      <c r="E100" s="44"/>
      <c r="F100" s="44"/>
      <c r="G100" s="44"/>
      <c r="H100" s="44"/>
      <c r="I100" s="44"/>
      <c r="J100" s="44"/>
      <c r="K100" s="44"/>
      <c r="L100" s="44"/>
      <c r="M100" s="44"/>
      <c r="N100" s="44"/>
      <c r="O100" s="44"/>
    </row>
    <row r="101" spans="1:15" ht="17.25" customHeight="1">
      <c r="A101" s="44"/>
      <c r="B101" s="44"/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44"/>
    </row>
    <row r="102" spans="1:15" ht="17.25" customHeight="1">
      <c r="A102" s="44"/>
      <c r="B102" s="44"/>
      <c r="C102" s="44"/>
      <c r="D102" s="44"/>
      <c r="E102" s="44"/>
      <c r="F102" s="44"/>
      <c r="G102" s="44"/>
      <c r="H102" s="44"/>
      <c r="I102" s="44"/>
      <c r="J102" s="44"/>
      <c r="K102" s="44"/>
      <c r="L102" s="44"/>
      <c r="M102" s="44"/>
      <c r="N102" s="44"/>
      <c r="O102" s="44"/>
    </row>
    <row r="103" spans="1:15" ht="17.25" customHeight="1">
      <c r="A103" s="44"/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</row>
    <row r="104" spans="1:15" ht="17.25" customHeight="1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</row>
    <row r="105" spans="1:15" ht="17.25" customHeight="1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</row>
    <row r="106" spans="1:15" ht="17.25" customHeight="1">
      <c r="A106" s="44"/>
      <c r="B106" s="44"/>
      <c r="C106" s="44"/>
      <c r="D106" s="44"/>
      <c r="E106" s="44"/>
      <c r="F106" s="44"/>
      <c r="G106" s="44"/>
      <c r="H106" s="44"/>
      <c r="I106" s="44"/>
      <c r="J106" s="44"/>
      <c r="K106" s="44"/>
      <c r="L106" s="44"/>
      <c r="M106" s="44"/>
      <c r="N106" s="44"/>
      <c r="O106" s="44"/>
    </row>
    <row r="107" spans="1:15" ht="17.25" customHeight="1">
      <c r="A107" s="44"/>
      <c r="B107" s="44"/>
      <c r="C107" s="44"/>
      <c r="D107" s="44"/>
      <c r="E107" s="44"/>
      <c r="F107" s="44"/>
      <c r="G107" s="44"/>
      <c r="H107" s="44"/>
      <c r="I107" s="44"/>
      <c r="J107" s="44"/>
      <c r="K107" s="44"/>
      <c r="L107" s="44"/>
      <c r="M107" s="44"/>
      <c r="N107" s="44"/>
      <c r="O107" s="44"/>
    </row>
    <row r="108" spans="1:15" ht="17.25" customHeight="1">
      <c r="A108" s="44"/>
      <c r="B108" s="44"/>
      <c r="C108" s="44"/>
      <c r="D108" s="44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</row>
    <row r="109" spans="1:15" ht="17.25" customHeight="1">
      <c r="A109" s="44"/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  <c r="N109" s="44"/>
      <c r="O109" s="44"/>
    </row>
    <row r="110" spans="1:15" ht="17.25" customHeight="1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</row>
    <row r="111" spans="1:15" ht="17.25" customHeight="1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</row>
    <row r="112" spans="1:15" ht="17.25" customHeight="1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</row>
    <row r="113" spans="1:15" ht="17.25" customHeight="1">
      <c r="A113" s="44"/>
      <c r="B113" s="44"/>
      <c r="C113" s="44"/>
      <c r="D113" s="44"/>
      <c r="E113" s="44"/>
      <c r="F113" s="44"/>
      <c r="G113" s="44"/>
      <c r="H113" s="44"/>
      <c r="I113" s="44"/>
      <c r="J113" s="44"/>
      <c r="K113" s="44"/>
      <c r="L113" s="44"/>
      <c r="M113" s="44"/>
      <c r="N113" s="44"/>
      <c r="O113" s="44"/>
    </row>
    <row r="114" spans="1:15" ht="17.25" customHeight="1">
      <c r="A114" s="44"/>
      <c r="B114" s="44"/>
      <c r="C114" s="44"/>
      <c r="D114" s="44"/>
      <c r="E114" s="44"/>
      <c r="F114" s="44"/>
      <c r="G114" s="44"/>
      <c r="H114" s="44"/>
      <c r="I114" s="44"/>
      <c r="J114" s="44"/>
      <c r="K114" s="44"/>
      <c r="L114" s="44"/>
      <c r="M114" s="44"/>
      <c r="N114" s="44"/>
      <c r="O114" s="44"/>
    </row>
    <row r="115" spans="1:15" ht="17.25" customHeight="1">
      <c r="A115" s="44"/>
      <c r="B115" s="44"/>
      <c r="C115" s="44"/>
      <c r="D115" s="44"/>
      <c r="E115" s="44"/>
      <c r="F115" s="44"/>
      <c r="G115" s="44"/>
      <c r="H115" s="44"/>
      <c r="I115" s="44"/>
      <c r="J115" s="44"/>
      <c r="K115" s="44"/>
      <c r="L115" s="44"/>
      <c r="M115" s="44"/>
      <c r="N115" s="44"/>
      <c r="O115" s="44"/>
    </row>
    <row r="116" spans="1:15" ht="17.25" customHeight="1">
      <c r="A116" s="44"/>
      <c r="B116" s="44"/>
      <c r="C116" s="44"/>
      <c r="D116" s="44"/>
      <c r="E116" s="44"/>
      <c r="F116" s="44"/>
      <c r="G116" s="44"/>
      <c r="H116" s="44"/>
      <c r="I116" s="44"/>
      <c r="J116" s="44"/>
      <c r="K116" s="44"/>
      <c r="L116" s="44"/>
      <c r="M116" s="44"/>
      <c r="N116" s="44"/>
      <c r="O116" s="44"/>
    </row>
    <row r="117" spans="1:15" ht="17.25" customHeight="1">
      <c r="A117" s="44"/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</row>
    <row r="118" spans="1:15" ht="17.25" customHeight="1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</row>
    <row r="119" spans="1:15" ht="17.25" customHeight="1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</row>
    <row r="120" spans="1:15" ht="17.25" customHeight="1">
      <c r="A120" s="44"/>
      <c r="B120" s="44"/>
      <c r="C120" s="44"/>
      <c r="D120" s="44"/>
      <c r="E120" s="44"/>
      <c r="F120" s="44"/>
      <c r="G120" s="44"/>
      <c r="H120" s="44"/>
      <c r="I120" s="44"/>
      <c r="J120" s="44"/>
      <c r="K120" s="44"/>
      <c r="L120" s="44"/>
      <c r="M120" s="44"/>
      <c r="N120" s="44"/>
      <c r="O120" s="44"/>
    </row>
    <row r="121" spans="1:15" ht="17.25" customHeight="1">
      <c r="A121" s="44"/>
      <c r="B121" s="44"/>
      <c r="C121" s="44"/>
      <c r="D121" s="44"/>
      <c r="E121" s="44"/>
      <c r="F121" s="44"/>
      <c r="G121" s="44"/>
      <c r="H121" s="44"/>
      <c r="I121" s="44"/>
      <c r="J121" s="44"/>
      <c r="K121" s="44"/>
      <c r="L121" s="44"/>
      <c r="M121" s="44"/>
      <c r="N121" s="44"/>
      <c r="O121" s="44"/>
    </row>
    <row r="122" spans="1:15" ht="17.25" customHeight="1">
      <c r="A122" s="44"/>
      <c r="B122" s="44"/>
      <c r="C122" s="44"/>
      <c r="D122" s="44"/>
      <c r="E122" s="44"/>
      <c r="F122" s="44"/>
      <c r="G122" s="44"/>
      <c r="H122" s="44"/>
      <c r="I122" s="44"/>
      <c r="J122" s="44"/>
      <c r="K122" s="44"/>
      <c r="L122" s="44"/>
      <c r="M122" s="44"/>
      <c r="N122" s="44"/>
      <c r="O122" s="44"/>
    </row>
    <row r="123" spans="1:15" ht="17.25" customHeight="1">
      <c r="A123" s="44"/>
      <c r="B123" s="44"/>
      <c r="C123" s="44"/>
      <c r="D123" s="44"/>
      <c r="E123" s="44"/>
      <c r="F123" s="44"/>
      <c r="G123" s="44"/>
      <c r="H123" s="44"/>
      <c r="I123" s="44"/>
      <c r="J123" s="44"/>
      <c r="K123" s="44"/>
      <c r="L123" s="44"/>
      <c r="M123" s="44"/>
      <c r="N123" s="44"/>
      <c r="O123" s="44"/>
    </row>
    <row r="124" spans="1:15" ht="17.25" customHeight="1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</row>
    <row r="125" spans="1:15" ht="17.25" customHeight="1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</row>
    <row r="126" spans="1:15" ht="17.25" customHeight="1">
      <c r="A126" s="44"/>
      <c r="B126" s="44"/>
      <c r="C126" s="44"/>
      <c r="D126" s="44"/>
      <c r="E126" s="44"/>
      <c r="F126" s="44"/>
      <c r="G126" s="44"/>
      <c r="H126" s="44"/>
      <c r="I126" s="44"/>
      <c r="J126" s="44"/>
      <c r="K126" s="44"/>
      <c r="L126" s="44"/>
      <c r="M126" s="44"/>
      <c r="N126" s="44"/>
      <c r="O126" s="44"/>
    </row>
    <row r="127" spans="1:15" ht="17.25" customHeight="1">
      <c r="A127" s="44"/>
      <c r="B127" s="44"/>
      <c r="C127" s="44"/>
      <c r="D127" s="44"/>
      <c r="E127" s="44"/>
      <c r="F127" s="44"/>
      <c r="G127" s="44"/>
      <c r="H127" s="44"/>
      <c r="I127" s="44"/>
      <c r="J127" s="44"/>
      <c r="K127" s="44"/>
      <c r="L127" s="44"/>
      <c r="M127" s="44"/>
      <c r="N127" s="44"/>
      <c r="O127" s="44"/>
    </row>
    <row r="128" spans="1:15" ht="17.25" customHeight="1">
      <c r="A128" s="44"/>
      <c r="B128" s="44"/>
      <c r="C128" s="44"/>
      <c r="D128" s="44"/>
      <c r="E128" s="44"/>
      <c r="F128" s="44"/>
      <c r="G128" s="44"/>
      <c r="H128" s="44"/>
      <c r="I128" s="44"/>
      <c r="J128" s="44"/>
      <c r="K128" s="44"/>
      <c r="L128" s="44"/>
      <c r="M128" s="44"/>
      <c r="N128" s="44"/>
      <c r="O128" s="44"/>
    </row>
    <row r="129" spans="1:15" ht="17.25" customHeight="1">
      <c r="A129" s="44"/>
      <c r="B129" s="44"/>
      <c r="C129" s="44"/>
      <c r="D129" s="44"/>
      <c r="E129" s="44"/>
      <c r="F129" s="44"/>
      <c r="G129" s="44"/>
      <c r="H129" s="44"/>
      <c r="I129" s="44"/>
      <c r="J129" s="44"/>
      <c r="K129" s="44"/>
      <c r="L129" s="44"/>
      <c r="M129" s="44"/>
      <c r="N129" s="44"/>
      <c r="O129" s="44"/>
    </row>
    <row r="130" spans="1:15" ht="17.25" customHeight="1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</row>
    <row r="131" spans="1:15" ht="17.25" customHeight="1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</row>
    <row r="132" spans="1:15" ht="17.25" customHeight="1">
      <c r="A132" s="44"/>
      <c r="B132" s="44"/>
      <c r="C132" s="44"/>
      <c r="D132" s="44"/>
      <c r="E132" s="44"/>
      <c r="F132" s="44"/>
      <c r="G132" s="44"/>
      <c r="H132" s="44"/>
      <c r="I132" s="44"/>
      <c r="J132" s="44"/>
      <c r="K132" s="44"/>
      <c r="L132" s="44"/>
      <c r="M132" s="44"/>
      <c r="N132" s="44"/>
      <c r="O132" s="44"/>
    </row>
    <row r="133" spans="1:15" ht="17.25" customHeight="1">
      <c r="A133" s="44"/>
      <c r="B133" s="44"/>
      <c r="C133" s="44"/>
      <c r="D133" s="44"/>
      <c r="E133" s="44"/>
      <c r="F133" s="44"/>
      <c r="G133" s="44"/>
      <c r="H133" s="44"/>
      <c r="I133" s="44"/>
      <c r="J133" s="44"/>
      <c r="K133" s="44"/>
      <c r="L133" s="44"/>
      <c r="M133" s="44"/>
      <c r="N133" s="44"/>
      <c r="O133" s="44"/>
    </row>
    <row r="134" spans="1:15" ht="17.25" customHeight="1">
      <c r="A134" s="44"/>
      <c r="B134" s="44"/>
      <c r="C134" s="44"/>
      <c r="D134" s="44"/>
      <c r="E134" s="44"/>
      <c r="F134" s="44"/>
      <c r="G134" s="44"/>
      <c r="H134" s="44"/>
      <c r="I134" s="44"/>
      <c r="J134" s="44"/>
      <c r="K134" s="44"/>
      <c r="L134" s="44"/>
      <c r="M134" s="44"/>
      <c r="N134" s="44"/>
      <c r="O134" s="44"/>
    </row>
    <row r="135" spans="1:15" ht="17.25" customHeight="1">
      <c r="A135" s="44"/>
      <c r="B135" s="44"/>
      <c r="C135" s="44"/>
      <c r="D135" s="44"/>
      <c r="E135" s="44"/>
      <c r="F135" s="44"/>
      <c r="G135" s="44"/>
      <c r="H135" s="44"/>
      <c r="I135" s="44"/>
      <c r="J135" s="44"/>
      <c r="K135" s="44"/>
      <c r="L135" s="44"/>
      <c r="M135" s="44"/>
      <c r="N135" s="44"/>
      <c r="O135" s="44"/>
    </row>
    <row r="136" spans="1:15" ht="17.25" customHeight="1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</row>
    <row r="137" spans="1:15" ht="17.25" customHeight="1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</row>
    <row r="138" spans="1:15" ht="17.25" customHeight="1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</row>
    <row r="139" spans="1:15" ht="17.25" customHeight="1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</row>
    <row r="140" spans="1:15" ht="17.25" customHeight="1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</row>
    <row r="141" spans="1:15" ht="17.25" customHeight="1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</row>
    <row r="142" spans="1:15" ht="17.25" customHeight="1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</row>
    <row r="143" spans="1:15" ht="17.25" customHeight="1">
      <c r="A143" s="44"/>
      <c r="B143" s="44"/>
      <c r="C143" s="44"/>
      <c r="D143" s="44"/>
      <c r="E143" s="44"/>
      <c r="F143" s="44"/>
      <c r="G143" s="44"/>
      <c r="H143" s="44"/>
      <c r="I143" s="44"/>
      <c r="J143" s="44"/>
      <c r="K143" s="44"/>
      <c r="L143" s="44"/>
      <c r="M143" s="44"/>
      <c r="N143" s="44"/>
      <c r="O143" s="44"/>
    </row>
    <row r="144" spans="1:15" ht="17.25" customHeight="1">
      <c r="A144" s="44"/>
      <c r="B144" s="44"/>
      <c r="C144" s="44"/>
      <c r="D144" s="44"/>
      <c r="E144" s="44"/>
      <c r="F144" s="44"/>
      <c r="G144" s="44"/>
      <c r="H144" s="44"/>
      <c r="I144" s="44"/>
      <c r="J144" s="44"/>
      <c r="K144" s="44"/>
      <c r="L144" s="44"/>
      <c r="M144" s="44"/>
      <c r="N144" s="44"/>
      <c r="O144" s="44"/>
    </row>
    <row r="145" spans="1:15" ht="17.25" customHeight="1">
      <c r="A145" s="44"/>
      <c r="B145" s="44"/>
      <c r="C145" s="44"/>
      <c r="D145" s="44"/>
      <c r="E145" s="44"/>
      <c r="F145" s="44"/>
      <c r="G145" s="44"/>
      <c r="H145" s="44"/>
      <c r="I145" s="44"/>
      <c r="J145" s="44"/>
      <c r="K145" s="44"/>
      <c r="L145" s="44"/>
      <c r="M145" s="44"/>
      <c r="N145" s="44"/>
      <c r="O145" s="44"/>
    </row>
    <row r="146" spans="1:15" ht="17.25" customHeight="1">
      <c r="A146" s="44"/>
      <c r="B146" s="44"/>
      <c r="C146" s="44"/>
      <c r="D146" s="44"/>
      <c r="E146" s="44"/>
      <c r="F146" s="44"/>
      <c r="G146" s="44"/>
      <c r="H146" s="44"/>
      <c r="I146" s="44"/>
      <c r="J146" s="44"/>
      <c r="K146" s="44"/>
      <c r="L146" s="44"/>
      <c r="M146" s="44"/>
      <c r="N146" s="44"/>
      <c r="O146" s="44"/>
    </row>
    <row r="147" spans="1:15" ht="17.25" customHeight="1">
      <c r="A147" s="44"/>
      <c r="B147" s="44"/>
      <c r="C147" s="44"/>
      <c r="D147" s="44"/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44"/>
    </row>
    <row r="148" spans="1:15" ht="17.25" customHeight="1">
      <c r="A148" s="44"/>
      <c r="B148" s="44"/>
      <c r="C148" s="44"/>
      <c r="D148" s="44"/>
      <c r="E148" s="44"/>
      <c r="F148" s="44"/>
      <c r="G148" s="44"/>
      <c r="H148" s="44"/>
      <c r="I148" s="44"/>
      <c r="J148" s="44"/>
      <c r="K148" s="44"/>
      <c r="L148" s="44"/>
      <c r="M148" s="44"/>
      <c r="N148" s="44"/>
      <c r="O148" s="44"/>
    </row>
    <row r="149" spans="1:15" ht="17.25" customHeight="1">
      <c r="A149" s="44"/>
      <c r="B149" s="44"/>
      <c r="C149" s="44"/>
      <c r="D149" s="44"/>
      <c r="E149" s="44"/>
      <c r="F149" s="44"/>
      <c r="G149" s="44"/>
      <c r="H149" s="44"/>
      <c r="I149" s="44"/>
      <c r="J149" s="44"/>
      <c r="K149" s="44"/>
      <c r="L149" s="44"/>
      <c r="M149" s="44"/>
      <c r="N149" s="44"/>
      <c r="O149" s="44"/>
    </row>
    <row r="150" spans="1:15" ht="17.25" customHeight="1">
      <c r="A150" s="44"/>
      <c r="B150" s="44"/>
      <c r="C150" s="44"/>
      <c r="D150" s="44"/>
      <c r="E150" s="44"/>
      <c r="F150" s="44"/>
      <c r="G150" s="44"/>
      <c r="H150" s="44"/>
      <c r="I150" s="44"/>
      <c r="J150" s="44"/>
      <c r="K150" s="44"/>
      <c r="L150" s="44"/>
      <c r="M150" s="44"/>
      <c r="N150" s="44"/>
      <c r="O150" s="44"/>
    </row>
    <row r="151" spans="1:15" ht="17.25" customHeight="1">
      <c r="A151" s="44"/>
      <c r="B151" s="44"/>
      <c r="C151" s="44"/>
      <c r="D151" s="44"/>
      <c r="E151" s="44"/>
      <c r="F151" s="44"/>
      <c r="G151" s="44"/>
      <c r="H151" s="44"/>
      <c r="I151" s="44"/>
      <c r="J151" s="44"/>
      <c r="K151" s="44"/>
      <c r="L151" s="44"/>
      <c r="M151" s="44"/>
      <c r="N151" s="44"/>
      <c r="O151" s="44"/>
    </row>
    <row r="152" spans="1:15" ht="17.25" customHeight="1">
      <c r="A152" s="44"/>
      <c r="B152" s="44"/>
      <c r="C152" s="44"/>
      <c r="D152" s="44"/>
      <c r="E152" s="44"/>
      <c r="F152" s="44"/>
      <c r="G152" s="44"/>
      <c r="H152" s="44"/>
      <c r="I152" s="44"/>
      <c r="J152" s="44"/>
      <c r="K152" s="44"/>
      <c r="L152" s="44"/>
      <c r="M152" s="44"/>
      <c r="N152" s="44"/>
      <c r="O152" s="44"/>
    </row>
    <row r="153" spans="1:15" ht="17.25" customHeight="1">
      <c r="A153" s="44"/>
      <c r="B153" s="44"/>
      <c r="C153" s="44"/>
      <c r="D153" s="44"/>
      <c r="E153" s="44"/>
      <c r="F153" s="44"/>
      <c r="G153" s="44"/>
      <c r="H153" s="44"/>
      <c r="I153" s="44"/>
      <c r="J153" s="44"/>
      <c r="K153" s="44"/>
      <c r="L153" s="44"/>
      <c r="M153" s="44"/>
      <c r="N153" s="44"/>
      <c r="O153" s="44"/>
    </row>
    <row r="154" spans="1:15" ht="17.25" customHeight="1">
      <c r="A154" s="44"/>
      <c r="B154" s="44"/>
      <c r="C154" s="44"/>
      <c r="D154" s="44"/>
      <c r="E154" s="44"/>
      <c r="F154" s="44"/>
      <c r="G154" s="44"/>
      <c r="H154" s="44"/>
      <c r="I154" s="44"/>
      <c r="J154" s="44"/>
      <c r="K154" s="44"/>
      <c r="L154" s="44"/>
      <c r="M154" s="44"/>
      <c r="N154" s="44"/>
      <c r="O154" s="44"/>
    </row>
    <row r="155" spans="1:15" ht="17.25" customHeight="1">
      <c r="A155" s="44"/>
      <c r="B155" s="44"/>
      <c r="C155" s="44"/>
      <c r="D155" s="44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</row>
    <row r="156" spans="1:15" ht="17.25" customHeight="1">
      <c r="A156" s="44"/>
      <c r="B156" s="44"/>
      <c r="C156" s="44"/>
      <c r="D156" s="44"/>
      <c r="E156" s="44"/>
      <c r="F156" s="44"/>
      <c r="G156" s="44"/>
      <c r="H156" s="44"/>
      <c r="I156" s="44"/>
      <c r="J156" s="44"/>
      <c r="K156" s="44"/>
      <c r="L156" s="44"/>
      <c r="M156" s="44"/>
      <c r="N156" s="44"/>
      <c r="O156" s="44"/>
    </row>
    <row r="157" spans="1:15" ht="17.25" customHeight="1">
      <c r="A157" s="44"/>
      <c r="B157" s="44"/>
      <c r="C157" s="44"/>
      <c r="D157" s="44"/>
      <c r="E157" s="44"/>
      <c r="F157" s="44"/>
      <c r="G157" s="44"/>
      <c r="H157" s="44"/>
      <c r="I157" s="44"/>
      <c r="J157" s="44"/>
      <c r="K157" s="44"/>
      <c r="L157" s="44"/>
      <c r="M157" s="44"/>
      <c r="N157" s="44"/>
      <c r="O157" s="44"/>
    </row>
    <row r="158" spans="1:15" ht="17.25" customHeight="1">
      <c r="A158" s="44"/>
      <c r="B158" s="44"/>
      <c r="C158" s="44"/>
      <c r="D158" s="44"/>
      <c r="E158" s="44"/>
      <c r="F158" s="44"/>
      <c r="G158" s="44"/>
      <c r="H158" s="44"/>
      <c r="I158" s="44"/>
      <c r="J158" s="44"/>
      <c r="K158" s="44"/>
      <c r="L158" s="44"/>
      <c r="M158" s="44"/>
      <c r="N158" s="44"/>
      <c r="O158" s="44"/>
    </row>
    <row r="159" spans="1:15" ht="17.25" customHeight="1">
      <c r="A159" s="44"/>
      <c r="B159" s="44"/>
      <c r="C159" s="44"/>
      <c r="D159" s="44"/>
      <c r="E159" s="44"/>
      <c r="F159" s="44"/>
      <c r="G159" s="44"/>
      <c r="H159" s="44"/>
      <c r="I159" s="44"/>
      <c r="J159" s="44"/>
      <c r="K159" s="44"/>
      <c r="L159" s="44"/>
      <c r="M159" s="44"/>
      <c r="N159" s="44"/>
      <c r="O159" s="44"/>
    </row>
    <row r="160" spans="1:15" ht="17.25" customHeight="1">
      <c r="A160" s="44"/>
      <c r="B160" s="44"/>
      <c r="C160" s="44"/>
      <c r="D160" s="44"/>
      <c r="E160" s="44"/>
      <c r="F160" s="44"/>
      <c r="G160" s="44"/>
      <c r="H160" s="44"/>
      <c r="I160" s="44"/>
      <c r="J160" s="44"/>
      <c r="K160" s="44"/>
      <c r="L160" s="44"/>
      <c r="M160" s="44"/>
      <c r="N160" s="44"/>
      <c r="O160" s="44"/>
    </row>
    <row r="161" spans="1:15" ht="17.25" customHeight="1">
      <c r="A161" s="44"/>
      <c r="B161" s="44"/>
      <c r="C161" s="44"/>
      <c r="D161" s="44"/>
      <c r="E161" s="44"/>
      <c r="F161" s="44"/>
      <c r="G161" s="44"/>
      <c r="H161" s="44"/>
      <c r="I161" s="44"/>
      <c r="J161" s="44"/>
      <c r="K161" s="44"/>
      <c r="L161" s="44"/>
      <c r="M161" s="44"/>
      <c r="N161" s="44"/>
      <c r="O161" s="44"/>
    </row>
    <row r="162" spans="1:15" ht="17.25" customHeight="1">
      <c r="A162" s="44"/>
      <c r="B162" s="44"/>
      <c r="C162" s="44"/>
      <c r="D162" s="44"/>
      <c r="E162" s="44"/>
      <c r="F162" s="44"/>
      <c r="G162" s="44"/>
      <c r="H162" s="44"/>
      <c r="I162" s="44"/>
      <c r="J162" s="44"/>
      <c r="K162" s="44"/>
      <c r="L162" s="44"/>
      <c r="M162" s="44"/>
      <c r="N162" s="44"/>
      <c r="O162" s="44"/>
    </row>
    <row r="163" spans="1:15" ht="17.25" customHeight="1">
      <c r="A163" s="44"/>
      <c r="B163" s="44"/>
      <c r="C163" s="44"/>
      <c r="D163" s="44"/>
      <c r="E163" s="44"/>
      <c r="F163" s="44"/>
      <c r="G163" s="44"/>
      <c r="H163" s="44"/>
      <c r="I163" s="44"/>
      <c r="J163" s="44"/>
      <c r="K163" s="44"/>
      <c r="L163" s="44"/>
      <c r="M163" s="44"/>
      <c r="N163" s="44"/>
      <c r="O163" s="44"/>
    </row>
    <row r="164" spans="1:15" ht="17.25" customHeight="1">
      <c r="A164" s="44"/>
      <c r="B164" s="44"/>
      <c r="C164" s="44"/>
      <c r="D164" s="44"/>
      <c r="E164" s="44"/>
      <c r="F164" s="44"/>
      <c r="G164" s="44"/>
      <c r="H164" s="44"/>
      <c r="I164" s="44"/>
      <c r="J164" s="44"/>
      <c r="K164" s="44"/>
      <c r="L164" s="44"/>
      <c r="M164" s="44"/>
      <c r="N164" s="44"/>
      <c r="O164" s="44"/>
    </row>
    <row r="165" spans="1:15" ht="17.25" customHeight="1">
      <c r="A165" s="44"/>
      <c r="B165" s="44"/>
      <c r="C165" s="44"/>
      <c r="D165" s="44"/>
      <c r="E165" s="44"/>
      <c r="F165" s="44"/>
      <c r="G165" s="44"/>
      <c r="H165" s="44"/>
      <c r="I165" s="44"/>
      <c r="J165" s="44"/>
      <c r="K165" s="44"/>
      <c r="L165" s="44"/>
      <c r="M165" s="44"/>
      <c r="N165" s="44"/>
      <c r="O165" s="44"/>
    </row>
    <row r="166" spans="1:15" ht="17.25" customHeight="1">
      <c r="A166" s="44"/>
      <c r="B166" s="44"/>
      <c r="C166" s="44"/>
      <c r="D166" s="44"/>
      <c r="E166" s="44"/>
      <c r="F166" s="44"/>
      <c r="G166" s="44"/>
      <c r="H166" s="44"/>
      <c r="I166" s="44"/>
      <c r="J166" s="44"/>
      <c r="K166" s="44"/>
      <c r="L166" s="44"/>
      <c r="M166" s="44"/>
      <c r="N166" s="44"/>
      <c r="O166" s="44"/>
    </row>
    <row r="167" spans="1:15" ht="17.25" customHeight="1">
      <c r="A167" s="44"/>
      <c r="B167" s="44"/>
      <c r="C167" s="44"/>
      <c r="D167" s="44"/>
      <c r="E167" s="44"/>
      <c r="F167" s="44"/>
      <c r="G167" s="44"/>
      <c r="H167" s="44"/>
      <c r="I167" s="44"/>
      <c r="J167" s="44"/>
      <c r="K167" s="44"/>
      <c r="L167" s="44"/>
      <c r="M167" s="44"/>
      <c r="N167" s="44"/>
      <c r="O167" s="44"/>
    </row>
    <row r="168" spans="1:15" ht="17.25" customHeight="1">
      <c r="A168" s="44"/>
      <c r="B168" s="44"/>
      <c r="C168" s="44"/>
      <c r="D168" s="44"/>
      <c r="E168" s="44"/>
      <c r="F168" s="44"/>
      <c r="G168" s="44"/>
      <c r="H168" s="44"/>
      <c r="I168" s="44"/>
      <c r="J168" s="44"/>
      <c r="K168" s="44"/>
      <c r="L168" s="44"/>
      <c r="M168" s="44"/>
      <c r="N168" s="44"/>
      <c r="O168" s="44"/>
    </row>
    <row r="169" spans="1:15" ht="17.25" customHeight="1">
      <c r="A169" s="44"/>
      <c r="B169" s="44"/>
      <c r="C169" s="44"/>
      <c r="D169" s="44"/>
      <c r="E169" s="44"/>
      <c r="F169" s="44"/>
      <c r="G169" s="44"/>
      <c r="H169" s="44"/>
      <c r="I169" s="44"/>
      <c r="J169" s="44"/>
      <c r="K169" s="44"/>
      <c r="L169" s="44"/>
      <c r="M169" s="44"/>
      <c r="N169" s="44"/>
      <c r="O169" s="44"/>
    </row>
    <row r="170" spans="1:15" ht="17.25" customHeight="1">
      <c r="A170" s="44"/>
      <c r="B170" s="44"/>
      <c r="C170" s="44"/>
      <c r="D170" s="44"/>
      <c r="E170" s="44"/>
      <c r="F170" s="44"/>
      <c r="G170" s="44"/>
      <c r="H170" s="44"/>
      <c r="I170" s="44"/>
      <c r="J170" s="44"/>
      <c r="K170" s="44"/>
      <c r="L170" s="44"/>
      <c r="M170" s="44"/>
      <c r="N170" s="44"/>
      <c r="O170" s="44"/>
    </row>
    <row r="171" spans="1:15" ht="17.25" customHeight="1">
      <c r="A171" s="44"/>
      <c r="B171" s="44"/>
      <c r="C171" s="44"/>
      <c r="D171" s="44"/>
      <c r="E171" s="44"/>
      <c r="F171" s="44"/>
      <c r="G171" s="44"/>
      <c r="H171" s="44"/>
      <c r="I171" s="44"/>
      <c r="J171" s="44"/>
      <c r="K171" s="44"/>
      <c r="L171" s="44"/>
      <c r="M171" s="44"/>
      <c r="N171" s="44"/>
      <c r="O171" s="44"/>
    </row>
    <row r="172" spans="1:15" ht="17.25" customHeight="1">
      <c r="A172" s="44"/>
      <c r="B172" s="44"/>
      <c r="C172" s="44"/>
      <c r="D172" s="44"/>
      <c r="E172" s="44"/>
      <c r="F172" s="44"/>
      <c r="G172" s="44"/>
      <c r="H172" s="44"/>
      <c r="I172" s="44"/>
      <c r="J172" s="44"/>
      <c r="K172" s="44"/>
      <c r="L172" s="44"/>
      <c r="M172" s="44"/>
      <c r="N172" s="44"/>
      <c r="O172" s="44"/>
    </row>
    <row r="173" spans="1:15" ht="17.25" customHeight="1">
      <c r="A173" s="44"/>
      <c r="B173" s="44"/>
      <c r="C173" s="44"/>
      <c r="D173" s="44"/>
      <c r="E173" s="44"/>
      <c r="F173" s="44"/>
      <c r="G173" s="44"/>
      <c r="H173" s="44"/>
      <c r="I173" s="44"/>
      <c r="J173" s="44"/>
      <c r="K173" s="44"/>
      <c r="L173" s="44"/>
      <c r="M173" s="44"/>
      <c r="N173" s="44"/>
      <c r="O173" s="44"/>
    </row>
    <row r="174" spans="1:15" ht="17.25" customHeight="1">
      <c r="A174" s="44"/>
      <c r="B174" s="44"/>
      <c r="C174" s="44"/>
      <c r="D174" s="44"/>
      <c r="E174" s="44"/>
      <c r="F174" s="44"/>
      <c r="G174" s="44"/>
      <c r="H174" s="44"/>
      <c r="I174" s="44"/>
      <c r="J174" s="44"/>
      <c r="K174" s="44"/>
      <c r="L174" s="44"/>
      <c r="M174" s="44"/>
      <c r="N174" s="44"/>
      <c r="O174" s="44"/>
    </row>
    <row r="175" spans="1:15" ht="17.25" customHeight="1">
      <c r="A175" s="44"/>
      <c r="B175" s="44"/>
      <c r="C175" s="44"/>
      <c r="D175" s="44"/>
      <c r="E175" s="44"/>
      <c r="F175" s="44"/>
      <c r="G175" s="44"/>
      <c r="H175" s="44"/>
      <c r="I175" s="44"/>
      <c r="J175" s="44"/>
      <c r="K175" s="44"/>
      <c r="L175" s="44"/>
      <c r="M175" s="44"/>
      <c r="N175" s="44"/>
      <c r="O175" s="44"/>
    </row>
    <row r="176" spans="1:15" ht="17.25" customHeight="1">
      <c r="A176" s="44"/>
      <c r="B176" s="44"/>
      <c r="C176" s="44"/>
      <c r="D176" s="44"/>
      <c r="E176" s="44"/>
      <c r="F176" s="44"/>
      <c r="G176" s="44"/>
      <c r="H176" s="44"/>
      <c r="I176" s="44"/>
      <c r="J176" s="44"/>
      <c r="K176" s="44"/>
      <c r="L176" s="44"/>
      <c r="M176" s="44"/>
      <c r="N176" s="44"/>
      <c r="O176" s="44"/>
    </row>
    <row r="177" spans="1:15" ht="17.25" customHeight="1">
      <c r="A177" s="44"/>
      <c r="B177" s="44"/>
      <c r="C177" s="44"/>
      <c r="D177" s="44"/>
      <c r="E177" s="44"/>
      <c r="F177" s="44"/>
      <c r="G177" s="44"/>
      <c r="H177" s="44"/>
      <c r="I177" s="44"/>
      <c r="J177" s="44"/>
      <c r="K177" s="44"/>
      <c r="L177" s="44"/>
      <c r="M177" s="44"/>
      <c r="N177" s="44"/>
      <c r="O177" s="44"/>
    </row>
    <row r="178" spans="1:15" ht="17.25" customHeight="1">
      <c r="A178" s="44"/>
      <c r="B178" s="44"/>
      <c r="C178" s="44"/>
      <c r="D178" s="44"/>
      <c r="E178" s="44"/>
      <c r="F178" s="44"/>
      <c r="G178" s="44"/>
      <c r="H178" s="44"/>
      <c r="I178" s="44"/>
      <c r="J178" s="44"/>
      <c r="K178" s="44"/>
      <c r="L178" s="44"/>
      <c r="M178" s="44"/>
      <c r="N178" s="44"/>
      <c r="O178" s="44"/>
    </row>
    <row r="179" spans="1:15" ht="17.25" customHeight="1">
      <c r="A179" s="44"/>
      <c r="B179" s="44"/>
      <c r="C179" s="44"/>
      <c r="D179" s="44"/>
      <c r="E179" s="44"/>
      <c r="F179" s="44"/>
      <c r="G179" s="44"/>
      <c r="H179" s="44"/>
      <c r="I179" s="44"/>
      <c r="J179" s="44"/>
      <c r="K179" s="44"/>
      <c r="L179" s="44"/>
      <c r="M179" s="44"/>
      <c r="N179" s="44"/>
      <c r="O179" s="44"/>
    </row>
    <row r="180" spans="1:15" ht="17.25" customHeight="1">
      <c r="A180" s="44"/>
      <c r="B180" s="44"/>
      <c r="C180" s="44"/>
      <c r="D180" s="44"/>
      <c r="E180" s="44"/>
      <c r="F180" s="44"/>
      <c r="G180" s="44"/>
      <c r="H180" s="44"/>
      <c r="I180" s="44"/>
      <c r="J180" s="44"/>
      <c r="K180" s="44"/>
      <c r="L180" s="44"/>
      <c r="M180" s="44"/>
      <c r="N180" s="44"/>
      <c r="O180" s="44"/>
    </row>
    <row r="181" spans="1:15" ht="17.25" customHeight="1">
      <c r="A181" s="44"/>
      <c r="B181" s="44"/>
      <c r="C181" s="44"/>
      <c r="D181" s="44"/>
      <c r="E181" s="44"/>
      <c r="F181" s="44"/>
      <c r="G181" s="44"/>
      <c r="H181" s="44"/>
      <c r="I181" s="44"/>
      <c r="J181" s="44"/>
      <c r="K181" s="44"/>
      <c r="L181" s="44"/>
      <c r="M181" s="44"/>
      <c r="N181" s="44"/>
      <c r="O181" s="44"/>
    </row>
    <row r="182" spans="1:15" ht="17.25" customHeight="1">
      <c r="A182" s="44"/>
      <c r="B182" s="44"/>
      <c r="C182" s="44"/>
      <c r="D182" s="44"/>
      <c r="E182" s="44"/>
      <c r="F182" s="44"/>
      <c r="G182" s="44"/>
      <c r="H182" s="44"/>
      <c r="I182" s="44"/>
      <c r="J182" s="44"/>
      <c r="K182" s="44"/>
      <c r="L182" s="44"/>
      <c r="M182" s="44"/>
      <c r="N182" s="44"/>
      <c r="O182" s="44"/>
    </row>
    <row r="183" spans="1:15" ht="17.25" customHeight="1">
      <c r="A183" s="44"/>
      <c r="B183" s="44"/>
      <c r="C183" s="44"/>
      <c r="D183" s="44"/>
      <c r="E183" s="44"/>
      <c r="F183" s="44"/>
      <c r="G183" s="44"/>
      <c r="H183" s="44"/>
      <c r="I183" s="44"/>
      <c r="J183" s="44"/>
      <c r="K183" s="44"/>
      <c r="L183" s="44"/>
      <c r="M183" s="44"/>
      <c r="N183" s="44"/>
      <c r="O183" s="44"/>
    </row>
    <row r="184" spans="1:15" ht="17.25" customHeight="1">
      <c r="A184" s="44"/>
      <c r="B184" s="44"/>
      <c r="C184" s="44"/>
      <c r="D184" s="44"/>
      <c r="E184" s="44"/>
      <c r="F184" s="44"/>
      <c r="G184" s="44"/>
      <c r="H184" s="44"/>
      <c r="I184" s="44"/>
      <c r="J184" s="44"/>
      <c r="K184" s="44"/>
      <c r="L184" s="44"/>
      <c r="M184" s="44"/>
      <c r="N184" s="44"/>
      <c r="O184" s="44"/>
    </row>
    <row r="185" spans="1:15" ht="17.25" customHeight="1">
      <c r="A185" s="44"/>
      <c r="B185" s="44"/>
      <c r="C185" s="44"/>
      <c r="D185" s="44"/>
      <c r="E185" s="44"/>
      <c r="F185" s="44"/>
      <c r="G185" s="44"/>
      <c r="H185" s="44"/>
      <c r="I185" s="44"/>
      <c r="J185" s="44"/>
      <c r="K185" s="44"/>
      <c r="L185" s="44"/>
      <c r="M185" s="44"/>
      <c r="N185" s="44"/>
      <c r="O185" s="44"/>
    </row>
    <row r="186" spans="1:15" ht="17.25" customHeight="1">
      <c r="A186" s="44"/>
      <c r="B186" s="44"/>
      <c r="C186" s="44"/>
      <c r="D186" s="44"/>
      <c r="E186" s="44"/>
      <c r="F186" s="44"/>
      <c r="G186" s="44"/>
      <c r="H186" s="44"/>
      <c r="I186" s="44"/>
      <c r="J186" s="44"/>
      <c r="K186" s="44"/>
      <c r="L186" s="44"/>
      <c r="M186" s="44"/>
      <c r="N186" s="44"/>
      <c r="O186" s="44"/>
    </row>
    <row r="187" spans="1:15" ht="17.25" customHeight="1">
      <c r="A187" s="44"/>
      <c r="B187" s="44"/>
      <c r="C187" s="44"/>
      <c r="D187" s="44"/>
      <c r="E187" s="44"/>
      <c r="F187" s="44"/>
      <c r="G187" s="44"/>
      <c r="H187" s="44"/>
      <c r="I187" s="44"/>
      <c r="J187" s="44"/>
      <c r="K187" s="44"/>
      <c r="L187" s="44"/>
      <c r="M187" s="44"/>
      <c r="N187" s="44"/>
      <c r="O187" s="44"/>
    </row>
    <row r="188" spans="1:15" ht="17.25" customHeight="1">
      <c r="A188" s="44"/>
      <c r="B188" s="44"/>
      <c r="C188" s="44"/>
      <c r="D188" s="44"/>
      <c r="E188" s="44"/>
      <c r="F188" s="44"/>
      <c r="G188" s="44"/>
      <c r="H188" s="44"/>
      <c r="I188" s="44"/>
      <c r="J188" s="44"/>
      <c r="K188" s="44"/>
      <c r="L188" s="44"/>
      <c r="M188" s="44"/>
      <c r="N188" s="44"/>
      <c r="O188" s="44"/>
    </row>
    <row r="189" spans="1:15" ht="17.25" customHeight="1">
      <c r="A189" s="44"/>
      <c r="B189" s="44"/>
      <c r="C189" s="44"/>
      <c r="D189" s="44"/>
      <c r="E189" s="44"/>
      <c r="F189" s="44"/>
      <c r="G189" s="44"/>
      <c r="H189" s="44"/>
      <c r="I189" s="44"/>
      <c r="J189" s="44"/>
      <c r="K189" s="44"/>
      <c r="L189" s="44"/>
      <c r="M189" s="44"/>
      <c r="N189" s="44"/>
      <c r="O189" s="44"/>
    </row>
    <row r="190" spans="1:15" ht="17.25" customHeight="1">
      <c r="A190" s="44"/>
      <c r="B190" s="44"/>
      <c r="C190" s="44"/>
      <c r="D190" s="44"/>
      <c r="E190" s="44"/>
      <c r="F190" s="44"/>
      <c r="G190" s="44"/>
      <c r="H190" s="44"/>
      <c r="I190" s="44"/>
      <c r="J190" s="44"/>
      <c r="K190" s="44"/>
      <c r="L190" s="44"/>
      <c r="M190" s="44"/>
      <c r="N190" s="44"/>
      <c r="O190" s="44"/>
    </row>
    <row r="191" spans="1:15" ht="17.25" customHeight="1">
      <c r="A191" s="44"/>
      <c r="B191" s="44"/>
      <c r="C191" s="44"/>
      <c r="D191" s="44"/>
      <c r="E191" s="44"/>
      <c r="F191" s="44"/>
      <c r="G191" s="44"/>
      <c r="H191" s="44"/>
      <c r="I191" s="44"/>
      <c r="J191" s="44"/>
      <c r="K191" s="44"/>
      <c r="L191" s="44"/>
      <c r="M191" s="44"/>
      <c r="N191" s="44"/>
      <c r="O191" s="44"/>
    </row>
    <row r="192" spans="1:15" ht="17.25" customHeight="1">
      <c r="A192" s="44"/>
      <c r="B192" s="44"/>
      <c r="C192" s="44"/>
      <c r="D192" s="44"/>
      <c r="E192" s="44"/>
      <c r="F192" s="44"/>
      <c r="G192" s="44"/>
      <c r="H192" s="44"/>
      <c r="I192" s="44"/>
      <c r="J192" s="44"/>
      <c r="K192" s="44"/>
      <c r="L192" s="44"/>
      <c r="M192" s="44"/>
      <c r="N192" s="44"/>
      <c r="O192" s="44"/>
    </row>
    <row r="193" spans="1:15" ht="17.25" customHeight="1">
      <c r="A193" s="44"/>
      <c r="B193" s="44"/>
      <c r="C193" s="44"/>
      <c r="D193" s="44"/>
      <c r="E193" s="44"/>
      <c r="F193" s="44"/>
      <c r="G193" s="44"/>
      <c r="H193" s="44"/>
      <c r="I193" s="44"/>
      <c r="J193" s="44"/>
      <c r="K193" s="44"/>
      <c r="L193" s="44"/>
      <c r="M193" s="44"/>
      <c r="N193" s="44"/>
      <c r="O193" s="44"/>
    </row>
    <row r="194" spans="1:15" ht="17.25" customHeight="1">
      <c r="A194" s="44"/>
      <c r="B194" s="44"/>
      <c r="C194" s="44"/>
      <c r="D194" s="44"/>
      <c r="E194" s="44"/>
      <c r="F194" s="44"/>
      <c r="G194" s="44"/>
      <c r="H194" s="44"/>
      <c r="I194" s="44"/>
      <c r="J194" s="44"/>
      <c r="K194" s="44"/>
      <c r="L194" s="44"/>
      <c r="M194" s="44"/>
      <c r="N194" s="44"/>
      <c r="O194" s="44"/>
    </row>
    <row r="195" spans="1:15" ht="17.25" customHeight="1">
      <c r="A195" s="44"/>
      <c r="B195" s="44"/>
      <c r="C195" s="44"/>
      <c r="D195" s="44"/>
      <c r="E195" s="44"/>
      <c r="F195" s="44"/>
      <c r="G195" s="44"/>
      <c r="H195" s="44"/>
      <c r="I195" s="44"/>
      <c r="J195" s="44"/>
      <c r="K195" s="44"/>
      <c r="L195" s="44"/>
      <c r="M195" s="44"/>
      <c r="N195" s="44"/>
      <c r="O195" s="44"/>
    </row>
    <row r="196" spans="1:15" ht="17.25" customHeight="1">
      <c r="A196" s="44"/>
      <c r="B196" s="44"/>
      <c r="C196" s="44"/>
      <c r="D196" s="44"/>
      <c r="E196" s="44"/>
      <c r="F196" s="44"/>
      <c r="G196" s="44"/>
      <c r="H196" s="44"/>
      <c r="I196" s="44"/>
      <c r="J196" s="44"/>
      <c r="K196" s="44"/>
      <c r="L196" s="44"/>
      <c r="M196" s="44"/>
      <c r="N196" s="44"/>
      <c r="O196" s="44"/>
    </row>
    <row r="197" spans="1:15" ht="17.25" customHeight="1">
      <c r="A197" s="44"/>
      <c r="B197" s="44"/>
      <c r="C197" s="44"/>
      <c r="D197" s="44"/>
      <c r="E197" s="44"/>
      <c r="F197" s="44"/>
      <c r="G197" s="44"/>
      <c r="H197" s="44"/>
      <c r="I197" s="44"/>
      <c r="J197" s="44"/>
      <c r="K197" s="44"/>
      <c r="L197" s="44"/>
      <c r="M197" s="44"/>
      <c r="N197" s="44"/>
      <c r="O197" s="44"/>
    </row>
    <row r="198" spans="1:15" ht="17.25" customHeight="1">
      <c r="A198" s="44"/>
      <c r="B198" s="44"/>
      <c r="C198" s="44"/>
      <c r="D198" s="44"/>
      <c r="E198" s="44"/>
      <c r="F198" s="44"/>
      <c r="G198" s="44"/>
      <c r="H198" s="44"/>
      <c r="I198" s="44"/>
      <c r="J198" s="44"/>
      <c r="K198" s="44"/>
      <c r="L198" s="44"/>
      <c r="M198" s="44"/>
      <c r="N198" s="44"/>
      <c r="O198" s="44"/>
    </row>
    <row r="199" spans="1:15" ht="17.25" customHeight="1">
      <c r="A199" s="44"/>
      <c r="B199" s="44"/>
      <c r="C199" s="44"/>
      <c r="D199" s="44"/>
      <c r="E199" s="44"/>
      <c r="F199" s="44"/>
      <c r="G199" s="44"/>
      <c r="H199" s="44"/>
      <c r="I199" s="44"/>
      <c r="J199" s="44"/>
      <c r="K199" s="44"/>
      <c r="L199" s="44"/>
      <c r="M199" s="44"/>
      <c r="N199" s="44"/>
      <c r="O199" s="44"/>
    </row>
    <row r="200" spans="1:15" ht="17.25" customHeight="1">
      <c r="A200" s="44"/>
      <c r="B200" s="44"/>
      <c r="C200" s="44"/>
      <c r="D200" s="44"/>
      <c r="E200" s="44"/>
      <c r="F200" s="44"/>
      <c r="G200" s="44"/>
      <c r="H200" s="44"/>
      <c r="I200" s="44"/>
      <c r="J200" s="44"/>
      <c r="K200" s="44"/>
      <c r="L200" s="44"/>
      <c r="M200" s="44"/>
      <c r="N200" s="44"/>
      <c r="O200" s="44"/>
    </row>
    <row r="201" spans="1:15" ht="17.25" customHeight="1">
      <c r="A201" s="44"/>
      <c r="B201" s="44"/>
      <c r="C201" s="44"/>
      <c r="D201" s="44"/>
      <c r="E201" s="44"/>
      <c r="F201" s="44"/>
      <c r="G201" s="44"/>
      <c r="H201" s="44"/>
      <c r="I201" s="44"/>
      <c r="J201" s="44"/>
      <c r="K201" s="44"/>
      <c r="L201" s="44"/>
      <c r="M201" s="44"/>
      <c r="N201" s="44"/>
      <c r="O201" s="44"/>
    </row>
    <row r="202" spans="1:15" ht="17.25" customHeight="1">
      <c r="A202" s="44"/>
      <c r="B202" s="44"/>
      <c r="C202" s="44"/>
      <c r="D202" s="44"/>
      <c r="E202" s="44"/>
      <c r="F202" s="44"/>
      <c r="G202" s="44"/>
      <c r="H202" s="44"/>
      <c r="I202" s="44"/>
      <c r="J202" s="44"/>
      <c r="K202" s="44"/>
      <c r="L202" s="44"/>
      <c r="M202" s="44"/>
      <c r="N202" s="44"/>
      <c r="O202" s="44"/>
    </row>
    <row r="203" spans="1:15" ht="17.25" customHeight="1">
      <c r="A203" s="44"/>
      <c r="B203" s="44"/>
      <c r="C203" s="44"/>
      <c r="D203" s="44"/>
      <c r="E203" s="44"/>
      <c r="F203" s="44"/>
      <c r="G203" s="44"/>
      <c r="H203" s="44"/>
      <c r="I203" s="44"/>
      <c r="J203" s="44"/>
      <c r="K203" s="44"/>
      <c r="L203" s="44"/>
      <c r="M203" s="44"/>
      <c r="N203" s="44"/>
      <c r="O203" s="44"/>
    </row>
    <row r="204" spans="1:15" ht="17.25" customHeight="1">
      <c r="A204" s="44"/>
      <c r="B204" s="44"/>
      <c r="C204" s="44"/>
      <c r="D204" s="44"/>
      <c r="E204" s="44"/>
      <c r="F204" s="44"/>
      <c r="G204" s="44"/>
      <c r="H204" s="44"/>
      <c r="I204" s="44"/>
      <c r="J204" s="44"/>
      <c r="K204" s="44"/>
      <c r="L204" s="44"/>
      <c r="M204" s="44"/>
      <c r="N204" s="44"/>
      <c r="O204" s="44"/>
    </row>
    <row r="205" spans="1:15" ht="17.25" customHeight="1">
      <c r="A205" s="44"/>
      <c r="B205" s="44"/>
      <c r="C205" s="44"/>
      <c r="D205" s="44"/>
      <c r="E205" s="44"/>
      <c r="F205" s="44"/>
      <c r="G205" s="44"/>
      <c r="H205" s="44"/>
      <c r="I205" s="44"/>
      <c r="J205" s="44"/>
      <c r="K205" s="44"/>
      <c r="L205" s="44"/>
      <c r="M205" s="44"/>
      <c r="N205" s="44"/>
      <c r="O205" s="44"/>
    </row>
    <row r="206" spans="1:15" ht="17.25" customHeight="1">
      <c r="A206" s="44"/>
      <c r="B206" s="44"/>
      <c r="C206" s="44"/>
      <c r="D206" s="44"/>
      <c r="E206" s="44"/>
      <c r="F206" s="44"/>
      <c r="G206" s="44"/>
      <c r="H206" s="44"/>
      <c r="I206" s="44"/>
      <c r="J206" s="44"/>
      <c r="K206" s="44"/>
      <c r="L206" s="44"/>
      <c r="M206" s="44"/>
      <c r="N206" s="44"/>
      <c r="O206" s="44"/>
    </row>
    <row r="207" spans="1:15" ht="17.25" customHeight="1">
      <c r="A207" s="44"/>
      <c r="B207" s="44"/>
      <c r="C207" s="44"/>
      <c r="D207" s="44"/>
      <c r="E207" s="44"/>
      <c r="F207" s="44"/>
      <c r="G207" s="44"/>
      <c r="H207" s="44"/>
      <c r="I207" s="44"/>
      <c r="J207" s="44"/>
      <c r="K207" s="44"/>
      <c r="L207" s="44"/>
      <c r="M207" s="44"/>
      <c r="N207" s="44"/>
      <c r="O207" s="44"/>
    </row>
    <row r="208" spans="1:15" ht="17.25" customHeight="1">
      <c r="A208" s="44"/>
      <c r="B208" s="44"/>
      <c r="C208" s="44"/>
      <c r="D208" s="44"/>
      <c r="E208" s="44"/>
      <c r="F208" s="44"/>
      <c r="G208" s="44"/>
      <c r="H208" s="44"/>
      <c r="I208" s="44"/>
      <c r="J208" s="44"/>
      <c r="K208" s="44"/>
      <c r="L208" s="44"/>
      <c r="M208" s="44"/>
      <c r="N208" s="44"/>
      <c r="O208" s="44"/>
    </row>
    <row r="209" spans="1:15" ht="17.25" customHeight="1">
      <c r="A209" s="44"/>
      <c r="B209" s="44"/>
      <c r="C209" s="44"/>
      <c r="D209" s="44"/>
      <c r="E209" s="44"/>
      <c r="F209" s="44"/>
      <c r="G209" s="44"/>
      <c r="H209" s="44"/>
      <c r="I209" s="44"/>
      <c r="J209" s="44"/>
      <c r="K209" s="44"/>
      <c r="L209" s="44"/>
      <c r="M209" s="44"/>
      <c r="N209" s="44"/>
      <c r="O209" s="44"/>
    </row>
    <row r="210" spans="1:15" ht="17.25" customHeight="1">
      <c r="A210" s="44"/>
      <c r="B210" s="44"/>
      <c r="C210" s="44"/>
      <c r="D210" s="44"/>
      <c r="E210" s="44"/>
      <c r="F210" s="44"/>
      <c r="G210" s="44"/>
      <c r="H210" s="44"/>
      <c r="I210" s="44"/>
      <c r="J210" s="44"/>
      <c r="K210" s="44"/>
      <c r="L210" s="44"/>
      <c r="M210" s="44"/>
      <c r="N210" s="44"/>
      <c r="O210" s="44"/>
    </row>
    <row r="211" spans="1:15" ht="17.25" customHeight="1">
      <c r="A211" s="44"/>
      <c r="B211" s="44"/>
      <c r="C211" s="44"/>
      <c r="D211" s="44"/>
      <c r="E211" s="44"/>
      <c r="F211" s="44"/>
      <c r="G211" s="44"/>
      <c r="H211" s="44"/>
      <c r="I211" s="44"/>
      <c r="J211" s="44"/>
      <c r="K211" s="44"/>
      <c r="L211" s="44"/>
      <c r="M211" s="44"/>
      <c r="N211" s="44"/>
      <c r="O211" s="44"/>
    </row>
    <row r="212" spans="1:15" ht="17.25" customHeight="1">
      <c r="A212" s="44"/>
      <c r="B212" s="44"/>
      <c r="C212" s="44"/>
      <c r="D212" s="44"/>
      <c r="E212" s="44"/>
      <c r="F212" s="44"/>
      <c r="G212" s="44"/>
      <c r="H212" s="44"/>
      <c r="I212" s="44"/>
      <c r="J212" s="44"/>
      <c r="K212" s="44"/>
      <c r="L212" s="44"/>
      <c r="M212" s="44"/>
      <c r="N212" s="44"/>
      <c r="O212" s="44"/>
    </row>
    <row r="213" spans="1:15" ht="17.25" customHeight="1">
      <c r="A213" s="44"/>
      <c r="B213" s="44"/>
      <c r="C213" s="44"/>
      <c r="D213" s="44"/>
      <c r="E213" s="44"/>
      <c r="F213" s="44"/>
      <c r="G213" s="44"/>
      <c r="H213" s="44"/>
      <c r="I213" s="44"/>
      <c r="J213" s="44"/>
      <c r="K213" s="44"/>
      <c r="L213" s="44"/>
      <c r="M213" s="44"/>
      <c r="N213" s="44"/>
      <c r="O213" s="44"/>
    </row>
    <row r="214" spans="1:15" ht="17.25" customHeight="1">
      <c r="A214" s="44"/>
      <c r="B214" s="44"/>
      <c r="C214" s="44"/>
      <c r="D214" s="44"/>
      <c r="E214" s="44"/>
      <c r="F214" s="44"/>
      <c r="G214" s="44"/>
      <c r="H214" s="44"/>
      <c r="I214" s="44"/>
      <c r="J214" s="44"/>
      <c r="K214" s="44"/>
      <c r="L214" s="44"/>
      <c r="M214" s="44"/>
      <c r="N214" s="44"/>
      <c r="O214" s="44"/>
    </row>
    <row r="215" spans="1:15" ht="17.25" customHeight="1">
      <c r="A215" s="44"/>
      <c r="B215" s="44"/>
      <c r="C215" s="44"/>
      <c r="D215" s="44"/>
      <c r="E215" s="44"/>
      <c r="F215" s="44"/>
      <c r="G215" s="44"/>
      <c r="H215" s="44"/>
      <c r="I215" s="44"/>
      <c r="J215" s="44"/>
      <c r="K215" s="44"/>
      <c r="L215" s="44"/>
      <c r="M215" s="44"/>
      <c r="N215" s="44"/>
      <c r="O215" s="44"/>
    </row>
    <row r="216" spans="1:15" ht="17.25" customHeight="1">
      <c r="A216" s="44"/>
      <c r="B216" s="44"/>
      <c r="C216" s="44"/>
      <c r="D216" s="44"/>
      <c r="E216" s="44"/>
      <c r="F216" s="44"/>
      <c r="G216" s="44"/>
      <c r="H216" s="44"/>
      <c r="I216" s="44"/>
      <c r="J216" s="44"/>
      <c r="K216" s="44"/>
      <c r="L216" s="44"/>
      <c r="M216" s="44"/>
      <c r="N216" s="44"/>
      <c r="O216" s="44"/>
    </row>
    <row r="217" spans="1:15" ht="17.25" customHeight="1">
      <c r="A217" s="44"/>
      <c r="B217" s="44"/>
      <c r="C217" s="44"/>
      <c r="D217" s="44"/>
      <c r="E217" s="44"/>
      <c r="F217" s="44"/>
      <c r="G217" s="44"/>
      <c r="H217" s="44"/>
      <c r="I217" s="44"/>
      <c r="J217" s="44"/>
      <c r="K217" s="44"/>
      <c r="L217" s="44"/>
      <c r="M217" s="44"/>
      <c r="N217" s="44"/>
      <c r="O217" s="44"/>
    </row>
    <row r="218" spans="1:15" ht="17.25" customHeight="1">
      <c r="A218" s="44"/>
      <c r="B218" s="44"/>
      <c r="C218" s="44"/>
      <c r="D218" s="44"/>
      <c r="E218" s="44"/>
      <c r="F218" s="44"/>
      <c r="G218" s="44"/>
      <c r="H218" s="44"/>
      <c r="I218" s="44"/>
      <c r="J218" s="44"/>
      <c r="K218" s="44"/>
      <c r="L218" s="44"/>
      <c r="M218" s="44"/>
      <c r="N218" s="44"/>
      <c r="O218" s="44"/>
    </row>
    <row r="219" spans="1:15" ht="17.25" customHeight="1">
      <c r="A219" s="44"/>
      <c r="B219" s="44"/>
      <c r="C219" s="44"/>
      <c r="D219" s="44"/>
      <c r="E219" s="44"/>
      <c r="F219" s="44"/>
      <c r="G219" s="44"/>
      <c r="H219" s="44"/>
      <c r="I219" s="44"/>
      <c r="J219" s="44"/>
      <c r="K219" s="44"/>
      <c r="L219" s="44"/>
      <c r="M219" s="44"/>
      <c r="N219" s="44"/>
      <c r="O219" s="44"/>
    </row>
    <row r="220" spans="1:15" ht="17.25" customHeight="1">
      <c r="A220" s="44"/>
      <c r="B220" s="44"/>
      <c r="C220" s="44"/>
      <c r="D220" s="44"/>
      <c r="E220" s="44"/>
      <c r="F220" s="44"/>
      <c r="G220" s="44"/>
      <c r="H220" s="44"/>
      <c r="I220" s="44"/>
      <c r="J220" s="44"/>
      <c r="K220" s="44"/>
      <c r="L220" s="44"/>
      <c r="M220" s="44"/>
      <c r="N220" s="44"/>
      <c r="O220" s="44"/>
    </row>
    <row r="221" spans="1:15" ht="17.25" customHeight="1">
      <c r="A221" s="44"/>
      <c r="B221" s="44"/>
      <c r="C221" s="44"/>
      <c r="D221" s="44"/>
      <c r="E221" s="44"/>
      <c r="F221" s="44"/>
      <c r="G221" s="44"/>
      <c r="H221" s="44"/>
      <c r="I221" s="44"/>
      <c r="J221" s="44"/>
      <c r="K221" s="44"/>
      <c r="L221" s="44"/>
      <c r="M221" s="44"/>
      <c r="N221" s="44"/>
      <c r="O221" s="44"/>
    </row>
    <row r="222" spans="1:15" ht="17.25" customHeight="1">
      <c r="A222" s="44"/>
      <c r="B222" s="44"/>
      <c r="C222" s="44"/>
      <c r="D222" s="44"/>
      <c r="E222" s="44"/>
      <c r="F222" s="44"/>
      <c r="G222" s="44"/>
      <c r="H222" s="44"/>
      <c r="I222" s="44"/>
      <c r="J222" s="44"/>
      <c r="K222" s="44"/>
      <c r="L222" s="44"/>
      <c r="M222" s="44"/>
      <c r="N222" s="44"/>
      <c r="O222" s="44"/>
    </row>
    <row r="223" spans="1:15" ht="17.25" customHeight="1">
      <c r="A223" s="44"/>
      <c r="B223" s="44"/>
      <c r="C223" s="44"/>
      <c r="D223" s="44"/>
      <c r="E223" s="44"/>
      <c r="F223" s="44"/>
      <c r="G223" s="44"/>
      <c r="H223" s="44"/>
      <c r="I223" s="44"/>
      <c r="J223" s="44"/>
      <c r="K223" s="44"/>
      <c r="L223" s="44"/>
      <c r="M223" s="44"/>
      <c r="N223" s="44"/>
      <c r="O223" s="44"/>
    </row>
    <row r="224" spans="1:15" ht="17.25" customHeight="1">
      <c r="A224" s="44"/>
      <c r="B224" s="44"/>
      <c r="C224" s="44"/>
      <c r="D224" s="44"/>
      <c r="E224" s="44"/>
      <c r="F224" s="44"/>
      <c r="G224" s="44"/>
      <c r="H224" s="44"/>
      <c r="I224" s="44"/>
      <c r="J224" s="44"/>
      <c r="K224" s="44"/>
      <c r="L224" s="44"/>
      <c r="M224" s="44"/>
      <c r="N224" s="44"/>
      <c r="O224" s="44"/>
    </row>
    <row r="225" spans="1:15" ht="17.25" customHeight="1">
      <c r="A225" s="44"/>
      <c r="B225" s="44"/>
      <c r="C225" s="44"/>
      <c r="D225" s="44"/>
      <c r="E225" s="44"/>
      <c r="F225" s="44"/>
      <c r="G225" s="44"/>
      <c r="H225" s="44"/>
      <c r="I225" s="44"/>
      <c r="J225" s="44"/>
      <c r="K225" s="44"/>
      <c r="L225" s="44"/>
      <c r="M225" s="44"/>
      <c r="N225" s="44"/>
      <c r="O225" s="44"/>
    </row>
    <row r="226" spans="1:15" ht="17.25" customHeight="1">
      <c r="A226" s="44"/>
      <c r="B226" s="44"/>
      <c r="C226" s="44"/>
      <c r="D226" s="44"/>
      <c r="E226" s="44"/>
      <c r="F226" s="44"/>
      <c r="G226" s="44"/>
      <c r="H226" s="44"/>
      <c r="I226" s="44"/>
      <c r="J226" s="44"/>
      <c r="K226" s="44"/>
      <c r="L226" s="44"/>
      <c r="M226" s="44"/>
      <c r="N226" s="44"/>
      <c r="O226" s="44"/>
    </row>
    <row r="227" spans="1:15" ht="17.25" customHeight="1">
      <c r="A227" s="44"/>
      <c r="B227" s="44"/>
      <c r="C227" s="44"/>
      <c r="D227" s="44"/>
      <c r="E227" s="44"/>
      <c r="F227" s="44"/>
      <c r="G227" s="44"/>
      <c r="H227" s="44"/>
      <c r="I227" s="44"/>
      <c r="J227" s="44"/>
      <c r="K227" s="44"/>
      <c r="L227" s="44"/>
      <c r="M227" s="44"/>
      <c r="N227" s="44"/>
      <c r="O227" s="44"/>
    </row>
    <row r="228" spans="1:15" ht="17.25" customHeight="1">
      <c r="A228" s="44"/>
      <c r="B228" s="44"/>
      <c r="C228" s="44"/>
      <c r="D228" s="44"/>
      <c r="E228" s="44"/>
      <c r="F228" s="44"/>
      <c r="G228" s="44"/>
      <c r="H228" s="44"/>
      <c r="I228" s="44"/>
      <c r="J228" s="44"/>
      <c r="K228" s="44"/>
      <c r="L228" s="44"/>
      <c r="M228" s="44"/>
      <c r="N228" s="44"/>
      <c r="O228" s="44"/>
    </row>
    <row r="229" spans="1:15" ht="17.25" customHeight="1">
      <c r="A229" s="44"/>
      <c r="B229" s="44"/>
      <c r="C229" s="44"/>
      <c r="D229" s="44"/>
      <c r="E229" s="44"/>
      <c r="F229" s="44"/>
      <c r="G229" s="44"/>
      <c r="H229" s="44"/>
      <c r="I229" s="44"/>
      <c r="J229" s="44"/>
      <c r="K229" s="44"/>
      <c r="L229" s="44"/>
      <c r="M229" s="44"/>
      <c r="N229" s="44"/>
      <c r="O229" s="44"/>
    </row>
    <row r="230" spans="1:15" ht="17.25" customHeight="1">
      <c r="A230" s="44"/>
      <c r="B230" s="44"/>
      <c r="C230" s="44"/>
      <c r="D230" s="44"/>
      <c r="E230" s="44"/>
      <c r="F230" s="44"/>
      <c r="G230" s="44"/>
      <c r="H230" s="44"/>
      <c r="I230" s="44"/>
      <c r="J230" s="44"/>
      <c r="K230" s="44"/>
      <c r="L230" s="44"/>
      <c r="M230" s="44"/>
      <c r="N230" s="44"/>
      <c r="O230" s="44"/>
    </row>
    <row r="231" spans="1:15" ht="17.25" customHeight="1">
      <c r="A231" s="44"/>
      <c r="B231" s="44"/>
      <c r="C231" s="44"/>
      <c r="D231" s="44"/>
      <c r="E231" s="44"/>
      <c r="F231" s="44"/>
      <c r="G231" s="44"/>
      <c r="H231" s="44"/>
      <c r="I231" s="44"/>
      <c r="J231" s="44"/>
      <c r="K231" s="44"/>
      <c r="L231" s="44"/>
      <c r="M231" s="44"/>
      <c r="N231" s="44"/>
      <c r="O231" s="44"/>
    </row>
    <row r="232" spans="1:15" ht="17.25" customHeight="1">
      <c r="A232" s="44"/>
      <c r="B232" s="44"/>
      <c r="C232" s="44"/>
      <c r="D232" s="44"/>
      <c r="E232" s="44"/>
      <c r="F232" s="44"/>
      <c r="G232" s="44"/>
      <c r="H232" s="44"/>
      <c r="I232" s="44"/>
      <c r="J232" s="44"/>
      <c r="K232" s="44"/>
      <c r="L232" s="44"/>
      <c r="M232" s="44"/>
      <c r="N232" s="44"/>
      <c r="O232" s="44"/>
    </row>
    <row r="233" spans="1:15" ht="17.25" customHeight="1">
      <c r="A233" s="44"/>
      <c r="B233" s="44"/>
      <c r="C233" s="44"/>
      <c r="D233" s="44"/>
      <c r="E233" s="44"/>
      <c r="F233" s="44"/>
      <c r="G233" s="44"/>
      <c r="H233" s="44"/>
      <c r="I233" s="44"/>
      <c r="J233" s="44"/>
      <c r="K233" s="44"/>
      <c r="L233" s="44"/>
      <c r="M233" s="44"/>
      <c r="N233" s="44"/>
      <c r="O233" s="44"/>
    </row>
    <row r="234" spans="1:15" ht="17.25" customHeight="1">
      <c r="A234" s="44"/>
      <c r="B234" s="44"/>
      <c r="C234" s="44"/>
      <c r="D234" s="44"/>
      <c r="E234" s="44"/>
      <c r="F234" s="44"/>
      <c r="G234" s="44"/>
      <c r="H234" s="44"/>
      <c r="I234" s="44"/>
      <c r="J234" s="44"/>
      <c r="K234" s="44"/>
      <c r="L234" s="44"/>
      <c r="M234" s="44"/>
      <c r="N234" s="44"/>
      <c r="O234" s="44"/>
    </row>
    <row r="235" spans="1:15" ht="17.25" customHeight="1">
      <c r="A235" s="44"/>
      <c r="B235" s="44"/>
      <c r="C235" s="44"/>
      <c r="D235" s="44"/>
      <c r="E235" s="44"/>
      <c r="F235" s="44"/>
      <c r="G235" s="44"/>
      <c r="H235" s="44"/>
      <c r="I235" s="44"/>
      <c r="J235" s="44"/>
      <c r="K235" s="44"/>
      <c r="L235" s="44"/>
      <c r="M235" s="44"/>
      <c r="N235" s="44"/>
      <c r="O235" s="44"/>
    </row>
    <row r="236" spans="1:15" ht="17.25" customHeight="1">
      <c r="A236" s="44"/>
      <c r="B236" s="44"/>
      <c r="C236" s="44"/>
      <c r="D236" s="44"/>
      <c r="E236" s="44"/>
      <c r="F236" s="44"/>
      <c r="G236" s="44"/>
      <c r="H236" s="44"/>
      <c r="I236" s="44"/>
      <c r="J236" s="44"/>
      <c r="K236" s="44"/>
      <c r="L236" s="44"/>
      <c r="M236" s="44"/>
      <c r="N236" s="44"/>
      <c r="O236" s="44"/>
    </row>
    <row r="237" spans="1:15" ht="17.25" customHeight="1">
      <c r="A237" s="44"/>
      <c r="B237" s="44"/>
      <c r="C237" s="44"/>
      <c r="D237" s="44"/>
      <c r="E237" s="44"/>
      <c r="F237" s="44"/>
      <c r="G237" s="44"/>
      <c r="H237" s="44"/>
      <c r="I237" s="44"/>
      <c r="J237" s="44"/>
      <c r="K237" s="44"/>
      <c r="L237" s="44"/>
      <c r="M237" s="44"/>
      <c r="N237" s="44"/>
      <c r="O237" s="44"/>
    </row>
    <row r="238" spans="1:15" ht="17.25" customHeight="1">
      <c r="A238" s="44"/>
      <c r="B238" s="44"/>
      <c r="C238" s="44"/>
      <c r="D238" s="44"/>
      <c r="E238" s="44"/>
      <c r="F238" s="44"/>
      <c r="G238" s="44"/>
      <c r="H238" s="44"/>
      <c r="I238" s="44"/>
      <c r="J238" s="44"/>
      <c r="K238" s="44"/>
      <c r="L238" s="44"/>
      <c r="M238" s="44"/>
      <c r="N238" s="44"/>
      <c r="O238" s="44"/>
    </row>
    <row r="239" spans="1:15" ht="17.25" customHeight="1">
      <c r="A239" s="44"/>
      <c r="B239" s="44"/>
      <c r="C239" s="44"/>
      <c r="D239" s="44"/>
      <c r="E239" s="44"/>
      <c r="F239" s="44"/>
      <c r="G239" s="44"/>
      <c r="H239" s="44"/>
      <c r="I239" s="44"/>
      <c r="J239" s="44"/>
      <c r="K239" s="44"/>
      <c r="L239" s="44"/>
      <c r="M239" s="44"/>
      <c r="N239" s="44"/>
      <c r="O239" s="44"/>
    </row>
    <row r="240" spans="1:15" ht="17.25" customHeight="1">
      <c r="A240" s="44"/>
      <c r="B240" s="44"/>
      <c r="C240" s="44"/>
      <c r="D240" s="44"/>
      <c r="E240" s="44"/>
      <c r="F240" s="44"/>
      <c r="G240" s="44"/>
      <c r="H240" s="44"/>
      <c r="I240" s="44"/>
      <c r="J240" s="44"/>
      <c r="K240" s="44"/>
      <c r="L240" s="44"/>
      <c r="M240" s="44"/>
      <c r="N240" s="44"/>
      <c r="O240" s="44"/>
    </row>
    <row r="241" spans="1:15" ht="17.25" customHeight="1">
      <c r="A241" s="44"/>
      <c r="B241" s="44"/>
      <c r="C241" s="44"/>
      <c r="D241" s="44"/>
      <c r="E241" s="44"/>
      <c r="F241" s="44"/>
      <c r="G241" s="44"/>
      <c r="H241" s="44"/>
      <c r="I241" s="44"/>
      <c r="J241" s="44"/>
      <c r="K241" s="44"/>
      <c r="L241" s="44"/>
      <c r="M241" s="44"/>
      <c r="N241" s="44"/>
      <c r="O241" s="44"/>
    </row>
    <row r="242" spans="1:15" ht="17.25" customHeight="1">
      <c r="A242" s="44"/>
      <c r="B242" s="44"/>
      <c r="C242" s="44"/>
      <c r="D242" s="44"/>
      <c r="E242" s="44"/>
      <c r="F242" s="44"/>
      <c r="G242" s="44"/>
      <c r="H242" s="44"/>
      <c r="I242" s="44"/>
      <c r="J242" s="44"/>
      <c r="K242" s="44"/>
      <c r="L242" s="44"/>
      <c r="M242" s="44"/>
      <c r="N242" s="44"/>
      <c r="O242" s="44"/>
    </row>
    <row r="243" spans="1:15" ht="17.25" customHeight="1">
      <c r="A243" s="44"/>
      <c r="B243" s="44"/>
      <c r="C243" s="44"/>
      <c r="D243" s="44"/>
      <c r="E243" s="44"/>
      <c r="F243" s="44"/>
      <c r="G243" s="44"/>
      <c r="H243" s="44"/>
      <c r="I243" s="44"/>
      <c r="J243" s="44"/>
      <c r="K243" s="44"/>
      <c r="L243" s="44"/>
      <c r="M243" s="44"/>
      <c r="N243" s="44"/>
      <c r="O243" s="44"/>
    </row>
    <row r="244" spans="1:15" ht="17.25" customHeight="1">
      <c r="A244" s="44"/>
      <c r="B244" s="44"/>
      <c r="C244" s="44"/>
      <c r="D244" s="44"/>
      <c r="E244" s="44"/>
      <c r="F244" s="44"/>
      <c r="G244" s="44"/>
      <c r="H244" s="44"/>
      <c r="I244" s="44"/>
      <c r="J244" s="44"/>
      <c r="K244" s="44"/>
      <c r="L244" s="44"/>
      <c r="M244" s="44"/>
      <c r="N244" s="44"/>
      <c r="O244" s="44"/>
    </row>
    <row r="245" spans="1:15" ht="17.25" customHeight="1">
      <c r="A245" s="44"/>
      <c r="B245" s="44"/>
      <c r="C245" s="44"/>
      <c r="D245" s="44"/>
      <c r="E245" s="44"/>
      <c r="F245" s="44"/>
      <c r="G245" s="44"/>
      <c r="H245" s="44"/>
      <c r="I245" s="44"/>
      <c r="J245" s="44"/>
      <c r="K245" s="44"/>
      <c r="L245" s="44"/>
      <c r="M245" s="44"/>
      <c r="N245" s="44"/>
      <c r="O245" s="44"/>
    </row>
    <row r="246" spans="1:15" ht="17.25" customHeight="1">
      <c r="A246" s="44"/>
      <c r="B246" s="44"/>
      <c r="C246" s="44"/>
      <c r="D246" s="44"/>
      <c r="E246" s="44"/>
      <c r="F246" s="44"/>
      <c r="G246" s="44"/>
      <c r="H246" s="44"/>
      <c r="I246" s="44"/>
      <c r="J246" s="44"/>
      <c r="K246" s="44"/>
      <c r="L246" s="44"/>
      <c r="M246" s="44"/>
      <c r="N246" s="44"/>
      <c r="O246" s="44"/>
    </row>
    <row r="247" spans="1:15" ht="17.25" customHeight="1">
      <c r="A247" s="44"/>
      <c r="B247" s="44"/>
      <c r="C247" s="44"/>
      <c r="D247" s="44"/>
      <c r="E247" s="44"/>
      <c r="F247" s="44"/>
      <c r="G247" s="44"/>
      <c r="H247" s="44"/>
      <c r="I247" s="44"/>
      <c r="J247" s="44"/>
      <c r="K247" s="44"/>
      <c r="L247" s="44"/>
      <c r="M247" s="44"/>
      <c r="N247" s="44"/>
      <c r="O247" s="44"/>
    </row>
    <row r="248" spans="1:15" ht="17.25" customHeight="1">
      <c r="A248" s="44"/>
      <c r="B248" s="44"/>
      <c r="C248" s="44"/>
      <c r="D248" s="44"/>
      <c r="E248" s="44"/>
      <c r="F248" s="44"/>
      <c r="G248" s="44"/>
      <c r="H248" s="44"/>
      <c r="I248" s="44"/>
      <c r="J248" s="44"/>
      <c r="K248" s="44"/>
      <c r="L248" s="44"/>
      <c r="M248" s="44"/>
      <c r="N248" s="44"/>
      <c r="O248" s="44"/>
    </row>
    <row r="249" spans="1:15" ht="17.25" customHeight="1">
      <c r="A249" s="44"/>
      <c r="B249" s="44"/>
      <c r="C249" s="44"/>
      <c r="D249" s="44"/>
      <c r="E249" s="44"/>
      <c r="F249" s="44"/>
      <c r="G249" s="44"/>
      <c r="H249" s="44"/>
      <c r="I249" s="44"/>
      <c r="J249" s="44"/>
      <c r="K249" s="44"/>
      <c r="L249" s="44"/>
      <c r="M249" s="44"/>
      <c r="N249" s="44"/>
      <c r="O249" s="44"/>
    </row>
    <row r="250" spans="1:15" ht="17.25" customHeight="1">
      <c r="A250" s="44"/>
      <c r="B250" s="44"/>
      <c r="C250" s="44"/>
      <c r="D250" s="44"/>
      <c r="E250" s="44"/>
      <c r="F250" s="44"/>
      <c r="G250" s="44"/>
      <c r="H250" s="44"/>
      <c r="I250" s="44"/>
      <c r="J250" s="44"/>
      <c r="K250" s="44"/>
      <c r="L250" s="44"/>
      <c r="M250" s="44"/>
      <c r="N250" s="44"/>
      <c r="O250" s="44"/>
    </row>
    <row r="251" spans="1:15" ht="17.25" customHeight="1">
      <c r="A251" s="44"/>
      <c r="B251" s="44"/>
      <c r="C251" s="44"/>
      <c r="D251" s="44"/>
      <c r="E251" s="44"/>
      <c r="F251" s="44"/>
      <c r="G251" s="44"/>
      <c r="H251" s="44"/>
      <c r="I251" s="44"/>
      <c r="J251" s="44"/>
      <c r="K251" s="44"/>
      <c r="L251" s="44"/>
      <c r="M251" s="44"/>
      <c r="N251" s="44"/>
      <c r="O251" s="44"/>
    </row>
    <row r="252" spans="1:15" ht="17.25" customHeight="1">
      <c r="A252" s="44"/>
      <c r="B252" s="44"/>
      <c r="C252" s="44"/>
      <c r="D252" s="44"/>
      <c r="E252" s="44"/>
      <c r="F252" s="44"/>
      <c r="G252" s="44"/>
      <c r="H252" s="44"/>
      <c r="I252" s="44"/>
      <c r="J252" s="44"/>
      <c r="K252" s="44"/>
      <c r="L252" s="44"/>
      <c r="M252" s="44"/>
      <c r="N252" s="44"/>
      <c r="O252" s="44"/>
    </row>
    <row r="253" spans="1:15" ht="17.25" customHeight="1">
      <c r="A253" s="44"/>
      <c r="B253" s="44"/>
      <c r="C253" s="44"/>
      <c r="D253" s="44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4"/>
    </row>
    <row r="254" spans="1:15" ht="17.25" customHeight="1">
      <c r="A254" s="44"/>
      <c r="B254" s="44"/>
      <c r="C254" s="44"/>
      <c r="D254" s="44"/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O254" s="44"/>
    </row>
    <row r="255" spans="1:15" ht="17.25" customHeight="1">
      <c r="A255" s="44"/>
      <c r="B255" s="44"/>
      <c r="C255" s="44"/>
      <c r="D255" s="44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</row>
    <row r="256" spans="1:15" ht="17.25" customHeight="1">
      <c r="A256" s="44"/>
      <c r="B256" s="44"/>
      <c r="C256" s="44"/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</row>
    <row r="257" spans="1:15" ht="17.25" customHeight="1">
      <c r="A257" s="44"/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</row>
    <row r="258" spans="1:15" ht="17.25" customHeight="1">
      <c r="A258" s="44"/>
      <c r="B258" s="44"/>
      <c r="C258" s="44"/>
      <c r="D258" s="44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</row>
    <row r="259" spans="1:15" ht="17.25" customHeight="1">
      <c r="A259" s="44"/>
      <c r="B259" s="44"/>
      <c r="C259" s="44"/>
      <c r="D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</row>
    <row r="260" spans="1:15" ht="17.25" customHeight="1">
      <c r="A260" s="44"/>
      <c r="B260" s="44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</row>
    <row r="261" spans="1:15" ht="17.25" customHeight="1">
      <c r="A261" s="44"/>
      <c r="B261" s="44"/>
      <c r="C261" s="44"/>
      <c r="D261" s="44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</row>
    <row r="262" spans="1:15" ht="17.25" customHeight="1">
      <c r="A262" s="44"/>
      <c r="B262" s="44"/>
      <c r="C262" s="44"/>
      <c r="D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</row>
    <row r="263" spans="1:15" ht="17.25" customHeight="1">
      <c r="A263" s="44"/>
      <c r="B263" s="44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</row>
    <row r="264" spans="1:15" ht="17.25" customHeight="1">
      <c r="A264" s="44"/>
      <c r="B264" s="44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</row>
    <row r="265" spans="1:15" ht="17.25" customHeight="1">
      <c r="A265" s="44"/>
      <c r="B265" s="44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</row>
    <row r="266" spans="1:15" ht="17.25" customHeight="1">
      <c r="A266" s="44"/>
      <c r="B266" s="44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</row>
    <row r="267" spans="1:15" ht="17.25" customHeight="1">
      <c r="A267" s="44"/>
      <c r="B267" s="44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</row>
    <row r="268" spans="1:15" ht="17.25" customHeight="1">
      <c r="A268" s="44"/>
      <c r="B268" s="44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</row>
    <row r="269" spans="1:15" ht="17.25" customHeight="1">
      <c r="A269" s="44"/>
      <c r="B269" s="44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</row>
    <row r="270" spans="1:15" ht="17.25" customHeight="1">
      <c r="A270" s="44"/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</row>
    <row r="271" spans="1:15" ht="17.25" customHeight="1">
      <c r="A271" s="44"/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</row>
    <row r="272" spans="1:15" ht="17.25" customHeight="1">
      <c r="A272" s="44"/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</row>
    <row r="273" spans="1:15" ht="17.25" customHeight="1">
      <c r="A273" s="44"/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</row>
    <row r="274" spans="1:15" ht="17.25" customHeight="1">
      <c r="A274" s="44"/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</row>
    <row r="275" spans="1:15" ht="17.25" customHeight="1">
      <c r="A275" s="44"/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</row>
    <row r="276" spans="1:15" ht="17.25" customHeight="1">
      <c r="A276" s="44"/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</row>
    <row r="277" spans="1:15" ht="17.25" customHeight="1">
      <c r="A277" s="44"/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</row>
    <row r="278" spans="1:15" ht="17.25" customHeight="1">
      <c r="A278" s="44"/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</row>
    <row r="279" spans="1:15" ht="17.25" customHeight="1">
      <c r="A279" s="44"/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</row>
    <row r="280" spans="1:15" ht="17.25" customHeight="1">
      <c r="A280" s="44"/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</row>
    <row r="281" spans="1:15" ht="17.25" customHeight="1">
      <c r="A281" s="44"/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</row>
    <row r="282" spans="1:15" ht="17.25" customHeight="1">
      <c r="A282" s="44"/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</row>
    <row r="283" spans="1:15" ht="17.25" customHeight="1">
      <c r="A283" s="44"/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</row>
    <row r="284" spans="1:15" ht="17.25" customHeight="1">
      <c r="A284" s="44"/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</row>
    <row r="285" spans="1:15" ht="17.25" customHeight="1">
      <c r="A285" s="44"/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</row>
    <row r="286" spans="1:15" ht="17.25" customHeight="1">
      <c r="A286" s="44"/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</row>
    <row r="287" spans="1:15" ht="17.25" customHeight="1">
      <c r="A287" s="44"/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</row>
    <row r="288" spans="1:15" ht="17.25" customHeight="1">
      <c r="A288" s="44"/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</row>
    <row r="289" spans="1:15" ht="17.25" customHeight="1">
      <c r="A289" s="44"/>
      <c r="B289" s="44"/>
      <c r="C289" s="44"/>
      <c r="D289" s="44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</row>
    <row r="290" spans="1:15" ht="17.25" customHeight="1">
      <c r="A290" s="44"/>
      <c r="B290" s="44"/>
      <c r="C290" s="44"/>
      <c r="D290" s="44"/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44"/>
    </row>
    <row r="291" spans="1:15" ht="17.25" customHeight="1">
      <c r="A291" s="44"/>
      <c r="B291" s="44"/>
      <c r="C291" s="44"/>
      <c r="D291" s="44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</row>
    <row r="292" spans="1:15" ht="17.25" customHeight="1">
      <c r="A292" s="44"/>
      <c r="B292" s="44"/>
      <c r="C292" s="44"/>
      <c r="D292" s="44"/>
      <c r="E292" s="44"/>
      <c r="F292" s="44"/>
      <c r="G292" s="44"/>
      <c r="H292" s="44"/>
      <c r="I292" s="44"/>
      <c r="J292" s="44"/>
      <c r="K292" s="44"/>
      <c r="L292" s="44"/>
      <c r="M292" s="44"/>
      <c r="N292" s="44"/>
      <c r="O292" s="44"/>
    </row>
    <row r="293" spans="1:15" ht="17.25" customHeight="1">
      <c r="A293" s="44"/>
      <c r="B293" s="44"/>
      <c r="C293" s="44"/>
      <c r="D293" s="44"/>
      <c r="E293" s="44"/>
      <c r="F293" s="44"/>
      <c r="G293" s="44"/>
      <c r="H293" s="44"/>
      <c r="I293" s="44"/>
      <c r="J293" s="44"/>
      <c r="K293" s="44"/>
      <c r="L293" s="44"/>
      <c r="M293" s="44"/>
      <c r="N293" s="44"/>
      <c r="O293" s="44"/>
    </row>
    <row r="294" spans="1:15" ht="17.25" customHeight="1">
      <c r="A294" s="44"/>
      <c r="B294" s="44"/>
      <c r="C294" s="44"/>
      <c r="D294" s="44"/>
      <c r="E294" s="44"/>
      <c r="F294" s="44"/>
      <c r="G294" s="44"/>
      <c r="H294" s="44"/>
      <c r="I294" s="44"/>
      <c r="J294" s="44"/>
      <c r="K294" s="44"/>
      <c r="L294" s="44"/>
      <c r="M294" s="44"/>
      <c r="N294" s="44"/>
      <c r="O294" s="44"/>
    </row>
    <row r="295" spans="1:15" ht="17.25" customHeight="1">
      <c r="A295" s="44"/>
      <c r="B295" s="44"/>
      <c r="C295" s="44"/>
      <c r="D295" s="44"/>
      <c r="E295" s="44"/>
      <c r="F295" s="44"/>
      <c r="G295" s="44"/>
      <c r="H295" s="44"/>
      <c r="I295" s="44"/>
      <c r="J295" s="44"/>
      <c r="K295" s="44"/>
      <c r="L295" s="44"/>
      <c r="M295" s="44"/>
      <c r="N295" s="44"/>
      <c r="O295" s="44"/>
    </row>
    <row r="296" spans="1:15" ht="17.25" customHeight="1">
      <c r="A296" s="44"/>
      <c r="B296" s="44"/>
      <c r="C296" s="44"/>
      <c r="D296" s="44"/>
      <c r="E296" s="44"/>
      <c r="F296" s="44"/>
      <c r="G296" s="44"/>
      <c r="H296" s="44"/>
      <c r="I296" s="44"/>
      <c r="J296" s="44"/>
      <c r="K296" s="44"/>
      <c r="L296" s="44"/>
      <c r="M296" s="44"/>
      <c r="N296" s="44"/>
      <c r="O296" s="44"/>
    </row>
    <row r="297" spans="1:15" ht="17.25" customHeight="1">
      <c r="A297" s="44"/>
      <c r="B297" s="44"/>
      <c r="C297" s="44"/>
      <c r="D297" s="44"/>
      <c r="E297" s="44"/>
      <c r="F297" s="44"/>
      <c r="G297" s="44"/>
      <c r="H297" s="44"/>
      <c r="I297" s="44"/>
      <c r="J297" s="44"/>
      <c r="K297" s="44"/>
      <c r="L297" s="44"/>
      <c r="M297" s="44"/>
      <c r="N297" s="44"/>
      <c r="O297" s="44"/>
    </row>
    <row r="298" spans="1:15" ht="17.25" customHeight="1">
      <c r="A298" s="44"/>
      <c r="B298" s="44"/>
      <c r="C298" s="44"/>
      <c r="D298" s="44"/>
      <c r="E298" s="44"/>
      <c r="F298" s="44"/>
      <c r="G298" s="44"/>
      <c r="H298" s="44"/>
      <c r="I298" s="44"/>
      <c r="J298" s="44"/>
      <c r="K298" s="44"/>
      <c r="L298" s="44"/>
      <c r="M298" s="44"/>
      <c r="N298" s="44"/>
      <c r="O298" s="44"/>
    </row>
    <row r="299" spans="1:15" ht="17.25" customHeight="1">
      <c r="A299" s="44"/>
      <c r="B299" s="44"/>
      <c r="C299" s="44"/>
      <c r="D299" s="44"/>
      <c r="E299" s="44"/>
      <c r="F299" s="44"/>
      <c r="G299" s="44"/>
      <c r="H299" s="44"/>
      <c r="I299" s="44"/>
      <c r="J299" s="44"/>
      <c r="K299" s="44"/>
      <c r="L299" s="44"/>
      <c r="M299" s="44"/>
      <c r="N299" s="44"/>
      <c r="O299" s="44"/>
    </row>
    <row r="300" spans="1:15" ht="17.25" customHeight="1">
      <c r="A300" s="44"/>
      <c r="B300" s="44"/>
      <c r="C300" s="44"/>
      <c r="D300" s="44"/>
      <c r="E300" s="44"/>
      <c r="F300" s="44"/>
      <c r="G300" s="44"/>
      <c r="H300" s="44"/>
      <c r="I300" s="44"/>
      <c r="J300" s="44"/>
      <c r="K300" s="44"/>
      <c r="L300" s="44"/>
      <c r="M300" s="44"/>
      <c r="N300" s="44"/>
      <c r="O300" s="44"/>
    </row>
    <row r="301" spans="1:15" ht="17.25" customHeight="1">
      <c r="A301" s="44"/>
      <c r="B301" s="44"/>
      <c r="C301" s="44"/>
      <c r="D301" s="44"/>
      <c r="E301" s="44"/>
      <c r="F301" s="44"/>
      <c r="G301" s="44"/>
      <c r="H301" s="44"/>
      <c r="I301" s="44"/>
      <c r="J301" s="44"/>
      <c r="K301" s="44"/>
      <c r="L301" s="44"/>
      <c r="M301" s="44"/>
      <c r="N301" s="44"/>
      <c r="O301" s="44"/>
    </row>
    <row r="302" spans="1:15" ht="17.25" customHeight="1">
      <c r="A302" s="44"/>
      <c r="B302" s="44"/>
      <c r="C302" s="44"/>
      <c r="D302" s="44"/>
      <c r="E302" s="44"/>
      <c r="F302" s="44"/>
      <c r="G302" s="44"/>
      <c r="H302" s="44"/>
      <c r="I302" s="44"/>
      <c r="J302" s="44"/>
      <c r="K302" s="44"/>
      <c r="L302" s="44"/>
      <c r="M302" s="44"/>
      <c r="N302" s="44"/>
      <c r="O302" s="44"/>
    </row>
    <row r="303" spans="1:15" ht="17.25" customHeight="1">
      <c r="A303" s="44"/>
      <c r="B303" s="44"/>
      <c r="C303" s="44"/>
      <c r="D303" s="44"/>
      <c r="E303" s="44"/>
      <c r="F303" s="44"/>
      <c r="G303" s="44"/>
      <c r="H303" s="44"/>
      <c r="I303" s="44"/>
      <c r="J303" s="44"/>
      <c r="K303" s="44"/>
      <c r="L303" s="44"/>
      <c r="M303" s="44"/>
      <c r="N303" s="44"/>
      <c r="O303" s="44"/>
    </row>
    <row r="304" spans="1:15" ht="17.25" customHeight="1">
      <c r="A304" s="44"/>
      <c r="B304" s="44"/>
      <c r="C304" s="44"/>
      <c r="D304" s="44"/>
      <c r="E304" s="44"/>
      <c r="F304" s="44"/>
      <c r="G304" s="44"/>
      <c r="H304" s="44"/>
      <c r="I304" s="44"/>
      <c r="J304" s="44"/>
      <c r="K304" s="44"/>
      <c r="L304" s="44"/>
      <c r="M304" s="44"/>
      <c r="N304" s="44"/>
      <c r="O304" s="44"/>
    </row>
    <row r="305" spans="1:15" ht="17.25" customHeight="1">
      <c r="A305" s="44"/>
      <c r="B305" s="44"/>
      <c r="C305" s="44"/>
      <c r="D305" s="44"/>
      <c r="E305" s="44"/>
      <c r="F305" s="44"/>
      <c r="G305" s="44"/>
      <c r="H305" s="44"/>
      <c r="I305" s="44"/>
      <c r="J305" s="44"/>
      <c r="K305" s="44"/>
      <c r="L305" s="44"/>
      <c r="M305" s="44"/>
      <c r="N305" s="44"/>
      <c r="O305" s="44"/>
    </row>
    <row r="306" spans="1:15" ht="17.25" customHeight="1">
      <c r="A306" s="44"/>
      <c r="B306" s="44"/>
      <c r="C306" s="44"/>
      <c r="D306" s="44"/>
      <c r="E306" s="44"/>
      <c r="F306" s="44"/>
      <c r="G306" s="44"/>
      <c r="H306" s="44"/>
      <c r="I306" s="44"/>
      <c r="J306" s="44"/>
      <c r="K306" s="44"/>
      <c r="L306" s="44"/>
      <c r="M306" s="44"/>
      <c r="N306" s="44"/>
      <c r="O306" s="44"/>
    </row>
    <row r="307" spans="1:15" ht="17.25" customHeight="1">
      <c r="A307" s="44"/>
      <c r="B307" s="44"/>
      <c r="C307" s="44"/>
      <c r="D307" s="44"/>
      <c r="E307" s="44"/>
      <c r="F307" s="44"/>
      <c r="G307" s="44"/>
      <c r="H307" s="44"/>
      <c r="I307" s="44"/>
      <c r="J307" s="44"/>
      <c r="K307" s="44"/>
      <c r="L307" s="44"/>
      <c r="M307" s="44"/>
      <c r="N307" s="44"/>
      <c r="O307" s="44"/>
    </row>
    <row r="308" spans="1:15" ht="17.25" customHeight="1">
      <c r="A308" s="44"/>
      <c r="B308" s="44"/>
      <c r="C308" s="44"/>
      <c r="D308" s="44"/>
      <c r="E308" s="44"/>
      <c r="F308" s="44"/>
      <c r="G308" s="44"/>
      <c r="H308" s="44"/>
      <c r="I308" s="44"/>
      <c r="J308" s="44"/>
      <c r="K308" s="44"/>
      <c r="L308" s="44"/>
      <c r="M308" s="44"/>
      <c r="N308" s="44"/>
      <c r="O308" s="44"/>
    </row>
    <row r="309" spans="1:15" ht="17.25" customHeight="1">
      <c r="A309" s="44"/>
      <c r="B309" s="44"/>
      <c r="C309" s="44"/>
      <c r="D309" s="44"/>
      <c r="E309" s="44"/>
      <c r="F309" s="44"/>
      <c r="G309" s="44"/>
      <c r="H309" s="44"/>
      <c r="I309" s="44"/>
      <c r="J309" s="44"/>
      <c r="K309" s="44"/>
      <c r="L309" s="44"/>
      <c r="M309" s="44"/>
      <c r="N309" s="44"/>
      <c r="O309" s="44"/>
    </row>
    <row r="310" spans="1:15" ht="17.25" customHeight="1">
      <c r="A310" s="44"/>
      <c r="B310" s="44"/>
      <c r="C310" s="44"/>
      <c r="D310" s="44"/>
      <c r="E310" s="44"/>
      <c r="F310" s="44"/>
      <c r="G310" s="44"/>
      <c r="H310" s="44"/>
      <c r="I310" s="44"/>
      <c r="J310" s="44"/>
      <c r="K310" s="44"/>
      <c r="L310" s="44"/>
      <c r="M310" s="44"/>
      <c r="N310" s="44"/>
      <c r="O310" s="44"/>
    </row>
    <row r="311" spans="1:15" ht="17.25" customHeight="1">
      <c r="A311" s="44"/>
      <c r="B311" s="44"/>
      <c r="C311" s="44"/>
      <c r="D311" s="44"/>
      <c r="E311" s="44"/>
      <c r="F311" s="44"/>
      <c r="G311" s="44"/>
      <c r="H311" s="44"/>
      <c r="I311" s="44"/>
      <c r="J311" s="44"/>
      <c r="K311" s="44"/>
      <c r="L311" s="44"/>
      <c r="M311" s="44"/>
      <c r="N311" s="44"/>
      <c r="O311" s="44"/>
    </row>
    <row r="312" spans="1:15" ht="17.25" customHeight="1">
      <c r="A312" s="44"/>
      <c r="B312" s="44"/>
      <c r="C312" s="44"/>
      <c r="D312" s="44"/>
      <c r="E312" s="44"/>
      <c r="F312" s="44"/>
      <c r="G312" s="44"/>
      <c r="H312" s="44"/>
      <c r="I312" s="44"/>
      <c r="J312" s="44"/>
      <c r="K312" s="44"/>
      <c r="L312" s="44"/>
      <c r="M312" s="44"/>
      <c r="N312" s="44"/>
      <c r="O312" s="44"/>
    </row>
    <row r="313" spans="1:15" ht="17.25" customHeight="1">
      <c r="A313" s="44"/>
      <c r="B313" s="44"/>
      <c r="C313" s="44"/>
      <c r="D313" s="44"/>
      <c r="E313" s="44"/>
      <c r="F313" s="44"/>
      <c r="G313" s="44"/>
      <c r="H313" s="44"/>
      <c r="I313" s="44"/>
      <c r="J313" s="44"/>
      <c r="K313" s="44"/>
      <c r="L313" s="44"/>
      <c r="M313" s="44"/>
      <c r="N313" s="44"/>
      <c r="O313" s="44"/>
    </row>
    <row r="314" spans="1:15" ht="17.25" customHeight="1">
      <c r="A314" s="44"/>
      <c r="B314" s="44"/>
      <c r="C314" s="44"/>
      <c r="D314" s="44"/>
      <c r="E314" s="44"/>
      <c r="F314" s="44"/>
      <c r="G314" s="44"/>
      <c r="H314" s="44"/>
      <c r="I314" s="44"/>
      <c r="J314" s="44"/>
      <c r="K314" s="44"/>
      <c r="L314" s="44"/>
      <c r="M314" s="44"/>
      <c r="N314" s="44"/>
      <c r="O314" s="44"/>
    </row>
    <row r="315" spans="1:15" ht="17.25" customHeight="1">
      <c r="A315" s="44"/>
      <c r="B315" s="44"/>
      <c r="C315" s="44"/>
      <c r="D315" s="44"/>
      <c r="E315" s="44"/>
      <c r="F315" s="44"/>
      <c r="G315" s="44"/>
      <c r="H315" s="44"/>
      <c r="I315" s="44"/>
      <c r="J315" s="44"/>
      <c r="K315" s="44"/>
      <c r="L315" s="44"/>
      <c r="M315" s="44"/>
      <c r="N315" s="44"/>
      <c r="O315" s="44"/>
    </row>
    <row r="316" spans="1:15" ht="17.25" customHeight="1">
      <c r="A316" s="44"/>
      <c r="B316" s="44"/>
      <c r="C316" s="44"/>
      <c r="D316" s="44"/>
      <c r="E316" s="44"/>
      <c r="F316" s="44"/>
      <c r="G316" s="44"/>
      <c r="H316" s="44"/>
      <c r="I316" s="44"/>
      <c r="J316" s="44"/>
      <c r="K316" s="44"/>
      <c r="L316" s="44"/>
      <c r="M316" s="44"/>
      <c r="N316" s="44"/>
      <c r="O316" s="44"/>
    </row>
    <row r="317" spans="1:15" ht="17.25" customHeight="1">
      <c r="A317" s="44"/>
      <c r="B317" s="44"/>
      <c r="C317" s="44"/>
      <c r="D317" s="44"/>
      <c r="E317" s="44"/>
      <c r="F317" s="44"/>
      <c r="G317" s="44"/>
      <c r="H317" s="44"/>
      <c r="I317" s="44"/>
      <c r="J317" s="44"/>
      <c r="K317" s="44"/>
      <c r="L317" s="44"/>
      <c r="M317" s="44"/>
      <c r="N317" s="44"/>
      <c r="O317" s="44"/>
    </row>
    <row r="318" spans="1:15" ht="17.25" customHeight="1">
      <c r="A318" s="44"/>
      <c r="B318" s="44"/>
      <c r="C318" s="44"/>
      <c r="D318" s="44"/>
      <c r="E318" s="44"/>
      <c r="F318" s="44"/>
      <c r="G318" s="44"/>
      <c r="H318" s="44"/>
      <c r="I318" s="44"/>
      <c r="J318" s="44"/>
      <c r="K318" s="44"/>
      <c r="L318" s="44"/>
      <c r="M318" s="44"/>
      <c r="N318" s="44"/>
      <c r="O318" s="44"/>
    </row>
    <row r="319" spans="1:15" ht="17.25" customHeight="1">
      <c r="A319" s="44"/>
      <c r="B319" s="44"/>
      <c r="C319" s="44"/>
      <c r="D319" s="44"/>
      <c r="E319" s="44"/>
      <c r="F319" s="44"/>
      <c r="G319" s="44"/>
      <c r="H319" s="44"/>
      <c r="I319" s="44"/>
      <c r="J319" s="44"/>
      <c r="K319" s="44"/>
      <c r="L319" s="44"/>
      <c r="M319" s="44"/>
      <c r="N319" s="44"/>
      <c r="O319" s="44"/>
    </row>
    <row r="320" spans="1:15" ht="17.25" customHeight="1">
      <c r="A320" s="44"/>
      <c r="B320" s="44"/>
      <c r="C320" s="44"/>
      <c r="D320" s="44"/>
      <c r="E320" s="44"/>
      <c r="F320" s="44"/>
      <c r="G320" s="44"/>
      <c r="H320" s="44"/>
      <c r="I320" s="44"/>
      <c r="J320" s="44"/>
      <c r="K320" s="44"/>
      <c r="L320" s="44"/>
      <c r="M320" s="44"/>
      <c r="N320" s="44"/>
      <c r="O320" s="44"/>
    </row>
    <row r="321" spans="1:15" ht="17.25" customHeight="1">
      <c r="A321" s="44"/>
      <c r="B321" s="44"/>
      <c r="C321" s="44"/>
      <c r="D321" s="44"/>
      <c r="E321" s="44"/>
      <c r="F321" s="44"/>
      <c r="G321" s="44"/>
      <c r="H321" s="44"/>
      <c r="I321" s="44"/>
      <c r="J321" s="44"/>
      <c r="K321" s="44"/>
      <c r="L321" s="44"/>
      <c r="M321" s="44"/>
      <c r="N321" s="44"/>
      <c r="O321" s="44"/>
    </row>
    <row r="322" spans="1:15" ht="17.25" customHeight="1">
      <c r="A322" s="44"/>
      <c r="B322" s="44"/>
      <c r="C322" s="44"/>
      <c r="D322" s="44"/>
      <c r="E322" s="44"/>
      <c r="F322" s="44"/>
      <c r="G322" s="44"/>
      <c r="H322" s="44"/>
      <c r="I322" s="44"/>
      <c r="J322" s="44"/>
      <c r="K322" s="44"/>
      <c r="L322" s="44"/>
      <c r="M322" s="44"/>
      <c r="N322" s="44"/>
      <c r="O322" s="44"/>
    </row>
    <row r="323" spans="1:15" ht="17.25" customHeight="1">
      <c r="A323" s="44"/>
      <c r="B323" s="44"/>
      <c r="C323" s="44"/>
      <c r="D323" s="44"/>
      <c r="E323" s="44"/>
      <c r="F323" s="44"/>
      <c r="G323" s="44"/>
      <c r="H323" s="44"/>
      <c r="I323" s="44"/>
      <c r="J323" s="44"/>
      <c r="K323" s="44"/>
      <c r="L323" s="44"/>
      <c r="M323" s="44"/>
      <c r="N323" s="44"/>
      <c r="O323" s="44"/>
    </row>
    <row r="324" spans="1:15" ht="17.25" customHeight="1">
      <c r="A324" s="44"/>
      <c r="B324" s="44"/>
      <c r="C324" s="44"/>
      <c r="D324" s="44"/>
      <c r="E324" s="44"/>
      <c r="F324" s="44"/>
      <c r="G324" s="44"/>
      <c r="H324" s="44"/>
      <c r="I324" s="44"/>
      <c r="J324" s="44"/>
      <c r="K324" s="44"/>
      <c r="L324" s="44"/>
      <c r="M324" s="44"/>
      <c r="N324" s="44"/>
      <c r="O324" s="44"/>
    </row>
    <row r="325" spans="1:15" ht="17.25" customHeight="1">
      <c r="A325" s="44"/>
      <c r="B325" s="44"/>
      <c r="C325" s="44"/>
      <c r="D325" s="44"/>
      <c r="E325" s="44"/>
      <c r="F325" s="44"/>
      <c r="G325" s="44"/>
      <c r="H325" s="44"/>
      <c r="I325" s="44"/>
      <c r="J325" s="44"/>
      <c r="K325" s="44"/>
      <c r="L325" s="44"/>
      <c r="M325" s="44"/>
      <c r="N325" s="44"/>
      <c r="O325" s="44"/>
    </row>
    <row r="326" spans="1:15" ht="17.25" customHeight="1">
      <c r="A326" s="44"/>
      <c r="B326" s="44"/>
      <c r="C326" s="44"/>
      <c r="D326" s="44"/>
      <c r="E326" s="44"/>
      <c r="F326" s="44"/>
      <c r="G326" s="44"/>
      <c r="H326" s="44"/>
      <c r="I326" s="44"/>
      <c r="J326" s="44"/>
      <c r="K326" s="44"/>
      <c r="L326" s="44"/>
      <c r="M326" s="44"/>
      <c r="N326" s="44"/>
      <c r="O326" s="44"/>
    </row>
    <row r="327" spans="1:15" ht="17.25" customHeight="1">
      <c r="A327" s="44"/>
      <c r="B327" s="44"/>
      <c r="C327" s="44"/>
      <c r="D327" s="44"/>
      <c r="E327" s="44"/>
      <c r="F327" s="44"/>
      <c r="G327" s="44"/>
      <c r="H327" s="44"/>
      <c r="I327" s="44"/>
      <c r="J327" s="44"/>
      <c r="K327" s="44"/>
      <c r="L327" s="44"/>
      <c r="M327" s="44"/>
      <c r="N327" s="44"/>
      <c r="O327" s="44"/>
    </row>
    <row r="328" spans="1:15" ht="17.25" customHeight="1">
      <c r="A328" s="44"/>
      <c r="B328" s="44"/>
      <c r="C328" s="44"/>
      <c r="D328" s="44"/>
      <c r="E328" s="44"/>
      <c r="F328" s="44"/>
      <c r="G328" s="44"/>
      <c r="H328" s="44"/>
      <c r="I328" s="44"/>
      <c r="J328" s="44"/>
      <c r="K328" s="44"/>
      <c r="L328" s="44"/>
      <c r="M328" s="44"/>
      <c r="N328" s="44"/>
      <c r="O328" s="44"/>
    </row>
    <row r="329" spans="1:15" ht="17.25" customHeight="1">
      <c r="A329" s="44"/>
      <c r="B329" s="44"/>
      <c r="C329" s="44"/>
      <c r="D329" s="44"/>
      <c r="E329" s="44"/>
      <c r="F329" s="44"/>
      <c r="G329" s="44"/>
      <c r="H329" s="44"/>
      <c r="I329" s="44"/>
      <c r="J329" s="44"/>
      <c r="K329" s="44"/>
      <c r="L329" s="44"/>
      <c r="M329" s="44"/>
      <c r="N329" s="44"/>
      <c r="O329" s="44"/>
    </row>
    <row r="330" spans="1:15" ht="17.25" customHeight="1">
      <c r="A330" s="44"/>
      <c r="B330" s="44"/>
      <c r="C330" s="44"/>
      <c r="D330" s="44"/>
      <c r="E330" s="44"/>
      <c r="F330" s="44"/>
      <c r="G330" s="44"/>
      <c r="H330" s="44"/>
      <c r="I330" s="44"/>
      <c r="J330" s="44"/>
      <c r="K330" s="44"/>
      <c r="L330" s="44"/>
      <c r="M330" s="44"/>
      <c r="N330" s="44"/>
      <c r="O330" s="44"/>
    </row>
    <row r="331" spans="1:15" ht="17.25" customHeight="1">
      <c r="A331" s="44"/>
      <c r="B331" s="44"/>
      <c r="C331" s="44"/>
      <c r="D331" s="44"/>
      <c r="E331" s="44"/>
      <c r="F331" s="44"/>
      <c r="G331" s="44"/>
      <c r="H331" s="44"/>
      <c r="I331" s="44"/>
      <c r="J331" s="44"/>
      <c r="K331" s="44"/>
      <c r="L331" s="44"/>
      <c r="M331" s="44"/>
      <c r="N331" s="44"/>
      <c r="O331" s="44"/>
    </row>
    <row r="332" spans="1:15" ht="17.25" customHeight="1">
      <c r="A332" s="44"/>
      <c r="B332" s="44"/>
      <c r="C332" s="44"/>
      <c r="D332" s="44"/>
      <c r="E332" s="44"/>
      <c r="F332" s="44"/>
      <c r="G332" s="44"/>
      <c r="H332" s="44"/>
      <c r="I332" s="44"/>
      <c r="J332" s="44"/>
      <c r="K332" s="44"/>
      <c r="L332" s="44"/>
      <c r="M332" s="44"/>
      <c r="N332" s="44"/>
      <c r="O332" s="44"/>
    </row>
    <row r="333" spans="1:15" ht="17.25" customHeight="1">
      <c r="A333" s="44"/>
      <c r="B333" s="44"/>
      <c r="C333" s="44"/>
      <c r="D333" s="44"/>
      <c r="E333" s="44"/>
      <c r="F333" s="44"/>
      <c r="G333" s="44"/>
      <c r="H333" s="44"/>
      <c r="I333" s="44"/>
      <c r="J333" s="44"/>
      <c r="K333" s="44"/>
      <c r="L333" s="44"/>
      <c r="M333" s="44"/>
      <c r="N333" s="44"/>
      <c r="O333" s="44"/>
    </row>
    <row r="334" spans="1:15" ht="17.25" customHeight="1">
      <c r="A334" s="44"/>
      <c r="B334" s="44"/>
      <c r="C334" s="44"/>
      <c r="D334" s="44"/>
      <c r="E334" s="44"/>
      <c r="F334" s="44"/>
      <c r="G334" s="44"/>
      <c r="H334" s="44"/>
      <c r="I334" s="44"/>
      <c r="J334" s="44"/>
      <c r="K334" s="44"/>
      <c r="L334" s="44"/>
      <c r="M334" s="44"/>
      <c r="N334" s="44"/>
      <c r="O334" s="44"/>
    </row>
    <row r="335" spans="1:15" ht="17.25" customHeight="1">
      <c r="A335" s="44"/>
      <c r="B335" s="44"/>
      <c r="C335" s="44"/>
      <c r="D335" s="44"/>
      <c r="E335" s="44"/>
      <c r="F335" s="44"/>
      <c r="G335" s="44"/>
      <c r="H335" s="44"/>
      <c r="I335" s="44"/>
      <c r="J335" s="44"/>
      <c r="K335" s="44"/>
      <c r="L335" s="44"/>
      <c r="M335" s="44"/>
      <c r="N335" s="44"/>
      <c r="O335" s="44"/>
    </row>
    <row r="336" spans="1:15" ht="17.25" customHeight="1">
      <c r="A336" s="44"/>
      <c r="B336" s="44"/>
      <c r="C336" s="44"/>
      <c r="D336" s="44"/>
      <c r="E336" s="44"/>
      <c r="F336" s="44"/>
      <c r="G336" s="44"/>
      <c r="H336" s="44"/>
      <c r="I336" s="44"/>
      <c r="J336" s="44"/>
      <c r="K336" s="44"/>
      <c r="L336" s="44"/>
      <c r="M336" s="44"/>
      <c r="N336" s="44"/>
      <c r="O336" s="44"/>
    </row>
    <row r="337" spans="1:15" ht="17.25" customHeight="1">
      <c r="A337" s="44"/>
      <c r="B337" s="44"/>
      <c r="C337" s="44"/>
      <c r="D337" s="44"/>
      <c r="E337" s="44"/>
      <c r="F337" s="44"/>
      <c r="G337" s="44"/>
      <c r="H337" s="44"/>
      <c r="I337" s="44"/>
      <c r="J337" s="44"/>
      <c r="K337" s="44"/>
      <c r="L337" s="44"/>
      <c r="M337" s="44"/>
      <c r="N337" s="44"/>
      <c r="O337" s="44"/>
    </row>
    <row r="338" spans="1:15" ht="17.25" customHeight="1">
      <c r="A338" s="44"/>
      <c r="B338" s="44"/>
      <c r="C338" s="44"/>
      <c r="D338" s="44"/>
      <c r="E338" s="44"/>
      <c r="F338" s="44"/>
      <c r="G338" s="44"/>
      <c r="H338" s="44"/>
      <c r="I338" s="44"/>
      <c r="J338" s="44"/>
      <c r="K338" s="44"/>
      <c r="L338" s="44"/>
      <c r="M338" s="44"/>
      <c r="N338" s="44"/>
      <c r="O338" s="44"/>
    </row>
    <row r="339" spans="1:15" ht="17.25" customHeight="1">
      <c r="A339" s="44"/>
      <c r="B339" s="44"/>
      <c r="C339" s="44"/>
      <c r="D339" s="44"/>
      <c r="E339" s="44"/>
      <c r="F339" s="44"/>
      <c r="G339" s="44"/>
      <c r="H339" s="44"/>
      <c r="I339" s="44"/>
      <c r="J339" s="44"/>
      <c r="K339" s="44"/>
      <c r="L339" s="44"/>
      <c r="M339" s="44"/>
      <c r="N339" s="44"/>
      <c r="O339" s="44"/>
    </row>
    <row r="340" spans="1:15" ht="17.25" customHeight="1">
      <c r="A340" s="44"/>
      <c r="B340" s="44"/>
      <c r="C340" s="44"/>
      <c r="D340" s="44"/>
      <c r="E340" s="44"/>
      <c r="F340" s="44"/>
      <c r="G340" s="44"/>
      <c r="H340" s="44"/>
      <c r="I340" s="44"/>
      <c r="J340" s="44"/>
      <c r="K340" s="44"/>
      <c r="L340" s="44"/>
      <c r="M340" s="44"/>
      <c r="N340" s="44"/>
      <c r="O340" s="44"/>
    </row>
    <row r="341" spans="1:15" ht="17.25" customHeight="1">
      <c r="A341" s="44"/>
      <c r="B341" s="44"/>
      <c r="C341" s="44"/>
      <c r="D341" s="44"/>
      <c r="E341" s="44"/>
      <c r="F341" s="44"/>
      <c r="G341" s="44"/>
      <c r="H341" s="44"/>
      <c r="I341" s="44"/>
      <c r="J341" s="44"/>
      <c r="K341" s="44"/>
      <c r="L341" s="44"/>
      <c r="M341" s="44"/>
      <c r="N341" s="44"/>
      <c r="O341" s="44"/>
    </row>
    <row r="342" spans="1:15" ht="17.25" customHeight="1">
      <c r="A342" s="44"/>
      <c r="B342" s="44"/>
      <c r="C342" s="44"/>
      <c r="D342" s="44"/>
      <c r="E342" s="44"/>
      <c r="F342" s="44"/>
      <c r="G342" s="44"/>
      <c r="H342" s="44"/>
      <c r="I342" s="44"/>
      <c r="J342" s="44"/>
      <c r="K342" s="44"/>
      <c r="L342" s="44"/>
      <c r="M342" s="44"/>
      <c r="N342" s="44"/>
      <c r="O342" s="44"/>
    </row>
    <row r="343" spans="1:15" ht="17.25" customHeight="1">
      <c r="A343" s="44"/>
      <c r="B343" s="44"/>
      <c r="C343" s="44"/>
      <c r="D343" s="44"/>
      <c r="E343" s="44"/>
      <c r="F343" s="44"/>
      <c r="G343" s="44"/>
      <c r="H343" s="44"/>
      <c r="I343" s="44"/>
      <c r="J343" s="44"/>
      <c r="K343" s="44"/>
      <c r="L343" s="44"/>
      <c r="M343" s="44"/>
      <c r="N343" s="44"/>
      <c r="O343" s="44"/>
    </row>
    <row r="344" spans="1:15" ht="17.25" customHeight="1">
      <c r="A344" s="44"/>
      <c r="B344" s="44"/>
      <c r="C344" s="44"/>
      <c r="D344" s="44"/>
      <c r="E344" s="44"/>
      <c r="F344" s="44"/>
      <c r="G344" s="44"/>
      <c r="H344" s="44"/>
      <c r="I344" s="44"/>
      <c r="J344" s="44"/>
      <c r="K344" s="44"/>
      <c r="L344" s="44"/>
      <c r="M344" s="44"/>
      <c r="N344" s="44"/>
      <c r="O344" s="44"/>
    </row>
    <row r="345" spans="1:15" ht="17.25" customHeight="1">
      <c r="A345" s="44"/>
      <c r="B345" s="44"/>
      <c r="C345" s="44"/>
      <c r="D345" s="44"/>
      <c r="E345" s="44"/>
      <c r="F345" s="44"/>
      <c r="G345" s="44"/>
      <c r="H345" s="44"/>
      <c r="I345" s="44"/>
      <c r="J345" s="44"/>
      <c r="K345" s="44"/>
      <c r="L345" s="44"/>
      <c r="M345" s="44"/>
      <c r="N345" s="44"/>
      <c r="O345" s="44"/>
    </row>
    <row r="346" spans="1:15" ht="17.25" customHeight="1">
      <c r="A346" s="44"/>
      <c r="B346" s="44"/>
      <c r="C346" s="44"/>
      <c r="D346" s="44"/>
      <c r="E346" s="44"/>
      <c r="F346" s="44"/>
      <c r="G346" s="44"/>
      <c r="H346" s="44"/>
      <c r="I346" s="44"/>
      <c r="J346" s="44"/>
      <c r="K346" s="44"/>
      <c r="L346" s="44"/>
      <c r="M346" s="44"/>
      <c r="N346" s="44"/>
      <c r="O346" s="44"/>
    </row>
    <row r="347" spans="1:15" ht="17.25" customHeight="1">
      <c r="A347" s="44"/>
      <c r="B347" s="44"/>
      <c r="C347" s="44"/>
      <c r="D347" s="44"/>
      <c r="E347" s="44"/>
      <c r="F347" s="44"/>
      <c r="G347" s="44"/>
      <c r="H347" s="44"/>
      <c r="I347" s="44"/>
      <c r="J347" s="44"/>
      <c r="K347" s="44"/>
      <c r="L347" s="44"/>
      <c r="M347" s="44"/>
      <c r="N347" s="44"/>
      <c r="O347" s="44"/>
    </row>
    <row r="348" spans="1:15" ht="17.25" customHeight="1">
      <c r="A348" s="44"/>
      <c r="B348" s="44"/>
      <c r="C348" s="44"/>
      <c r="D348" s="44"/>
      <c r="E348" s="44"/>
      <c r="F348" s="44"/>
      <c r="G348" s="44"/>
      <c r="H348" s="44"/>
      <c r="I348" s="44"/>
      <c r="J348" s="44"/>
      <c r="K348" s="44"/>
      <c r="L348" s="44"/>
      <c r="M348" s="44"/>
      <c r="N348" s="44"/>
      <c r="O348" s="44"/>
    </row>
    <row r="349" spans="1:15" ht="17.25" customHeight="1">
      <c r="A349" s="44"/>
      <c r="B349" s="44"/>
      <c r="C349" s="44"/>
      <c r="D349" s="44"/>
      <c r="E349" s="44"/>
      <c r="F349" s="44"/>
      <c r="G349" s="44"/>
      <c r="H349" s="44"/>
      <c r="I349" s="44"/>
      <c r="J349" s="44"/>
      <c r="K349" s="44"/>
      <c r="L349" s="44"/>
      <c r="M349" s="44"/>
      <c r="N349" s="44"/>
      <c r="O349" s="44"/>
    </row>
    <row r="350" spans="1:15" ht="17.25" customHeight="1">
      <c r="A350" s="44"/>
      <c r="B350" s="44"/>
      <c r="C350" s="44"/>
      <c r="D350" s="44"/>
      <c r="E350" s="44"/>
      <c r="F350" s="44"/>
      <c r="G350" s="44"/>
      <c r="H350" s="44"/>
      <c r="I350" s="44"/>
      <c r="J350" s="44"/>
      <c r="K350" s="44"/>
      <c r="L350" s="44"/>
      <c r="M350" s="44"/>
      <c r="N350" s="44"/>
      <c r="O350" s="44"/>
    </row>
    <row r="351" spans="1:15" ht="17.25" customHeight="1">
      <c r="A351" s="44"/>
      <c r="B351" s="44"/>
      <c r="C351" s="44"/>
      <c r="D351" s="44"/>
      <c r="E351" s="44"/>
      <c r="F351" s="44"/>
      <c r="G351" s="44"/>
      <c r="H351" s="44"/>
      <c r="I351" s="44"/>
      <c r="J351" s="44"/>
      <c r="K351" s="44"/>
      <c r="L351" s="44"/>
      <c r="M351" s="44"/>
      <c r="N351" s="44"/>
      <c r="O351" s="44"/>
    </row>
    <row r="352" spans="1:15" ht="17.25" customHeight="1">
      <c r="A352" s="44"/>
      <c r="B352" s="44"/>
      <c r="C352" s="44"/>
      <c r="D352" s="44"/>
      <c r="E352" s="44"/>
      <c r="F352" s="44"/>
      <c r="G352" s="44"/>
      <c r="H352" s="44"/>
      <c r="I352" s="44"/>
      <c r="J352" s="44"/>
      <c r="K352" s="44"/>
      <c r="L352" s="44"/>
      <c r="M352" s="44"/>
      <c r="N352" s="44"/>
      <c r="O352" s="44"/>
    </row>
    <row r="353" spans="1:15" ht="17.25" customHeight="1">
      <c r="A353" s="44"/>
      <c r="B353" s="44"/>
      <c r="C353" s="44"/>
      <c r="D353" s="44"/>
      <c r="E353" s="44"/>
      <c r="F353" s="44"/>
      <c r="G353" s="44"/>
      <c r="H353" s="44"/>
      <c r="I353" s="44"/>
      <c r="J353" s="44"/>
      <c r="K353" s="44"/>
      <c r="L353" s="44"/>
      <c r="M353" s="44"/>
      <c r="N353" s="44"/>
      <c r="O353" s="44"/>
    </row>
    <row r="354" spans="1:15" ht="17.25" customHeight="1">
      <c r="A354" s="44"/>
      <c r="B354" s="44"/>
      <c r="C354" s="44"/>
      <c r="D354" s="44"/>
      <c r="E354" s="44"/>
      <c r="F354" s="44"/>
      <c r="G354" s="44"/>
      <c r="H354" s="44"/>
      <c r="I354" s="44"/>
      <c r="J354" s="44"/>
      <c r="K354" s="44"/>
      <c r="L354" s="44"/>
      <c r="M354" s="44"/>
      <c r="N354" s="44"/>
      <c r="O354" s="44"/>
    </row>
    <row r="355" spans="1:15" ht="17.25" customHeight="1">
      <c r="A355" s="44"/>
      <c r="B355" s="44"/>
      <c r="C355" s="44"/>
      <c r="D355" s="44"/>
      <c r="E355" s="44"/>
      <c r="F355" s="44"/>
      <c r="G355" s="44"/>
      <c r="H355" s="44"/>
      <c r="I355" s="44"/>
      <c r="J355" s="44"/>
      <c r="K355" s="44"/>
      <c r="L355" s="44"/>
      <c r="M355" s="44"/>
      <c r="N355" s="44"/>
      <c r="O355" s="44"/>
    </row>
    <row r="356" spans="1:15" ht="17.25" customHeight="1">
      <c r="A356" s="44"/>
      <c r="B356" s="44"/>
      <c r="C356" s="44"/>
      <c r="D356" s="44"/>
      <c r="E356" s="44"/>
      <c r="F356" s="44"/>
      <c r="G356" s="44"/>
      <c r="H356" s="44"/>
      <c r="I356" s="44"/>
      <c r="J356" s="44"/>
      <c r="K356" s="44"/>
      <c r="L356" s="44"/>
      <c r="M356" s="44"/>
      <c r="N356" s="44"/>
      <c r="O356" s="44"/>
    </row>
    <row r="357" spans="1:15" ht="17.25" customHeight="1">
      <c r="A357" s="44"/>
      <c r="B357" s="44"/>
      <c r="C357" s="44"/>
      <c r="D357" s="44"/>
      <c r="E357" s="44"/>
      <c r="F357" s="44"/>
      <c r="G357" s="44"/>
      <c r="H357" s="44"/>
      <c r="I357" s="44"/>
      <c r="J357" s="44"/>
      <c r="K357" s="44"/>
      <c r="L357" s="44"/>
      <c r="M357" s="44"/>
      <c r="N357" s="44"/>
      <c r="O357" s="44"/>
    </row>
    <row r="358" spans="1:15" ht="17.25" customHeight="1">
      <c r="A358" s="44"/>
      <c r="B358" s="44"/>
      <c r="C358" s="44"/>
      <c r="D358" s="44"/>
      <c r="E358" s="44"/>
      <c r="F358" s="44"/>
      <c r="G358" s="44"/>
      <c r="H358" s="44"/>
      <c r="I358" s="44"/>
      <c r="J358" s="44"/>
      <c r="K358" s="44"/>
      <c r="L358" s="44"/>
      <c r="M358" s="44"/>
      <c r="N358" s="44"/>
      <c r="O358" s="44"/>
    </row>
    <row r="359" spans="1:15" ht="17.25" customHeight="1">
      <c r="A359" s="44"/>
      <c r="B359" s="44"/>
      <c r="C359" s="44"/>
      <c r="D359" s="44"/>
      <c r="E359" s="44"/>
      <c r="F359" s="44"/>
      <c r="G359" s="44"/>
      <c r="H359" s="44"/>
      <c r="I359" s="44"/>
      <c r="J359" s="44"/>
      <c r="K359" s="44"/>
      <c r="L359" s="44"/>
      <c r="M359" s="44"/>
      <c r="N359" s="44"/>
      <c r="O359" s="44"/>
    </row>
    <row r="360" spans="1:15" ht="17.25" customHeight="1">
      <c r="A360" s="44"/>
      <c r="B360" s="44"/>
      <c r="C360" s="44"/>
      <c r="D360" s="44"/>
      <c r="E360" s="44"/>
      <c r="F360" s="44"/>
      <c r="G360" s="44"/>
      <c r="H360" s="44"/>
      <c r="I360" s="44"/>
      <c r="J360" s="44"/>
      <c r="K360" s="44"/>
      <c r="L360" s="44"/>
      <c r="M360" s="44"/>
      <c r="N360" s="44"/>
      <c r="O360" s="44"/>
    </row>
    <row r="361" spans="1:15" ht="17.25" customHeight="1">
      <c r="A361" s="44"/>
      <c r="B361" s="44"/>
      <c r="C361" s="44"/>
      <c r="D361" s="44"/>
      <c r="E361" s="44"/>
      <c r="F361" s="44"/>
      <c r="G361" s="44"/>
      <c r="H361" s="44"/>
      <c r="I361" s="44"/>
      <c r="J361" s="44"/>
      <c r="K361" s="44"/>
      <c r="L361" s="44"/>
      <c r="M361" s="44"/>
      <c r="N361" s="44"/>
      <c r="O361" s="44"/>
    </row>
    <row r="362" spans="1:15" ht="17.25" customHeight="1">
      <c r="A362" s="44"/>
      <c r="B362" s="44"/>
      <c r="C362" s="44"/>
      <c r="D362" s="44"/>
      <c r="E362" s="44"/>
      <c r="F362" s="44"/>
      <c r="G362" s="44"/>
      <c r="H362" s="44"/>
      <c r="I362" s="44"/>
      <c r="J362" s="44"/>
      <c r="K362" s="44"/>
      <c r="L362" s="44"/>
      <c r="M362" s="44"/>
      <c r="N362" s="44"/>
      <c r="O362" s="44"/>
    </row>
    <row r="363" spans="1:15" ht="17.25" customHeight="1">
      <c r="A363" s="44"/>
      <c r="B363" s="44"/>
      <c r="C363" s="44"/>
      <c r="D363" s="44"/>
      <c r="E363" s="44"/>
      <c r="F363" s="44"/>
      <c r="G363" s="44"/>
      <c r="H363" s="44"/>
      <c r="I363" s="44"/>
      <c r="J363" s="44"/>
      <c r="K363" s="44"/>
      <c r="L363" s="44"/>
      <c r="M363" s="44"/>
      <c r="N363" s="44"/>
      <c r="O363" s="44"/>
    </row>
    <row r="364" spans="1:15" ht="17.25" customHeight="1">
      <c r="A364" s="44"/>
      <c r="B364" s="44"/>
      <c r="C364" s="44"/>
      <c r="D364" s="44"/>
      <c r="E364" s="44"/>
      <c r="F364" s="44"/>
      <c r="G364" s="44"/>
      <c r="H364" s="44"/>
      <c r="I364" s="44"/>
      <c r="J364" s="44"/>
      <c r="K364" s="44"/>
      <c r="L364" s="44"/>
      <c r="M364" s="44"/>
      <c r="N364" s="44"/>
      <c r="O364" s="44"/>
    </row>
    <row r="365" spans="1:15" ht="17.25" customHeight="1">
      <c r="A365" s="44"/>
      <c r="B365" s="44"/>
      <c r="C365" s="44"/>
      <c r="D365" s="44"/>
      <c r="E365" s="44"/>
      <c r="F365" s="44"/>
      <c r="G365" s="44"/>
      <c r="H365" s="44"/>
      <c r="I365" s="44"/>
      <c r="J365" s="44"/>
      <c r="K365" s="44"/>
      <c r="L365" s="44"/>
      <c r="M365" s="44"/>
      <c r="N365" s="44"/>
      <c r="O365" s="44"/>
    </row>
    <row r="366" spans="1:15" ht="17.25" customHeight="1">
      <c r="A366" s="44"/>
      <c r="B366" s="44"/>
      <c r="C366" s="44"/>
      <c r="D366" s="44"/>
      <c r="E366" s="44"/>
      <c r="F366" s="44"/>
      <c r="G366" s="44"/>
      <c r="H366" s="44"/>
      <c r="I366" s="44"/>
      <c r="J366" s="44"/>
      <c r="K366" s="44"/>
      <c r="L366" s="44"/>
      <c r="M366" s="44"/>
      <c r="N366" s="44"/>
      <c r="O366" s="44"/>
    </row>
    <row r="367" spans="1:15" ht="17.25" customHeight="1">
      <c r="A367" s="44"/>
      <c r="B367" s="44"/>
      <c r="C367" s="44"/>
      <c r="D367" s="44"/>
      <c r="E367" s="44"/>
      <c r="F367" s="44"/>
      <c r="G367" s="44"/>
      <c r="H367" s="44"/>
      <c r="I367" s="44"/>
      <c r="J367" s="44"/>
      <c r="K367" s="44"/>
      <c r="L367" s="44"/>
      <c r="M367" s="44"/>
      <c r="N367" s="44"/>
      <c r="O367" s="44"/>
    </row>
    <row r="368" spans="1:15" ht="17.25" customHeight="1">
      <c r="A368" s="44"/>
      <c r="B368" s="44"/>
      <c r="C368" s="44"/>
      <c r="D368" s="44"/>
      <c r="E368" s="44"/>
      <c r="F368" s="44"/>
      <c r="G368" s="44"/>
      <c r="H368" s="44"/>
      <c r="I368" s="44"/>
      <c r="J368" s="44"/>
      <c r="K368" s="44"/>
      <c r="L368" s="44"/>
      <c r="M368" s="44"/>
      <c r="N368" s="44"/>
      <c r="O368" s="44"/>
    </row>
    <row r="369" spans="1:15" ht="17.25" customHeight="1">
      <c r="A369" s="44"/>
      <c r="B369" s="44"/>
      <c r="C369" s="44"/>
      <c r="D369" s="44"/>
      <c r="E369" s="44"/>
      <c r="F369" s="44"/>
      <c r="G369" s="44"/>
      <c r="H369" s="44"/>
      <c r="I369" s="44"/>
      <c r="J369" s="44"/>
      <c r="K369" s="44"/>
      <c r="L369" s="44"/>
      <c r="M369" s="44"/>
      <c r="N369" s="44"/>
      <c r="O369" s="44"/>
    </row>
    <row r="370" spans="1:15" ht="17.25" customHeight="1">
      <c r="A370" s="44"/>
      <c r="B370" s="44"/>
      <c r="C370" s="44"/>
      <c r="D370" s="44"/>
      <c r="E370" s="44"/>
      <c r="F370" s="44"/>
      <c r="G370" s="44"/>
      <c r="H370" s="44"/>
      <c r="I370" s="44"/>
      <c r="J370" s="44"/>
      <c r="K370" s="44"/>
      <c r="L370" s="44"/>
      <c r="M370" s="44"/>
      <c r="N370" s="44"/>
      <c r="O370" s="44"/>
    </row>
    <row r="371" spans="1:15" ht="17.25" customHeight="1">
      <c r="A371" s="44"/>
      <c r="B371" s="44"/>
      <c r="C371" s="44"/>
      <c r="D371" s="44"/>
      <c r="E371" s="44"/>
      <c r="F371" s="44"/>
      <c r="G371" s="44"/>
      <c r="H371" s="44"/>
      <c r="I371" s="44"/>
      <c r="J371" s="44"/>
      <c r="K371" s="44"/>
      <c r="L371" s="44"/>
      <c r="M371" s="44"/>
      <c r="N371" s="44"/>
      <c r="O371" s="44"/>
    </row>
    <row r="372" spans="1:15" ht="17.25" customHeight="1">
      <c r="A372" s="44"/>
      <c r="B372" s="44"/>
      <c r="C372" s="44"/>
      <c r="D372" s="44"/>
      <c r="E372" s="44"/>
      <c r="F372" s="44"/>
      <c r="G372" s="44"/>
      <c r="H372" s="44"/>
      <c r="I372" s="44"/>
      <c r="J372" s="44"/>
      <c r="K372" s="44"/>
      <c r="L372" s="44"/>
      <c r="M372" s="44"/>
      <c r="N372" s="44"/>
      <c r="O372" s="44"/>
    </row>
    <row r="373" spans="1:15" ht="17.25" customHeight="1">
      <c r="A373" s="44"/>
      <c r="B373" s="44"/>
      <c r="C373" s="44"/>
      <c r="D373" s="44"/>
      <c r="E373" s="44"/>
      <c r="F373" s="44"/>
      <c r="G373" s="44"/>
      <c r="H373" s="44"/>
      <c r="I373" s="44"/>
      <c r="J373" s="44"/>
      <c r="K373" s="44"/>
      <c r="L373" s="44"/>
      <c r="M373" s="44"/>
      <c r="N373" s="44"/>
      <c r="O373" s="44"/>
    </row>
    <row r="374" spans="1:15" ht="17.25" customHeight="1">
      <c r="A374" s="44"/>
      <c r="B374" s="44"/>
      <c r="C374" s="44"/>
      <c r="D374" s="44"/>
      <c r="E374" s="44"/>
      <c r="F374" s="44"/>
      <c r="G374" s="44"/>
      <c r="H374" s="44"/>
      <c r="I374" s="44"/>
      <c r="J374" s="44"/>
      <c r="K374" s="44"/>
      <c r="L374" s="44"/>
      <c r="M374" s="44"/>
      <c r="N374" s="44"/>
      <c r="O374" s="44"/>
    </row>
    <row r="375" spans="1:15" ht="17.25" customHeight="1">
      <c r="A375" s="44"/>
      <c r="B375" s="44"/>
      <c r="C375" s="44"/>
      <c r="D375" s="44"/>
      <c r="E375" s="44"/>
      <c r="F375" s="44"/>
      <c r="G375" s="44"/>
      <c r="H375" s="44"/>
      <c r="I375" s="44"/>
      <c r="J375" s="44"/>
      <c r="K375" s="44"/>
      <c r="L375" s="44"/>
      <c r="M375" s="44"/>
      <c r="N375" s="44"/>
      <c r="O375" s="44"/>
    </row>
    <row r="376" spans="1:15" ht="17.25" customHeight="1">
      <c r="A376" s="44"/>
      <c r="B376" s="44"/>
      <c r="C376" s="44"/>
      <c r="D376" s="44"/>
      <c r="E376" s="44"/>
      <c r="F376" s="44"/>
      <c r="G376" s="44"/>
      <c r="H376" s="44"/>
      <c r="I376" s="44"/>
      <c r="J376" s="44"/>
      <c r="K376" s="44"/>
      <c r="L376" s="44"/>
      <c r="M376" s="44"/>
      <c r="N376" s="44"/>
      <c r="O376" s="44"/>
    </row>
    <row r="377" spans="1:15" ht="17.25" customHeight="1">
      <c r="A377" s="44"/>
      <c r="B377" s="44"/>
      <c r="C377" s="44"/>
      <c r="D377" s="44"/>
      <c r="E377" s="44"/>
      <c r="F377" s="44"/>
      <c r="G377" s="44"/>
      <c r="H377" s="44"/>
      <c r="I377" s="44"/>
      <c r="J377" s="44"/>
      <c r="K377" s="44"/>
      <c r="L377" s="44"/>
      <c r="M377" s="44"/>
      <c r="N377" s="44"/>
      <c r="O377" s="44"/>
    </row>
    <row r="378" spans="1:15" ht="17.25" customHeight="1">
      <c r="A378" s="44"/>
      <c r="B378" s="44"/>
      <c r="C378" s="44"/>
      <c r="D378" s="44"/>
      <c r="E378" s="44"/>
      <c r="F378" s="44"/>
      <c r="G378" s="44"/>
      <c r="H378" s="44"/>
      <c r="I378" s="44"/>
      <c r="J378" s="44"/>
      <c r="K378" s="44"/>
      <c r="L378" s="44"/>
      <c r="M378" s="44"/>
      <c r="N378" s="44"/>
      <c r="O378" s="44"/>
    </row>
    <row r="379" spans="1:15" ht="17.25" customHeight="1">
      <c r="A379" s="44"/>
      <c r="B379" s="44"/>
      <c r="C379" s="44"/>
      <c r="D379" s="44"/>
      <c r="E379" s="44"/>
      <c r="F379" s="44"/>
      <c r="G379" s="44"/>
      <c r="H379" s="44"/>
      <c r="I379" s="44"/>
      <c r="J379" s="44"/>
      <c r="K379" s="44"/>
      <c r="L379" s="44"/>
      <c r="M379" s="44"/>
      <c r="N379" s="44"/>
      <c r="O379" s="44"/>
    </row>
    <row r="380" spans="1:15" ht="17.25" customHeight="1">
      <c r="A380" s="44"/>
      <c r="B380" s="44"/>
      <c r="C380" s="44"/>
      <c r="D380" s="44"/>
      <c r="E380" s="44"/>
      <c r="F380" s="44"/>
      <c r="G380" s="44"/>
      <c r="H380" s="44"/>
      <c r="I380" s="44"/>
      <c r="J380" s="44"/>
      <c r="K380" s="44"/>
      <c r="L380" s="44"/>
      <c r="M380" s="44"/>
      <c r="N380" s="44"/>
      <c r="O380" s="44"/>
    </row>
    <row r="381" spans="1:15" ht="17.25" customHeight="1">
      <c r="A381" s="44"/>
      <c r="B381" s="44"/>
      <c r="C381" s="44"/>
      <c r="D381" s="44"/>
      <c r="E381" s="44"/>
      <c r="F381" s="44"/>
      <c r="G381" s="44"/>
      <c r="H381" s="44"/>
      <c r="I381" s="44"/>
      <c r="J381" s="44"/>
      <c r="K381" s="44"/>
      <c r="L381" s="44"/>
      <c r="M381" s="44"/>
      <c r="N381" s="44"/>
      <c r="O381" s="44"/>
    </row>
    <row r="382" spans="1:15" ht="17.25" customHeight="1">
      <c r="A382" s="44"/>
      <c r="B382" s="44"/>
      <c r="C382" s="44"/>
      <c r="D382" s="44"/>
      <c r="E382" s="44"/>
      <c r="F382" s="44"/>
      <c r="G382" s="44"/>
      <c r="H382" s="44"/>
      <c r="I382" s="44"/>
      <c r="J382" s="44"/>
      <c r="K382" s="44"/>
      <c r="L382" s="44"/>
      <c r="M382" s="44"/>
      <c r="N382" s="44"/>
      <c r="O382" s="44"/>
    </row>
    <row r="383" spans="1:15" ht="17.25" customHeight="1">
      <c r="A383" s="44"/>
      <c r="B383" s="44"/>
      <c r="C383" s="44"/>
      <c r="D383" s="44"/>
      <c r="E383" s="44"/>
      <c r="F383" s="44"/>
      <c r="G383" s="44"/>
      <c r="H383" s="44"/>
      <c r="I383" s="44"/>
      <c r="J383" s="44"/>
      <c r="K383" s="44"/>
      <c r="L383" s="44"/>
      <c r="M383" s="44"/>
      <c r="N383" s="44"/>
      <c r="O383" s="44"/>
    </row>
    <row r="384" spans="1:15" ht="17.25" customHeight="1">
      <c r="A384" s="44"/>
      <c r="B384" s="44"/>
      <c r="C384" s="44"/>
      <c r="D384" s="44"/>
      <c r="E384" s="44"/>
      <c r="F384" s="44"/>
      <c r="G384" s="44"/>
      <c r="H384" s="44"/>
      <c r="I384" s="44"/>
      <c r="J384" s="44"/>
      <c r="K384" s="44"/>
      <c r="L384" s="44"/>
      <c r="M384" s="44"/>
      <c r="N384" s="44"/>
      <c r="O384" s="44"/>
    </row>
    <row r="385" spans="1:15" ht="17.25" customHeight="1">
      <c r="A385" s="44"/>
      <c r="B385" s="44"/>
      <c r="C385" s="44"/>
      <c r="D385" s="44"/>
      <c r="E385" s="44"/>
      <c r="F385" s="44"/>
      <c r="G385" s="44"/>
      <c r="H385" s="44"/>
      <c r="I385" s="44"/>
      <c r="J385" s="44"/>
      <c r="K385" s="44"/>
      <c r="L385" s="44"/>
      <c r="M385" s="44"/>
      <c r="N385" s="44"/>
      <c r="O385" s="44"/>
    </row>
    <row r="386" spans="1:15" ht="17.25" customHeight="1">
      <c r="A386" s="44"/>
      <c r="B386" s="44"/>
      <c r="C386" s="44"/>
      <c r="D386" s="44"/>
      <c r="E386" s="44"/>
      <c r="F386" s="44"/>
      <c r="G386" s="44"/>
      <c r="H386" s="44"/>
      <c r="I386" s="44"/>
      <c r="J386" s="44"/>
      <c r="K386" s="44"/>
      <c r="L386" s="44"/>
      <c r="M386" s="44"/>
      <c r="N386" s="44"/>
      <c r="O386" s="44"/>
    </row>
    <row r="387" spans="1:15" ht="17.25" customHeight="1">
      <c r="A387" s="44"/>
      <c r="B387" s="44"/>
      <c r="C387" s="44"/>
      <c r="D387" s="44"/>
      <c r="E387" s="44"/>
      <c r="F387" s="44"/>
      <c r="G387" s="44"/>
      <c r="H387" s="44"/>
      <c r="I387" s="44"/>
      <c r="J387" s="44"/>
      <c r="K387" s="44"/>
      <c r="L387" s="44"/>
      <c r="M387" s="44"/>
      <c r="N387" s="44"/>
      <c r="O387" s="44"/>
    </row>
    <row r="388" spans="1:15" ht="17.25" customHeight="1">
      <c r="A388" s="44"/>
      <c r="B388" s="44"/>
      <c r="C388" s="44"/>
      <c r="D388" s="44"/>
      <c r="E388" s="44"/>
      <c r="F388" s="44"/>
      <c r="G388" s="44"/>
      <c r="H388" s="44"/>
      <c r="I388" s="44"/>
      <c r="J388" s="44"/>
      <c r="K388" s="44"/>
      <c r="L388" s="44"/>
      <c r="M388" s="44"/>
      <c r="N388" s="44"/>
      <c r="O388" s="44"/>
    </row>
    <row r="389" spans="1:15" ht="17.25" customHeight="1">
      <c r="A389" s="44"/>
      <c r="B389" s="44"/>
      <c r="C389" s="44"/>
      <c r="D389" s="44"/>
      <c r="E389" s="44"/>
      <c r="F389" s="44"/>
      <c r="G389" s="44"/>
      <c r="H389" s="44"/>
      <c r="I389" s="44"/>
      <c r="J389" s="44"/>
      <c r="K389" s="44"/>
      <c r="L389" s="44"/>
      <c r="M389" s="44"/>
      <c r="N389" s="44"/>
      <c r="O389" s="44"/>
    </row>
    <row r="390" spans="1:15" ht="17.25" customHeight="1">
      <c r="A390" s="44"/>
      <c r="B390" s="44"/>
      <c r="C390" s="44"/>
      <c r="D390" s="44"/>
      <c r="E390" s="44"/>
      <c r="F390" s="44"/>
      <c r="G390" s="44"/>
      <c r="H390" s="44"/>
      <c r="I390" s="44"/>
      <c r="J390" s="44"/>
      <c r="K390" s="44"/>
      <c r="L390" s="44"/>
      <c r="M390" s="44"/>
      <c r="N390" s="44"/>
      <c r="O390" s="44"/>
    </row>
    <row r="391" spans="1:15" ht="17.25" customHeight="1">
      <c r="A391" s="44"/>
      <c r="B391" s="44"/>
      <c r="C391" s="44"/>
      <c r="D391" s="44"/>
      <c r="E391" s="44"/>
      <c r="F391" s="44"/>
      <c r="G391" s="44"/>
      <c r="H391" s="44"/>
      <c r="I391" s="44"/>
      <c r="J391" s="44"/>
      <c r="K391" s="44"/>
      <c r="L391" s="44"/>
      <c r="M391" s="44"/>
      <c r="N391" s="44"/>
      <c r="O391" s="44"/>
    </row>
    <row r="392" spans="1:15" ht="17.25" customHeight="1">
      <c r="A392" s="44"/>
      <c r="B392" s="44"/>
      <c r="C392" s="44"/>
      <c r="D392" s="44"/>
      <c r="E392" s="44"/>
      <c r="F392" s="44"/>
      <c r="G392" s="44"/>
      <c r="H392" s="44"/>
      <c r="I392" s="44"/>
      <c r="J392" s="44"/>
      <c r="K392" s="44"/>
      <c r="L392" s="44"/>
      <c r="M392" s="44"/>
      <c r="N392" s="44"/>
      <c r="O392" s="44"/>
    </row>
    <row r="393" spans="1:15" ht="17.25" customHeight="1">
      <c r="A393" s="44"/>
      <c r="B393" s="44"/>
      <c r="C393" s="44"/>
      <c r="D393" s="44"/>
      <c r="E393" s="44"/>
      <c r="F393" s="44"/>
      <c r="G393" s="44"/>
      <c r="H393" s="44"/>
      <c r="I393" s="44"/>
      <c r="J393" s="44"/>
      <c r="K393" s="44"/>
      <c r="L393" s="44"/>
      <c r="M393" s="44"/>
      <c r="N393" s="44"/>
      <c r="O393" s="44"/>
    </row>
    <row r="394" spans="1:15" ht="17.25" customHeight="1">
      <c r="A394" s="44"/>
      <c r="B394" s="44"/>
      <c r="C394" s="44"/>
      <c r="D394" s="44"/>
      <c r="E394" s="44"/>
      <c r="F394" s="44"/>
      <c r="G394" s="44"/>
      <c r="H394" s="44"/>
      <c r="I394" s="44"/>
      <c r="J394" s="44"/>
      <c r="K394" s="44"/>
      <c r="L394" s="44"/>
      <c r="M394" s="44"/>
      <c r="N394" s="44"/>
      <c r="O394" s="44"/>
    </row>
    <row r="395" spans="1:15" ht="17.25" customHeight="1">
      <c r="A395" s="44"/>
      <c r="B395" s="44"/>
      <c r="C395" s="44"/>
      <c r="D395" s="44"/>
      <c r="E395" s="44"/>
      <c r="F395" s="44"/>
      <c r="G395" s="44"/>
      <c r="H395" s="44"/>
      <c r="I395" s="44"/>
      <c r="J395" s="44"/>
      <c r="K395" s="44"/>
      <c r="L395" s="44"/>
      <c r="M395" s="44"/>
      <c r="N395" s="44"/>
      <c r="O395" s="44"/>
    </row>
    <row r="396" spans="1:15" ht="17.25" customHeight="1">
      <c r="A396" s="44"/>
      <c r="B396" s="44"/>
      <c r="C396" s="44"/>
      <c r="D396" s="44"/>
      <c r="E396" s="44"/>
      <c r="F396" s="44"/>
      <c r="G396" s="44"/>
      <c r="H396" s="44"/>
      <c r="I396" s="44"/>
      <c r="J396" s="44"/>
      <c r="K396" s="44"/>
      <c r="L396" s="44"/>
      <c r="M396" s="44"/>
      <c r="N396" s="44"/>
      <c r="O396" s="44"/>
    </row>
    <row r="397" spans="1:15" ht="17.25" customHeight="1">
      <c r="A397" s="44"/>
      <c r="B397" s="44"/>
      <c r="C397" s="44"/>
      <c r="D397" s="44"/>
      <c r="E397" s="44"/>
      <c r="F397" s="44"/>
      <c r="G397" s="44"/>
      <c r="H397" s="44"/>
      <c r="I397" s="44"/>
      <c r="J397" s="44"/>
      <c r="K397" s="44"/>
      <c r="L397" s="44"/>
      <c r="M397" s="44"/>
      <c r="N397" s="44"/>
      <c r="O397" s="44"/>
    </row>
    <row r="398" spans="1:15" ht="17.25" customHeight="1">
      <c r="A398" s="44"/>
      <c r="B398" s="44"/>
      <c r="C398" s="44"/>
      <c r="D398" s="44"/>
      <c r="E398" s="44"/>
      <c r="F398" s="44"/>
      <c r="G398" s="44"/>
      <c r="H398" s="44"/>
      <c r="I398" s="44"/>
      <c r="J398" s="44"/>
      <c r="K398" s="44"/>
      <c r="L398" s="44"/>
      <c r="M398" s="44"/>
      <c r="N398" s="44"/>
      <c r="O398" s="44"/>
    </row>
    <row r="399" spans="1:15" ht="17.25" customHeight="1">
      <c r="A399" s="44"/>
      <c r="B399" s="44"/>
      <c r="C399" s="44"/>
      <c r="D399" s="44"/>
      <c r="E399" s="44"/>
      <c r="F399" s="44"/>
      <c r="G399" s="44"/>
      <c r="H399" s="44"/>
      <c r="I399" s="44"/>
      <c r="J399" s="44"/>
      <c r="K399" s="44"/>
      <c r="L399" s="44"/>
      <c r="M399" s="44"/>
      <c r="N399" s="44"/>
      <c r="O399" s="44"/>
    </row>
    <row r="400" spans="1:15" ht="17.25" customHeight="1">
      <c r="A400" s="44"/>
      <c r="B400" s="44"/>
      <c r="C400" s="44"/>
      <c r="D400" s="44"/>
      <c r="E400" s="44"/>
      <c r="F400" s="44"/>
      <c r="G400" s="44"/>
      <c r="H400" s="44"/>
      <c r="I400" s="44"/>
      <c r="J400" s="44"/>
      <c r="K400" s="44"/>
      <c r="L400" s="44"/>
      <c r="M400" s="44"/>
      <c r="N400" s="44"/>
      <c r="O400" s="44"/>
    </row>
    <row r="401" spans="1:15" ht="17.25" customHeight="1">
      <c r="A401" s="44"/>
      <c r="B401" s="44"/>
      <c r="C401" s="44"/>
      <c r="D401" s="44"/>
      <c r="E401" s="44"/>
      <c r="F401" s="44"/>
      <c r="G401" s="44"/>
      <c r="H401" s="44"/>
      <c r="I401" s="44"/>
      <c r="J401" s="44"/>
      <c r="K401" s="44"/>
      <c r="L401" s="44"/>
      <c r="M401" s="44"/>
      <c r="N401" s="44"/>
      <c r="O401" s="44"/>
    </row>
    <row r="402" spans="1:15" ht="17.25" customHeight="1">
      <c r="A402" s="44"/>
      <c r="B402" s="44"/>
      <c r="C402" s="44"/>
      <c r="D402" s="44"/>
      <c r="E402" s="44"/>
      <c r="F402" s="44"/>
      <c r="G402" s="44"/>
      <c r="H402" s="44"/>
      <c r="I402" s="44"/>
      <c r="J402" s="44"/>
      <c r="K402" s="44"/>
      <c r="L402" s="44"/>
      <c r="M402" s="44"/>
      <c r="N402" s="44"/>
      <c r="O402" s="44"/>
    </row>
    <row r="403" spans="1:15" ht="17.25" customHeight="1">
      <c r="A403" s="44"/>
      <c r="B403" s="44"/>
      <c r="C403" s="44"/>
      <c r="D403" s="44"/>
      <c r="E403" s="44"/>
      <c r="F403" s="44"/>
      <c r="G403" s="44"/>
      <c r="H403" s="44"/>
      <c r="I403" s="44"/>
      <c r="J403" s="44"/>
      <c r="K403" s="44"/>
      <c r="L403" s="44"/>
      <c r="M403" s="44"/>
      <c r="N403" s="44"/>
      <c r="O403" s="44"/>
    </row>
    <row r="404" spans="1:15" ht="17.25" customHeight="1">
      <c r="A404" s="44"/>
      <c r="B404" s="44"/>
      <c r="C404" s="44"/>
      <c r="D404" s="44"/>
      <c r="E404" s="44"/>
      <c r="F404" s="44"/>
      <c r="G404" s="44"/>
      <c r="H404" s="44"/>
      <c r="I404" s="44"/>
      <c r="J404" s="44"/>
      <c r="K404" s="44"/>
      <c r="L404" s="44"/>
      <c r="M404" s="44"/>
      <c r="N404" s="44"/>
      <c r="O404" s="44"/>
    </row>
    <row r="405" spans="1:15" ht="17.25" customHeight="1">
      <c r="A405" s="44"/>
      <c r="B405" s="44"/>
      <c r="C405" s="44"/>
      <c r="D405" s="44"/>
      <c r="E405" s="44"/>
      <c r="F405" s="44"/>
      <c r="G405" s="44"/>
      <c r="H405" s="44"/>
      <c r="I405" s="44"/>
      <c r="J405" s="44"/>
      <c r="K405" s="44"/>
      <c r="L405" s="44"/>
      <c r="M405" s="44"/>
      <c r="N405" s="44"/>
      <c r="O405" s="44"/>
    </row>
    <row r="406" spans="1:15" ht="17.25" customHeight="1">
      <c r="A406" s="44"/>
      <c r="B406" s="44"/>
      <c r="C406" s="44"/>
      <c r="D406" s="44"/>
      <c r="E406" s="44"/>
      <c r="F406" s="44"/>
      <c r="G406" s="44"/>
      <c r="H406" s="44"/>
      <c r="I406" s="44"/>
      <c r="J406" s="44"/>
      <c r="K406" s="44"/>
      <c r="L406" s="44"/>
      <c r="M406" s="44"/>
      <c r="N406" s="44"/>
      <c r="O406" s="44"/>
    </row>
    <row r="407" spans="1:15" ht="17.25" customHeight="1">
      <c r="A407" s="44"/>
      <c r="B407" s="44"/>
      <c r="C407" s="44"/>
      <c r="D407" s="44"/>
      <c r="E407" s="44"/>
      <c r="F407" s="44"/>
      <c r="G407" s="44"/>
      <c r="H407" s="44"/>
      <c r="I407" s="44"/>
      <c r="J407" s="44"/>
      <c r="K407" s="44"/>
      <c r="L407" s="44"/>
      <c r="M407" s="44"/>
      <c r="N407" s="44"/>
      <c r="O407" s="44"/>
    </row>
    <row r="408" spans="1:15" ht="17.25" customHeight="1">
      <c r="A408" s="44"/>
      <c r="B408" s="44"/>
      <c r="C408" s="44"/>
      <c r="D408" s="44"/>
      <c r="E408" s="44"/>
      <c r="F408" s="44"/>
      <c r="G408" s="44"/>
      <c r="H408" s="44"/>
      <c r="I408" s="44"/>
      <c r="J408" s="44"/>
      <c r="K408" s="44"/>
      <c r="L408" s="44"/>
      <c r="M408" s="44"/>
      <c r="N408" s="44"/>
      <c r="O408" s="44"/>
    </row>
    <row r="409" spans="1:15" ht="17.25" customHeight="1">
      <c r="A409" s="44"/>
      <c r="B409" s="44"/>
      <c r="C409" s="44"/>
      <c r="D409" s="44"/>
      <c r="E409" s="44"/>
      <c r="F409" s="44"/>
      <c r="G409" s="44"/>
      <c r="H409" s="44"/>
      <c r="I409" s="44"/>
      <c r="J409" s="44"/>
      <c r="K409" s="44"/>
      <c r="L409" s="44"/>
      <c r="M409" s="44"/>
      <c r="N409" s="44"/>
      <c r="O409" s="44"/>
    </row>
    <row r="410" spans="1:15" ht="17.25" customHeight="1">
      <c r="A410" s="44"/>
      <c r="B410" s="44"/>
      <c r="C410" s="44"/>
      <c r="D410" s="44"/>
      <c r="E410" s="44"/>
      <c r="F410" s="44"/>
      <c r="G410" s="44"/>
      <c r="H410" s="44"/>
      <c r="I410" s="44"/>
      <c r="J410" s="44"/>
      <c r="K410" s="44"/>
      <c r="L410" s="44"/>
      <c r="M410" s="44"/>
      <c r="N410" s="44"/>
      <c r="O410" s="44"/>
    </row>
    <row r="411" spans="1:15" ht="17.25" customHeight="1">
      <c r="A411" s="44"/>
      <c r="B411" s="44"/>
      <c r="C411" s="44"/>
      <c r="D411" s="44"/>
      <c r="E411" s="44"/>
      <c r="F411" s="44"/>
      <c r="G411" s="44"/>
      <c r="H411" s="44"/>
      <c r="I411" s="44"/>
      <c r="J411" s="44"/>
      <c r="K411" s="44"/>
      <c r="L411" s="44"/>
      <c r="M411" s="44"/>
      <c r="N411" s="44"/>
      <c r="O411" s="44"/>
    </row>
    <row r="412" spans="1:15" ht="17.25" customHeight="1">
      <c r="A412" s="44"/>
      <c r="B412" s="44"/>
      <c r="C412" s="44"/>
      <c r="D412" s="44"/>
      <c r="E412" s="44"/>
      <c r="F412" s="44"/>
      <c r="G412" s="44"/>
      <c r="H412" s="44"/>
      <c r="I412" s="44"/>
      <c r="J412" s="44"/>
      <c r="K412" s="44"/>
      <c r="L412" s="44"/>
      <c r="M412" s="44"/>
      <c r="N412" s="44"/>
      <c r="O412" s="44"/>
    </row>
    <row r="413" spans="1:15" ht="17.25" customHeight="1">
      <c r="A413" s="44"/>
      <c r="B413" s="44"/>
      <c r="C413" s="44"/>
      <c r="D413" s="44"/>
      <c r="E413" s="44"/>
      <c r="F413" s="44"/>
      <c r="G413" s="44"/>
      <c r="H413" s="44"/>
      <c r="I413" s="44"/>
      <c r="J413" s="44"/>
      <c r="K413" s="44"/>
      <c r="L413" s="44"/>
      <c r="M413" s="44"/>
      <c r="N413" s="44"/>
      <c r="O413" s="44"/>
    </row>
    <row r="414" spans="1:15" ht="17.25" customHeight="1">
      <c r="A414" s="44"/>
      <c r="B414" s="44"/>
      <c r="C414" s="44"/>
      <c r="D414" s="44"/>
      <c r="E414" s="44"/>
      <c r="F414" s="44"/>
      <c r="G414" s="44"/>
      <c r="H414" s="44"/>
      <c r="I414" s="44"/>
      <c r="J414" s="44"/>
      <c r="K414" s="44"/>
      <c r="L414" s="44"/>
      <c r="M414" s="44"/>
      <c r="N414" s="44"/>
      <c r="O414" s="44"/>
    </row>
    <row r="415" spans="1:15" ht="17.25" customHeight="1">
      <c r="A415" s="44"/>
      <c r="B415" s="44"/>
      <c r="C415" s="44"/>
      <c r="D415" s="44"/>
      <c r="E415" s="44"/>
      <c r="F415" s="44"/>
      <c r="G415" s="44"/>
      <c r="H415" s="44"/>
      <c r="I415" s="44"/>
      <c r="J415" s="44"/>
      <c r="K415" s="44"/>
      <c r="L415" s="44"/>
      <c r="M415" s="44"/>
      <c r="N415" s="44"/>
      <c r="O415" s="44"/>
    </row>
    <row r="416" spans="1:15" ht="17.25" customHeight="1">
      <c r="A416" s="44"/>
      <c r="B416" s="44"/>
      <c r="C416" s="44"/>
      <c r="D416" s="44"/>
      <c r="E416" s="44"/>
      <c r="F416" s="44"/>
      <c r="G416" s="44"/>
      <c r="H416" s="44"/>
      <c r="I416" s="44"/>
      <c r="J416" s="44"/>
      <c r="K416" s="44"/>
      <c r="L416" s="44"/>
      <c r="M416" s="44"/>
      <c r="N416" s="44"/>
      <c r="O416" s="44"/>
    </row>
    <row r="417" spans="1:15" ht="17.25" customHeight="1">
      <c r="A417" s="44"/>
      <c r="B417" s="44"/>
      <c r="C417" s="44"/>
      <c r="D417" s="44"/>
      <c r="E417" s="44"/>
      <c r="F417" s="44"/>
      <c r="G417" s="44"/>
      <c r="H417" s="44"/>
      <c r="I417" s="44"/>
      <c r="J417" s="44"/>
      <c r="K417" s="44"/>
      <c r="L417" s="44"/>
      <c r="M417" s="44"/>
      <c r="N417" s="44"/>
      <c r="O417" s="44"/>
    </row>
    <row r="418" spans="1:15" ht="17.25" customHeight="1">
      <c r="A418" s="44"/>
      <c r="B418" s="44"/>
      <c r="C418" s="44"/>
      <c r="D418" s="44"/>
      <c r="E418" s="44"/>
      <c r="F418" s="44"/>
      <c r="G418" s="44"/>
      <c r="H418" s="44"/>
      <c r="I418" s="44"/>
      <c r="J418" s="44"/>
      <c r="K418" s="44"/>
      <c r="L418" s="44"/>
      <c r="M418" s="44"/>
      <c r="N418" s="44"/>
      <c r="O418" s="44"/>
    </row>
    <row r="419" spans="1:15" ht="17.25" customHeight="1">
      <c r="A419" s="44"/>
      <c r="B419" s="44"/>
      <c r="C419" s="44"/>
      <c r="D419" s="44"/>
      <c r="E419" s="44"/>
      <c r="F419" s="44"/>
      <c r="G419" s="44"/>
      <c r="H419" s="44"/>
      <c r="I419" s="44"/>
      <c r="J419" s="44"/>
      <c r="K419" s="44"/>
      <c r="L419" s="44"/>
      <c r="M419" s="44"/>
      <c r="N419" s="44"/>
      <c r="O419" s="44"/>
    </row>
    <row r="420" spans="1:15" ht="17.25" customHeight="1">
      <c r="A420" s="44"/>
      <c r="B420" s="44"/>
      <c r="C420" s="44"/>
      <c r="D420" s="44"/>
      <c r="E420" s="44"/>
      <c r="F420" s="44"/>
      <c r="G420" s="44"/>
      <c r="H420" s="44"/>
      <c r="I420" s="44"/>
      <c r="J420" s="44"/>
      <c r="K420" s="44"/>
      <c r="L420" s="44"/>
      <c r="M420" s="44"/>
      <c r="N420" s="44"/>
      <c r="O420" s="44"/>
    </row>
    <row r="421" spans="1:15" ht="17.25" customHeight="1">
      <c r="A421" s="44"/>
      <c r="B421" s="44"/>
      <c r="C421" s="44"/>
      <c r="D421" s="44"/>
      <c r="E421" s="44"/>
      <c r="F421" s="44"/>
      <c r="G421" s="44"/>
      <c r="H421" s="44"/>
      <c r="I421" s="44"/>
      <c r="J421" s="44"/>
      <c r="K421" s="44"/>
      <c r="L421" s="44"/>
      <c r="M421" s="44"/>
      <c r="N421" s="44"/>
      <c r="O421" s="44"/>
    </row>
    <row r="422" spans="1:15" ht="17.25" customHeight="1">
      <c r="A422" s="44"/>
      <c r="B422" s="44"/>
      <c r="C422" s="44"/>
      <c r="D422" s="44"/>
      <c r="E422" s="44"/>
      <c r="F422" s="44"/>
      <c r="G422" s="44"/>
      <c r="H422" s="44"/>
      <c r="I422" s="44"/>
      <c r="J422" s="44"/>
      <c r="K422" s="44"/>
      <c r="L422" s="44"/>
      <c r="M422" s="44"/>
      <c r="N422" s="44"/>
      <c r="O422" s="44"/>
    </row>
    <row r="423" spans="1:15" ht="17.25" customHeight="1">
      <c r="A423" s="44"/>
      <c r="B423" s="44"/>
      <c r="C423" s="44"/>
      <c r="D423" s="44"/>
      <c r="E423" s="44"/>
      <c r="F423" s="44"/>
      <c r="G423" s="44"/>
      <c r="H423" s="44"/>
      <c r="I423" s="44"/>
      <c r="J423" s="44"/>
      <c r="K423" s="44"/>
      <c r="L423" s="44"/>
      <c r="M423" s="44"/>
      <c r="N423" s="44"/>
      <c r="O423" s="44"/>
    </row>
    <row r="424" spans="1:15" ht="17.25" customHeight="1">
      <c r="A424" s="44"/>
      <c r="B424" s="44"/>
      <c r="C424" s="44"/>
      <c r="D424" s="44"/>
      <c r="E424" s="44"/>
      <c r="F424" s="44"/>
      <c r="G424" s="44"/>
      <c r="H424" s="44"/>
      <c r="I424" s="44"/>
      <c r="J424" s="44"/>
      <c r="K424" s="44"/>
      <c r="L424" s="44"/>
      <c r="M424" s="44"/>
      <c r="N424" s="44"/>
      <c r="O424" s="44"/>
    </row>
    <row r="425" spans="1:15" ht="17.25" customHeight="1">
      <c r="A425" s="44"/>
      <c r="B425" s="44"/>
      <c r="C425" s="44"/>
      <c r="D425" s="44"/>
      <c r="E425" s="44"/>
      <c r="F425" s="44"/>
      <c r="G425" s="44"/>
      <c r="H425" s="44"/>
      <c r="I425" s="44"/>
      <c r="J425" s="44"/>
      <c r="K425" s="44"/>
      <c r="L425" s="44"/>
      <c r="M425" s="44"/>
      <c r="N425" s="44"/>
      <c r="O425" s="44"/>
    </row>
    <row r="426" spans="1:15" ht="17.25" customHeight="1">
      <c r="A426" s="44"/>
      <c r="B426" s="44"/>
      <c r="C426" s="44"/>
      <c r="D426" s="44"/>
      <c r="E426" s="44"/>
      <c r="F426" s="44"/>
      <c r="G426" s="44"/>
      <c r="H426" s="44"/>
      <c r="I426" s="44"/>
      <c r="J426" s="44"/>
      <c r="K426" s="44"/>
      <c r="L426" s="44"/>
      <c r="M426" s="44"/>
      <c r="N426" s="44"/>
      <c r="O426" s="44"/>
    </row>
    <row r="427" spans="1:15" ht="17.25" customHeight="1">
      <c r="A427" s="44"/>
      <c r="B427" s="44"/>
      <c r="C427" s="44"/>
      <c r="D427" s="44"/>
      <c r="E427" s="44"/>
      <c r="F427" s="44"/>
      <c r="G427" s="44"/>
      <c r="H427" s="44"/>
      <c r="I427" s="44"/>
      <c r="J427" s="44"/>
      <c r="K427" s="44"/>
      <c r="L427" s="44"/>
      <c r="M427" s="44"/>
      <c r="N427" s="44"/>
      <c r="O427" s="44"/>
    </row>
    <row r="428" spans="1:15" ht="17.25" customHeight="1">
      <c r="A428" s="44"/>
      <c r="B428" s="44"/>
      <c r="C428" s="44"/>
      <c r="D428" s="44"/>
      <c r="E428" s="44"/>
      <c r="F428" s="44"/>
      <c r="G428" s="44"/>
      <c r="H428" s="44"/>
      <c r="I428" s="44"/>
      <c r="J428" s="44"/>
      <c r="K428" s="44"/>
      <c r="L428" s="44"/>
      <c r="M428" s="44"/>
      <c r="N428" s="44"/>
      <c r="O428" s="44"/>
    </row>
    <row r="429" spans="1:15" ht="17.25" customHeight="1">
      <c r="A429" s="44"/>
      <c r="B429" s="44"/>
      <c r="C429" s="44"/>
      <c r="D429" s="44"/>
      <c r="E429" s="44"/>
      <c r="F429" s="44"/>
      <c r="G429" s="44"/>
      <c r="H429" s="44"/>
      <c r="I429" s="44"/>
      <c r="J429" s="44"/>
      <c r="K429" s="44"/>
      <c r="L429" s="44"/>
      <c r="M429" s="44"/>
      <c r="N429" s="44"/>
      <c r="O429" s="44"/>
    </row>
    <row r="430" spans="1:15" ht="17.25" customHeight="1">
      <c r="A430" s="44"/>
      <c r="B430" s="44"/>
      <c r="C430" s="44"/>
      <c r="D430" s="44"/>
      <c r="E430" s="44"/>
      <c r="F430" s="44"/>
      <c r="G430" s="44"/>
      <c r="H430" s="44"/>
      <c r="I430" s="44"/>
      <c r="J430" s="44"/>
      <c r="K430" s="44"/>
      <c r="L430" s="44"/>
      <c r="M430" s="44"/>
      <c r="N430" s="44"/>
      <c r="O430" s="44"/>
    </row>
    <row r="431" spans="1:15" ht="17.25" customHeight="1">
      <c r="A431" s="44"/>
      <c r="B431" s="44"/>
      <c r="C431" s="44"/>
      <c r="D431" s="44"/>
      <c r="E431" s="44"/>
      <c r="F431" s="44"/>
      <c r="G431" s="44"/>
      <c r="H431" s="44"/>
      <c r="I431" s="44"/>
      <c r="J431" s="44"/>
      <c r="K431" s="44"/>
      <c r="L431" s="44"/>
      <c r="M431" s="44"/>
      <c r="N431" s="44"/>
      <c r="O431" s="44"/>
    </row>
    <row r="432" spans="1:15" ht="17.25" customHeight="1">
      <c r="A432" s="44"/>
      <c r="B432" s="44"/>
      <c r="C432" s="44"/>
      <c r="D432" s="44"/>
      <c r="E432" s="44"/>
      <c r="F432" s="44"/>
      <c r="G432" s="44"/>
      <c r="H432" s="44"/>
      <c r="I432" s="44"/>
      <c r="J432" s="44"/>
      <c r="K432" s="44"/>
      <c r="L432" s="44"/>
      <c r="M432" s="44"/>
      <c r="N432" s="44"/>
      <c r="O432" s="44"/>
    </row>
    <row r="433" spans="1:15" ht="17.25" customHeight="1">
      <c r="A433" s="44"/>
      <c r="B433" s="44"/>
      <c r="C433" s="44"/>
      <c r="D433" s="44"/>
      <c r="E433" s="44"/>
      <c r="F433" s="44"/>
      <c r="G433" s="44"/>
      <c r="H433" s="44"/>
      <c r="I433" s="44"/>
      <c r="J433" s="44"/>
      <c r="K433" s="44"/>
      <c r="L433" s="44"/>
      <c r="M433" s="44"/>
      <c r="N433" s="44"/>
      <c r="O433" s="44"/>
    </row>
    <row r="434" spans="1:15" ht="17.25" customHeight="1">
      <c r="A434" s="44"/>
      <c r="B434" s="44"/>
      <c r="C434" s="44"/>
      <c r="D434" s="44"/>
      <c r="E434" s="44"/>
      <c r="F434" s="44"/>
      <c r="G434" s="44"/>
      <c r="H434" s="44"/>
      <c r="I434" s="44"/>
      <c r="J434" s="44"/>
      <c r="K434" s="44"/>
      <c r="L434" s="44"/>
      <c r="M434" s="44"/>
      <c r="N434" s="44"/>
      <c r="O434" s="44"/>
    </row>
    <row r="435" spans="1:15" ht="17.25" customHeight="1">
      <c r="A435" s="44"/>
      <c r="B435" s="44"/>
      <c r="C435" s="44"/>
      <c r="D435" s="44"/>
      <c r="E435" s="44"/>
      <c r="F435" s="44"/>
      <c r="G435" s="44"/>
      <c r="H435" s="44"/>
      <c r="I435" s="44"/>
      <c r="J435" s="44"/>
      <c r="K435" s="44"/>
      <c r="L435" s="44"/>
      <c r="M435" s="44"/>
      <c r="N435" s="44"/>
      <c r="O435" s="44"/>
    </row>
    <row r="436" spans="1:15" ht="17.25" customHeight="1">
      <c r="A436" s="44"/>
      <c r="B436" s="44"/>
      <c r="C436" s="44"/>
      <c r="D436" s="44"/>
      <c r="E436" s="44"/>
      <c r="F436" s="44"/>
      <c r="G436" s="44"/>
      <c r="H436" s="44"/>
      <c r="I436" s="44"/>
      <c r="J436" s="44"/>
      <c r="K436" s="44"/>
      <c r="L436" s="44"/>
      <c r="M436" s="44"/>
      <c r="N436" s="44"/>
      <c r="O436" s="44"/>
    </row>
    <row r="437" spans="1:15" ht="17.25" customHeight="1">
      <c r="A437" s="44"/>
      <c r="B437" s="44"/>
      <c r="C437" s="44"/>
      <c r="D437" s="44"/>
      <c r="E437" s="44"/>
      <c r="F437" s="44"/>
      <c r="G437" s="44"/>
      <c r="H437" s="44"/>
      <c r="I437" s="44"/>
      <c r="J437" s="44"/>
      <c r="K437" s="44"/>
      <c r="L437" s="44"/>
      <c r="M437" s="44"/>
      <c r="N437" s="44"/>
      <c r="O437" s="44"/>
    </row>
    <row r="438" spans="1:15" ht="17.25" customHeight="1">
      <c r="A438" s="44"/>
      <c r="B438" s="44"/>
      <c r="C438" s="44"/>
      <c r="D438" s="44"/>
      <c r="E438" s="44"/>
      <c r="F438" s="44"/>
      <c r="G438" s="44"/>
      <c r="H438" s="44"/>
      <c r="I438" s="44"/>
      <c r="J438" s="44"/>
      <c r="K438" s="44"/>
      <c r="L438" s="44"/>
      <c r="M438" s="44"/>
      <c r="N438" s="44"/>
      <c r="O438" s="44"/>
    </row>
    <row r="439" spans="1:15" ht="17.25" customHeight="1">
      <c r="A439" s="44"/>
      <c r="B439" s="44"/>
      <c r="C439" s="44"/>
      <c r="D439" s="44"/>
      <c r="E439" s="44"/>
      <c r="F439" s="44"/>
      <c r="G439" s="44"/>
      <c r="H439" s="44"/>
      <c r="I439" s="44"/>
      <c r="J439" s="44"/>
      <c r="K439" s="44"/>
      <c r="L439" s="44"/>
      <c r="M439" s="44"/>
      <c r="N439" s="44"/>
      <c r="O439" s="44"/>
    </row>
    <row r="440" spans="1:15" ht="17.25" customHeight="1">
      <c r="A440" s="44"/>
      <c r="B440" s="44"/>
      <c r="C440" s="44"/>
      <c r="D440" s="44"/>
      <c r="E440" s="44"/>
      <c r="F440" s="44"/>
      <c r="G440" s="44"/>
      <c r="H440" s="44"/>
      <c r="I440" s="44"/>
      <c r="J440" s="44"/>
      <c r="K440" s="44"/>
      <c r="L440" s="44"/>
      <c r="M440" s="44"/>
      <c r="N440" s="44"/>
      <c r="O440" s="44"/>
    </row>
    <row r="441" spans="1:15" ht="17.25" customHeight="1">
      <c r="A441" s="44"/>
      <c r="B441" s="44"/>
      <c r="C441" s="44"/>
      <c r="D441" s="44"/>
      <c r="E441" s="44"/>
      <c r="F441" s="44"/>
      <c r="G441" s="44"/>
      <c r="H441" s="44"/>
      <c r="I441" s="44"/>
      <c r="J441" s="44"/>
      <c r="K441" s="44"/>
      <c r="L441" s="44"/>
      <c r="M441" s="44"/>
      <c r="N441" s="44"/>
      <c r="O441" s="44"/>
    </row>
    <row r="442" spans="1:15" ht="17.25" customHeight="1">
      <c r="A442" s="44"/>
      <c r="B442" s="44"/>
      <c r="C442" s="44"/>
      <c r="D442" s="44"/>
      <c r="E442" s="44"/>
      <c r="F442" s="44"/>
      <c r="G442" s="44"/>
      <c r="H442" s="44"/>
      <c r="I442" s="44"/>
      <c r="J442" s="44"/>
      <c r="K442" s="44"/>
      <c r="L442" s="44"/>
      <c r="M442" s="44"/>
      <c r="N442" s="44"/>
      <c r="O442" s="44"/>
    </row>
    <row r="443" spans="1:15" ht="17.25" customHeight="1">
      <c r="A443" s="44"/>
      <c r="B443" s="44"/>
      <c r="C443" s="44"/>
      <c r="D443" s="44"/>
      <c r="E443" s="44"/>
      <c r="F443" s="44"/>
      <c r="G443" s="44"/>
      <c r="H443" s="44"/>
      <c r="I443" s="44"/>
      <c r="J443" s="44"/>
      <c r="K443" s="44"/>
      <c r="L443" s="44"/>
      <c r="M443" s="44"/>
      <c r="N443" s="44"/>
      <c r="O443" s="44"/>
    </row>
    <row r="444" spans="1:15" ht="17.25" customHeight="1">
      <c r="A444" s="44"/>
      <c r="B444" s="44"/>
      <c r="C444" s="44"/>
      <c r="D444" s="44"/>
      <c r="E444" s="44"/>
      <c r="F444" s="44"/>
      <c r="G444" s="44"/>
      <c r="H444" s="44"/>
      <c r="I444" s="44"/>
      <c r="J444" s="44"/>
      <c r="K444" s="44"/>
      <c r="L444" s="44"/>
      <c r="M444" s="44"/>
      <c r="N444" s="44"/>
      <c r="O444" s="44"/>
    </row>
    <row r="445" spans="1:15" ht="17.25" customHeight="1">
      <c r="A445" s="44"/>
      <c r="B445" s="44"/>
      <c r="C445" s="44"/>
      <c r="D445" s="44"/>
      <c r="E445" s="44"/>
      <c r="F445" s="44"/>
      <c r="G445" s="44"/>
      <c r="H445" s="44"/>
      <c r="I445" s="44"/>
      <c r="J445" s="44"/>
      <c r="K445" s="44"/>
      <c r="L445" s="44"/>
      <c r="M445" s="44"/>
      <c r="N445" s="44"/>
      <c r="O445" s="44"/>
    </row>
    <row r="446" spans="1:15" ht="17.25" customHeight="1">
      <c r="A446" s="44"/>
      <c r="B446" s="44"/>
      <c r="C446" s="44"/>
      <c r="D446" s="44"/>
      <c r="E446" s="44"/>
      <c r="F446" s="44"/>
      <c r="G446" s="44"/>
      <c r="H446" s="44"/>
      <c r="I446" s="44"/>
      <c r="J446" s="44"/>
      <c r="K446" s="44"/>
      <c r="L446" s="44"/>
      <c r="M446" s="44"/>
      <c r="N446" s="44"/>
      <c r="O446" s="44"/>
    </row>
    <row r="447" spans="1:15" ht="17.25" customHeight="1">
      <c r="A447" s="44"/>
      <c r="B447" s="44"/>
      <c r="C447" s="44"/>
      <c r="D447" s="44"/>
      <c r="E447" s="44"/>
      <c r="F447" s="44"/>
      <c r="G447" s="44"/>
      <c r="H447" s="44"/>
      <c r="I447" s="44"/>
      <c r="J447" s="44"/>
      <c r="K447" s="44"/>
      <c r="L447" s="44"/>
      <c r="M447" s="44"/>
      <c r="N447" s="44"/>
      <c r="O447" s="44"/>
    </row>
    <row r="448" spans="1:15" ht="17.25" customHeight="1">
      <c r="A448" s="44"/>
      <c r="B448" s="44"/>
      <c r="C448" s="44"/>
      <c r="D448" s="44"/>
      <c r="E448" s="44"/>
      <c r="F448" s="44"/>
      <c r="G448" s="44"/>
      <c r="H448" s="44"/>
      <c r="I448" s="44"/>
      <c r="J448" s="44"/>
      <c r="K448" s="44"/>
      <c r="L448" s="44"/>
      <c r="M448" s="44"/>
      <c r="N448" s="44"/>
      <c r="O448" s="44"/>
    </row>
    <row r="449" spans="1:15" ht="17.25" customHeight="1">
      <c r="A449" s="44"/>
      <c r="B449" s="44"/>
      <c r="C449" s="44"/>
      <c r="D449" s="44"/>
      <c r="E449" s="44"/>
      <c r="F449" s="44"/>
      <c r="G449" s="44"/>
      <c r="H449" s="44"/>
      <c r="I449" s="44"/>
      <c r="J449" s="44"/>
      <c r="K449" s="44"/>
      <c r="L449" s="44"/>
      <c r="M449" s="44"/>
      <c r="N449" s="44"/>
      <c r="O449" s="44"/>
    </row>
    <row r="450" spans="1:15" ht="17.25" customHeight="1">
      <c r="A450" s="44"/>
      <c r="B450" s="44"/>
      <c r="C450" s="44"/>
      <c r="D450" s="44"/>
      <c r="E450" s="44"/>
      <c r="F450" s="44"/>
      <c r="G450" s="44"/>
      <c r="H450" s="44"/>
      <c r="I450" s="44"/>
      <c r="J450" s="44"/>
      <c r="K450" s="44"/>
      <c r="L450" s="44"/>
      <c r="M450" s="44"/>
      <c r="N450" s="44"/>
      <c r="O450" s="44"/>
    </row>
    <row r="451" spans="1:15" ht="17.25" customHeight="1">
      <c r="A451" s="44"/>
      <c r="B451" s="44"/>
      <c r="C451" s="44"/>
      <c r="D451" s="44"/>
      <c r="E451" s="44"/>
      <c r="F451" s="44"/>
      <c r="G451" s="44"/>
      <c r="H451" s="44"/>
      <c r="I451" s="44"/>
      <c r="J451" s="44"/>
      <c r="K451" s="44"/>
      <c r="L451" s="44"/>
      <c r="M451" s="44"/>
      <c r="N451" s="44"/>
      <c r="O451" s="44"/>
    </row>
    <row r="452" spans="1:15" ht="17.25" customHeight="1">
      <c r="A452" s="44"/>
      <c r="B452" s="44"/>
      <c r="C452" s="44"/>
      <c r="D452" s="44"/>
      <c r="E452" s="44"/>
      <c r="F452" s="44"/>
      <c r="G452" s="44"/>
      <c r="H452" s="44"/>
      <c r="I452" s="44"/>
      <c r="J452" s="44"/>
      <c r="K452" s="44"/>
      <c r="L452" s="44"/>
      <c r="M452" s="44"/>
      <c r="N452" s="44"/>
      <c r="O452" s="44"/>
    </row>
    <row r="453" spans="1:15" ht="17.25" customHeight="1">
      <c r="A453" s="44"/>
      <c r="B453" s="44"/>
      <c r="C453" s="44"/>
      <c r="D453" s="44"/>
      <c r="E453" s="44"/>
      <c r="F453" s="44"/>
      <c r="G453" s="44"/>
      <c r="H453" s="44"/>
      <c r="I453" s="44"/>
      <c r="J453" s="44"/>
      <c r="K453" s="44"/>
      <c r="L453" s="44"/>
      <c r="M453" s="44"/>
      <c r="N453" s="44"/>
      <c r="O453" s="44"/>
    </row>
    <row r="454" spans="1:15" ht="17.25" customHeight="1">
      <c r="A454" s="44"/>
      <c r="B454" s="44"/>
      <c r="C454" s="44"/>
      <c r="D454" s="44"/>
      <c r="E454" s="44"/>
      <c r="F454" s="44"/>
      <c r="G454" s="44"/>
      <c r="H454" s="44"/>
      <c r="I454" s="44"/>
      <c r="J454" s="44"/>
      <c r="K454" s="44"/>
      <c r="L454" s="44"/>
      <c r="M454" s="44"/>
      <c r="N454" s="44"/>
      <c r="O454" s="44"/>
    </row>
    <row r="455" spans="1:15" ht="17.25" customHeight="1">
      <c r="A455" s="44"/>
      <c r="B455" s="44"/>
      <c r="C455" s="44"/>
      <c r="D455" s="44"/>
      <c r="E455" s="44"/>
      <c r="F455" s="44"/>
      <c r="G455" s="44"/>
      <c r="H455" s="44"/>
      <c r="I455" s="44"/>
      <c r="J455" s="44"/>
      <c r="K455" s="44"/>
      <c r="L455" s="44"/>
      <c r="M455" s="44"/>
      <c r="N455" s="44"/>
      <c r="O455" s="44"/>
    </row>
    <row r="456" spans="1:15" ht="17.25" customHeight="1">
      <c r="A456" s="44"/>
      <c r="B456" s="44"/>
      <c r="C456" s="44"/>
      <c r="D456" s="44"/>
      <c r="E456" s="44"/>
      <c r="F456" s="44"/>
      <c r="G456" s="44"/>
      <c r="H456" s="44"/>
      <c r="I456" s="44"/>
      <c r="J456" s="44"/>
      <c r="K456" s="44"/>
      <c r="L456" s="44"/>
      <c r="M456" s="44"/>
      <c r="N456" s="44"/>
      <c r="O456" s="44"/>
    </row>
    <row r="457" spans="1:15" ht="17.25" customHeight="1">
      <c r="A457" s="44"/>
      <c r="B457" s="44"/>
      <c r="C457" s="44"/>
      <c r="D457" s="44"/>
      <c r="E457" s="44"/>
      <c r="F457" s="44"/>
      <c r="G457" s="44"/>
      <c r="H457" s="44"/>
      <c r="I457" s="44"/>
      <c r="J457" s="44"/>
      <c r="K457" s="44"/>
      <c r="L457" s="44"/>
      <c r="M457" s="44"/>
      <c r="N457" s="44"/>
      <c r="O457" s="44"/>
    </row>
    <row r="458" spans="1:15" ht="17.25" customHeight="1">
      <c r="A458" s="44"/>
      <c r="B458" s="44"/>
      <c r="C458" s="44"/>
      <c r="D458" s="44"/>
      <c r="E458" s="44"/>
      <c r="F458" s="44"/>
      <c r="G458" s="44"/>
      <c r="H458" s="44"/>
      <c r="I458" s="44"/>
      <c r="J458" s="44"/>
      <c r="K458" s="44"/>
      <c r="L458" s="44"/>
      <c r="M458" s="44"/>
      <c r="N458" s="44"/>
      <c r="O458" s="44"/>
    </row>
    <row r="459" spans="1:15" ht="17.25" customHeight="1">
      <c r="A459" s="44"/>
      <c r="B459" s="44"/>
      <c r="C459" s="44"/>
      <c r="D459" s="44"/>
      <c r="E459" s="44"/>
      <c r="F459" s="44"/>
      <c r="G459" s="44"/>
      <c r="H459" s="44"/>
      <c r="I459" s="44"/>
      <c r="J459" s="44"/>
      <c r="K459" s="44"/>
      <c r="L459" s="44"/>
      <c r="M459" s="44"/>
      <c r="N459" s="44"/>
      <c r="O459" s="44"/>
    </row>
    <row r="460" spans="1:15" ht="17.25" customHeight="1">
      <c r="A460" s="44"/>
      <c r="B460" s="44"/>
      <c r="C460" s="44"/>
      <c r="D460" s="44"/>
      <c r="E460" s="44"/>
      <c r="F460" s="44"/>
      <c r="G460" s="44"/>
      <c r="H460" s="44"/>
      <c r="I460" s="44"/>
      <c r="J460" s="44"/>
      <c r="K460" s="44"/>
      <c r="L460" s="44"/>
      <c r="M460" s="44"/>
      <c r="N460" s="44"/>
      <c r="O460" s="44"/>
    </row>
    <row r="461" spans="1:15" ht="17.25" customHeight="1">
      <c r="A461" s="44"/>
      <c r="B461" s="44"/>
      <c r="C461" s="44"/>
      <c r="D461" s="44"/>
      <c r="E461" s="44"/>
      <c r="F461" s="44"/>
      <c r="G461" s="44"/>
      <c r="H461" s="44"/>
      <c r="I461" s="44"/>
      <c r="J461" s="44"/>
      <c r="K461" s="44"/>
      <c r="L461" s="44"/>
      <c r="M461" s="44"/>
      <c r="N461" s="44"/>
      <c r="O461" s="44"/>
    </row>
    <row r="462" spans="1:15" ht="17.25" customHeight="1">
      <c r="A462" s="44"/>
      <c r="B462" s="44"/>
      <c r="C462" s="44"/>
      <c r="D462" s="44"/>
      <c r="E462" s="44"/>
      <c r="F462" s="44"/>
      <c r="G462" s="44"/>
      <c r="H462" s="44"/>
      <c r="I462" s="44"/>
      <c r="J462" s="44"/>
      <c r="K462" s="44"/>
      <c r="L462" s="44"/>
      <c r="M462" s="44"/>
      <c r="N462" s="44"/>
      <c r="O462" s="44"/>
    </row>
    <row r="463" spans="1:15" ht="17.25" customHeight="1">
      <c r="A463" s="44"/>
      <c r="B463" s="44"/>
      <c r="C463" s="44"/>
      <c r="D463" s="44"/>
      <c r="E463" s="44"/>
      <c r="F463" s="44"/>
      <c r="G463" s="44"/>
      <c r="H463" s="44"/>
      <c r="I463" s="44"/>
      <c r="J463" s="44"/>
      <c r="K463" s="44"/>
      <c r="L463" s="44"/>
      <c r="M463" s="44"/>
      <c r="N463" s="44"/>
      <c r="O463" s="44"/>
    </row>
    <row r="464" spans="1:15" ht="17.25" customHeight="1">
      <c r="A464" s="44"/>
      <c r="B464" s="44"/>
      <c r="C464" s="44"/>
      <c r="D464" s="44"/>
      <c r="E464" s="44"/>
      <c r="F464" s="44"/>
      <c r="G464" s="44"/>
      <c r="H464" s="44"/>
      <c r="I464" s="44"/>
      <c r="J464" s="44"/>
      <c r="K464" s="44"/>
      <c r="L464" s="44"/>
      <c r="M464" s="44"/>
      <c r="N464" s="44"/>
      <c r="O464" s="44"/>
    </row>
    <row r="465" spans="1:15" ht="17.25" customHeight="1">
      <c r="A465" s="44"/>
      <c r="B465" s="44"/>
      <c r="C465" s="44"/>
      <c r="D465" s="44"/>
      <c r="E465" s="44"/>
      <c r="F465" s="44"/>
      <c r="G465" s="44"/>
      <c r="H465" s="44"/>
      <c r="I465" s="44"/>
      <c r="J465" s="44"/>
      <c r="K465" s="44"/>
      <c r="L465" s="44"/>
      <c r="M465" s="44"/>
      <c r="N465" s="44"/>
      <c r="O465" s="44"/>
    </row>
    <row r="466" spans="1:15" ht="17.25" customHeight="1">
      <c r="A466" s="44"/>
      <c r="B466" s="44"/>
      <c r="C466" s="44"/>
      <c r="D466" s="44"/>
      <c r="E466" s="44"/>
      <c r="F466" s="44"/>
      <c r="G466" s="44"/>
      <c r="H466" s="44"/>
      <c r="I466" s="44"/>
      <c r="J466" s="44"/>
      <c r="K466" s="44"/>
      <c r="L466" s="44"/>
      <c r="M466" s="44"/>
      <c r="N466" s="44"/>
      <c r="O466" s="44"/>
    </row>
    <row r="467" spans="1:15" ht="17.25" customHeight="1">
      <c r="A467" s="44"/>
      <c r="B467" s="44"/>
      <c r="C467" s="44"/>
      <c r="D467" s="44"/>
      <c r="E467" s="44"/>
      <c r="F467" s="44"/>
      <c r="G467" s="44"/>
      <c r="H467" s="44"/>
      <c r="I467" s="44"/>
      <c r="J467" s="44"/>
      <c r="K467" s="44"/>
      <c r="L467" s="44"/>
      <c r="M467" s="44"/>
      <c r="N467" s="44"/>
      <c r="O467" s="44"/>
    </row>
    <row r="468" spans="1:15" ht="17.25" customHeight="1">
      <c r="A468" s="44"/>
      <c r="B468" s="44"/>
      <c r="C468" s="44"/>
      <c r="D468" s="44"/>
      <c r="E468" s="44"/>
      <c r="F468" s="44"/>
      <c r="G468" s="44"/>
      <c r="H468" s="44"/>
      <c r="I468" s="44"/>
      <c r="J468" s="44"/>
      <c r="K468" s="44"/>
      <c r="L468" s="44"/>
      <c r="M468" s="44"/>
      <c r="N468" s="44"/>
      <c r="O468" s="44"/>
    </row>
    <row r="469" spans="1:15" ht="17.25" customHeight="1">
      <c r="A469" s="44"/>
      <c r="B469" s="44"/>
      <c r="C469" s="44"/>
      <c r="D469" s="44"/>
      <c r="E469" s="44"/>
      <c r="F469" s="44"/>
      <c r="G469" s="44"/>
      <c r="H469" s="44"/>
      <c r="I469" s="44"/>
      <c r="J469" s="44"/>
      <c r="K469" s="44"/>
      <c r="L469" s="44"/>
      <c r="M469" s="44"/>
      <c r="N469" s="44"/>
      <c r="O469" s="44"/>
    </row>
    <row r="470" spans="1:15" ht="17.25" customHeight="1">
      <c r="A470" s="44"/>
      <c r="B470" s="44"/>
      <c r="C470" s="44"/>
      <c r="D470" s="44"/>
      <c r="E470" s="44"/>
      <c r="F470" s="44"/>
      <c r="G470" s="44"/>
      <c r="H470" s="44"/>
      <c r="I470" s="44"/>
      <c r="J470" s="44"/>
      <c r="K470" s="44"/>
      <c r="L470" s="44"/>
      <c r="M470" s="44"/>
      <c r="N470" s="44"/>
      <c r="O470" s="44"/>
    </row>
    <row r="471" spans="1:15" ht="17.25" customHeight="1">
      <c r="A471" s="44"/>
      <c r="B471" s="44"/>
      <c r="C471" s="44"/>
      <c r="D471" s="44"/>
      <c r="E471" s="44"/>
      <c r="F471" s="44"/>
      <c r="G471" s="44"/>
      <c r="H471" s="44"/>
      <c r="I471" s="44"/>
      <c r="J471" s="44"/>
      <c r="K471" s="44"/>
      <c r="L471" s="44"/>
      <c r="M471" s="44"/>
      <c r="N471" s="44"/>
      <c r="O471" s="44"/>
    </row>
    <row r="472" spans="1:15" ht="17.25" customHeight="1">
      <c r="A472" s="44"/>
      <c r="B472" s="44"/>
      <c r="C472" s="44"/>
      <c r="D472" s="44"/>
      <c r="E472" s="44"/>
      <c r="F472" s="44"/>
      <c r="G472" s="44"/>
      <c r="H472" s="44"/>
      <c r="I472" s="44"/>
      <c r="J472" s="44"/>
      <c r="K472" s="44"/>
      <c r="L472" s="44"/>
      <c r="M472" s="44"/>
      <c r="N472" s="44"/>
      <c r="O472" s="44"/>
    </row>
    <row r="473" spans="1:15" ht="17.25" customHeight="1">
      <c r="A473" s="44"/>
      <c r="B473" s="44"/>
      <c r="C473" s="44"/>
      <c r="D473" s="44"/>
      <c r="E473" s="44"/>
      <c r="F473" s="44"/>
      <c r="G473" s="44"/>
      <c r="H473" s="44"/>
      <c r="I473" s="44"/>
      <c r="J473" s="44"/>
      <c r="K473" s="44"/>
      <c r="L473" s="44"/>
      <c r="M473" s="44"/>
      <c r="N473" s="44"/>
      <c r="O473" s="44"/>
    </row>
    <row r="474" spans="1:15" ht="17.25" customHeight="1">
      <c r="A474" s="44"/>
      <c r="B474" s="44"/>
      <c r="C474" s="44"/>
      <c r="D474" s="44"/>
      <c r="E474" s="44"/>
      <c r="F474" s="44"/>
      <c r="G474" s="44"/>
      <c r="H474" s="44"/>
      <c r="I474" s="44"/>
      <c r="J474" s="44"/>
      <c r="K474" s="44"/>
      <c r="L474" s="44"/>
      <c r="M474" s="44"/>
      <c r="N474" s="44"/>
      <c r="O474" s="44"/>
    </row>
    <row r="475" spans="1:15" ht="17.25" customHeight="1">
      <c r="A475" s="44"/>
      <c r="B475" s="44"/>
      <c r="C475" s="44"/>
      <c r="D475" s="44"/>
      <c r="E475" s="44"/>
      <c r="F475" s="44"/>
      <c r="G475" s="44"/>
      <c r="H475" s="44"/>
      <c r="I475" s="44"/>
      <c r="J475" s="44"/>
      <c r="K475" s="44"/>
      <c r="L475" s="44"/>
      <c r="M475" s="44"/>
      <c r="N475" s="44"/>
      <c r="O475" s="44"/>
    </row>
    <row r="476" spans="1:15" ht="17.25" customHeight="1">
      <c r="A476" s="44"/>
      <c r="B476" s="44"/>
      <c r="C476" s="44"/>
      <c r="D476" s="44"/>
      <c r="E476" s="44"/>
      <c r="F476" s="44"/>
      <c r="G476" s="44"/>
      <c r="H476" s="44"/>
      <c r="I476" s="44"/>
      <c r="J476" s="44"/>
      <c r="K476" s="44"/>
      <c r="L476" s="44"/>
      <c r="M476" s="44"/>
      <c r="N476" s="44"/>
      <c r="O476" s="44"/>
    </row>
    <row r="477" spans="1:15" ht="17.25" customHeight="1">
      <c r="A477" s="44"/>
      <c r="B477" s="44"/>
      <c r="C477" s="44"/>
      <c r="D477" s="44"/>
      <c r="E477" s="44"/>
      <c r="F477" s="44"/>
      <c r="G477" s="44"/>
      <c r="H477" s="44"/>
      <c r="I477" s="44"/>
      <c r="J477" s="44"/>
      <c r="K477" s="44"/>
      <c r="L477" s="44"/>
      <c r="M477" s="44"/>
      <c r="N477" s="44"/>
      <c r="O477" s="44"/>
    </row>
    <row r="478" spans="1:15" ht="17.25" customHeight="1">
      <c r="A478" s="44"/>
      <c r="B478" s="44"/>
      <c r="C478" s="44"/>
      <c r="D478" s="44"/>
      <c r="E478" s="44"/>
      <c r="F478" s="44"/>
      <c r="G478" s="44"/>
      <c r="H478" s="44"/>
      <c r="I478" s="44"/>
      <c r="J478" s="44"/>
      <c r="K478" s="44"/>
      <c r="L478" s="44"/>
      <c r="M478" s="44"/>
      <c r="N478" s="44"/>
      <c r="O478" s="44"/>
    </row>
    <row r="479" spans="1:15" ht="17.25" customHeight="1">
      <c r="A479" s="44"/>
      <c r="B479" s="44"/>
      <c r="C479" s="44"/>
      <c r="D479" s="44"/>
      <c r="E479" s="44"/>
      <c r="F479" s="44"/>
      <c r="G479" s="44"/>
      <c r="H479" s="44"/>
      <c r="I479" s="44"/>
      <c r="J479" s="44"/>
      <c r="K479" s="44"/>
      <c r="L479" s="44"/>
      <c r="M479" s="44"/>
      <c r="N479" s="44"/>
      <c r="O479" s="44"/>
    </row>
    <row r="480" spans="1:15" ht="17.25" customHeight="1">
      <c r="A480" s="44"/>
      <c r="B480" s="44"/>
      <c r="C480" s="44"/>
      <c r="D480" s="44"/>
      <c r="E480" s="44"/>
      <c r="F480" s="44"/>
      <c r="G480" s="44"/>
      <c r="H480" s="44"/>
      <c r="I480" s="44"/>
      <c r="J480" s="44"/>
      <c r="K480" s="44"/>
      <c r="L480" s="44"/>
      <c r="M480" s="44"/>
      <c r="N480" s="44"/>
      <c r="O480" s="44"/>
    </row>
    <row r="481" spans="1:15" ht="17.25" customHeight="1">
      <c r="A481" s="44"/>
      <c r="B481" s="44"/>
      <c r="C481" s="44"/>
      <c r="D481" s="44"/>
      <c r="E481" s="44"/>
      <c r="F481" s="44"/>
      <c r="G481" s="44"/>
      <c r="H481" s="44"/>
      <c r="I481" s="44"/>
      <c r="J481" s="44"/>
      <c r="K481" s="44"/>
      <c r="L481" s="44"/>
      <c r="M481" s="44"/>
      <c r="N481" s="44"/>
      <c r="O481" s="44"/>
    </row>
    <row r="482" spans="1:15" ht="17.25" customHeight="1">
      <c r="A482" s="44"/>
      <c r="B482" s="44"/>
      <c r="C482" s="44"/>
      <c r="D482" s="44"/>
      <c r="E482" s="44"/>
      <c r="F482" s="44"/>
      <c r="G482" s="44"/>
      <c r="H482" s="44"/>
      <c r="I482" s="44"/>
      <c r="J482" s="44"/>
      <c r="K482" s="44"/>
      <c r="L482" s="44"/>
      <c r="M482" s="44"/>
      <c r="N482" s="44"/>
      <c r="O482" s="44"/>
    </row>
    <row r="483" spans="1:15" ht="17.25" customHeight="1">
      <c r="A483" s="44"/>
      <c r="B483" s="44"/>
      <c r="C483" s="44"/>
      <c r="D483" s="44"/>
      <c r="E483" s="44"/>
      <c r="F483" s="44"/>
      <c r="G483" s="44"/>
      <c r="H483" s="44"/>
      <c r="I483" s="44"/>
      <c r="J483" s="44"/>
      <c r="K483" s="44"/>
      <c r="L483" s="44"/>
      <c r="M483" s="44"/>
      <c r="N483" s="44"/>
      <c r="O483" s="44"/>
    </row>
    <row r="484" spans="1:15" ht="17.25" customHeight="1">
      <c r="A484" s="44"/>
      <c r="B484" s="44"/>
      <c r="C484" s="44"/>
      <c r="D484" s="44"/>
      <c r="E484" s="44"/>
      <c r="F484" s="44"/>
      <c r="G484" s="44"/>
      <c r="H484" s="44"/>
      <c r="I484" s="44"/>
      <c r="J484" s="44"/>
      <c r="K484" s="44"/>
      <c r="L484" s="44"/>
      <c r="M484" s="44"/>
      <c r="N484" s="44"/>
      <c r="O484" s="44"/>
    </row>
    <row r="485" spans="1:15" ht="17.25" customHeight="1">
      <c r="A485" s="44"/>
      <c r="B485" s="44"/>
      <c r="C485" s="44"/>
      <c r="D485" s="44"/>
      <c r="E485" s="44"/>
      <c r="F485" s="44"/>
      <c r="G485" s="44"/>
      <c r="H485" s="44"/>
      <c r="I485" s="44"/>
      <c r="J485" s="44"/>
      <c r="K485" s="44"/>
      <c r="L485" s="44"/>
      <c r="M485" s="44"/>
      <c r="N485" s="44"/>
      <c r="O485" s="44"/>
    </row>
    <row r="486" spans="1:15" ht="17.25" customHeight="1">
      <c r="A486" s="44"/>
      <c r="B486" s="44"/>
      <c r="C486" s="44"/>
      <c r="D486" s="44"/>
      <c r="E486" s="44"/>
      <c r="F486" s="44"/>
      <c r="G486" s="44"/>
      <c r="H486" s="44"/>
      <c r="I486" s="44"/>
      <c r="J486" s="44"/>
      <c r="K486" s="44"/>
      <c r="L486" s="44"/>
      <c r="M486" s="44"/>
      <c r="N486" s="44"/>
      <c r="O486" s="44"/>
    </row>
    <row r="487" spans="1:15" ht="17.25" customHeight="1">
      <c r="A487" s="44"/>
      <c r="B487" s="44"/>
      <c r="C487" s="44"/>
      <c r="D487" s="44"/>
      <c r="E487" s="44"/>
      <c r="F487" s="44"/>
      <c r="G487" s="44"/>
      <c r="H487" s="44"/>
      <c r="I487" s="44"/>
      <c r="J487" s="44"/>
      <c r="K487" s="44"/>
      <c r="L487" s="44"/>
      <c r="M487" s="44"/>
      <c r="N487" s="44"/>
      <c r="O487" s="44"/>
    </row>
    <row r="488" spans="1:15" ht="17.25" customHeight="1">
      <c r="A488" s="44"/>
      <c r="B488" s="44"/>
      <c r="C488" s="44"/>
      <c r="D488" s="44"/>
      <c r="E488" s="44"/>
      <c r="F488" s="44"/>
      <c r="G488" s="44"/>
      <c r="H488" s="44"/>
      <c r="I488" s="44"/>
      <c r="J488" s="44"/>
      <c r="K488" s="44"/>
      <c r="L488" s="44"/>
      <c r="M488" s="44"/>
      <c r="N488" s="44"/>
      <c r="O488" s="44"/>
    </row>
    <row r="489" spans="1:15" ht="17.25" customHeight="1">
      <c r="A489" s="44"/>
      <c r="B489" s="44"/>
      <c r="C489" s="44"/>
      <c r="D489" s="44"/>
      <c r="E489" s="44"/>
      <c r="F489" s="44"/>
      <c r="G489" s="44"/>
      <c r="H489" s="44"/>
      <c r="I489" s="44"/>
      <c r="J489" s="44"/>
      <c r="K489" s="44"/>
      <c r="L489" s="44"/>
      <c r="M489" s="44"/>
      <c r="N489" s="44"/>
      <c r="O489" s="44"/>
    </row>
    <row r="490" spans="1:15" ht="17.25" customHeight="1">
      <c r="A490" s="44"/>
      <c r="B490" s="44"/>
      <c r="C490" s="44"/>
      <c r="D490" s="44"/>
      <c r="E490" s="44"/>
      <c r="F490" s="44"/>
      <c r="G490" s="44"/>
      <c r="H490" s="44"/>
      <c r="I490" s="44"/>
      <c r="J490" s="44"/>
      <c r="K490" s="44"/>
      <c r="L490" s="44"/>
      <c r="M490" s="44"/>
      <c r="N490" s="44"/>
      <c r="O490" s="44"/>
    </row>
    <row r="491" spans="1:15" ht="17.25" customHeight="1">
      <c r="A491" s="44"/>
      <c r="B491" s="44"/>
      <c r="C491" s="44"/>
      <c r="D491" s="44"/>
      <c r="E491" s="44"/>
      <c r="F491" s="44"/>
      <c r="G491" s="44"/>
      <c r="H491" s="44"/>
      <c r="I491" s="44"/>
      <c r="J491" s="44"/>
      <c r="K491" s="44"/>
      <c r="L491" s="44"/>
      <c r="M491" s="44"/>
      <c r="N491" s="44"/>
      <c r="O491" s="44"/>
    </row>
    <row r="492" spans="1:15" ht="17.25" customHeight="1">
      <c r="A492" s="44"/>
      <c r="B492" s="44"/>
      <c r="C492" s="44"/>
      <c r="D492" s="44"/>
      <c r="E492" s="44"/>
      <c r="F492" s="44"/>
      <c r="G492" s="44"/>
      <c r="H492" s="44"/>
      <c r="I492" s="44"/>
      <c r="J492" s="44"/>
      <c r="K492" s="44"/>
      <c r="L492" s="44"/>
      <c r="M492" s="44"/>
      <c r="N492" s="44"/>
      <c r="O492" s="44"/>
    </row>
    <row r="493" spans="1:15" ht="17.25" customHeight="1">
      <c r="A493" s="44"/>
      <c r="B493" s="44"/>
      <c r="C493" s="44"/>
      <c r="D493" s="44"/>
      <c r="E493" s="44"/>
      <c r="F493" s="44"/>
      <c r="G493" s="44"/>
      <c r="H493" s="44"/>
      <c r="I493" s="44"/>
      <c r="J493" s="44"/>
      <c r="K493" s="44"/>
      <c r="L493" s="44"/>
      <c r="M493" s="44"/>
      <c r="N493" s="44"/>
      <c r="O493" s="44"/>
    </row>
    <row r="494" spans="1:15" ht="17.25" customHeight="1">
      <c r="A494" s="44"/>
      <c r="B494" s="44"/>
      <c r="C494" s="44"/>
      <c r="D494" s="44"/>
      <c r="E494" s="44"/>
      <c r="F494" s="44"/>
      <c r="G494" s="44"/>
      <c r="H494" s="44"/>
      <c r="I494" s="44"/>
      <c r="J494" s="44"/>
      <c r="K494" s="44"/>
      <c r="L494" s="44"/>
      <c r="M494" s="44"/>
      <c r="N494" s="44"/>
      <c r="O494" s="44"/>
    </row>
    <row r="495" spans="1:15" ht="17.25" customHeight="1">
      <c r="A495" s="44"/>
      <c r="B495" s="44"/>
      <c r="C495" s="44"/>
      <c r="D495" s="44"/>
      <c r="E495" s="44"/>
      <c r="F495" s="44"/>
      <c r="G495" s="44"/>
      <c r="H495" s="44"/>
      <c r="I495" s="44"/>
      <c r="J495" s="44"/>
      <c r="K495" s="44"/>
      <c r="L495" s="44"/>
      <c r="M495" s="44"/>
      <c r="N495" s="44"/>
      <c r="O495" s="44"/>
    </row>
    <row r="496" spans="1:15" ht="17.25" customHeight="1">
      <c r="A496" s="44"/>
      <c r="B496" s="44"/>
      <c r="C496" s="44"/>
      <c r="D496" s="44"/>
      <c r="E496" s="44"/>
      <c r="F496" s="44"/>
      <c r="G496" s="44"/>
      <c r="H496" s="44"/>
      <c r="I496" s="44"/>
      <c r="J496" s="44"/>
      <c r="K496" s="44"/>
      <c r="L496" s="44"/>
      <c r="M496" s="44"/>
      <c r="N496" s="44"/>
      <c r="O496" s="44"/>
    </row>
    <row r="497" spans="1:15" ht="17.25" customHeight="1">
      <c r="A497" s="44"/>
      <c r="B497" s="44"/>
      <c r="C497" s="44"/>
      <c r="D497" s="44"/>
      <c r="E497" s="44"/>
      <c r="F497" s="44"/>
      <c r="G497" s="44"/>
      <c r="H497" s="44"/>
      <c r="I497" s="44"/>
      <c r="J497" s="44"/>
      <c r="K497" s="44"/>
      <c r="L497" s="44"/>
      <c r="M497" s="44"/>
      <c r="N497" s="44"/>
      <c r="O497" s="44"/>
    </row>
    <row r="498" spans="1:15" ht="17.25" customHeight="1">
      <c r="A498" s="44"/>
      <c r="B498" s="44"/>
      <c r="C498" s="44"/>
      <c r="D498" s="44"/>
      <c r="E498" s="44"/>
      <c r="F498" s="44"/>
      <c r="G498" s="44"/>
      <c r="H498" s="44"/>
      <c r="I498" s="44"/>
      <c r="J498" s="44"/>
      <c r="K498" s="44"/>
      <c r="L498" s="44"/>
      <c r="M498" s="44"/>
      <c r="N498" s="44"/>
      <c r="O498" s="44"/>
    </row>
    <row r="499" spans="1:15" ht="17.25" customHeight="1">
      <c r="A499" s="44"/>
      <c r="B499" s="44"/>
      <c r="C499" s="44"/>
      <c r="D499" s="44"/>
      <c r="E499" s="44"/>
      <c r="F499" s="44"/>
      <c r="G499" s="44"/>
      <c r="H499" s="44"/>
      <c r="I499" s="44"/>
      <c r="J499" s="44"/>
      <c r="K499" s="44"/>
      <c r="L499" s="44"/>
      <c r="M499" s="44"/>
      <c r="N499" s="44"/>
      <c r="O499" s="44"/>
    </row>
    <row r="500" spans="1:15" ht="17.25" customHeight="1">
      <c r="A500" s="44"/>
      <c r="B500" s="44"/>
      <c r="C500" s="44"/>
      <c r="D500" s="44"/>
      <c r="E500" s="44"/>
      <c r="F500" s="44"/>
      <c r="G500" s="44"/>
      <c r="H500" s="44"/>
      <c r="I500" s="44"/>
      <c r="J500" s="44"/>
      <c r="K500" s="44"/>
      <c r="L500" s="44"/>
      <c r="M500" s="44"/>
      <c r="N500" s="44"/>
      <c r="O500" s="44"/>
    </row>
    <row r="501" spans="1:15" ht="17.25" customHeight="1">
      <c r="A501" s="44"/>
      <c r="B501" s="44"/>
      <c r="C501" s="44"/>
      <c r="D501" s="44"/>
      <c r="E501" s="44"/>
      <c r="F501" s="44"/>
      <c r="G501" s="44"/>
      <c r="H501" s="44"/>
      <c r="I501" s="44"/>
      <c r="J501" s="44"/>
      <c r="K501" s="44"/>
      <c r="L501" s="44"/>
      <c r="M501" s="44"/>
      <c r="N501" s="44"/>
      <c r="O501" s="44"/>
    </row>
    <row r="502" spans="1:15" ht="17.25" customHeight="1">
      <c r="A502" s="44"/>
      <c r="B502" s="44"/>
      <c r="C502" s="44"/>
      <c r="D502" s="44"/>
      <c r="E502" s="44"/>
      <c r="F502" s="44"/>
      <c r="G502" s="44"/>
      <c r="H502" s="44"/>
      <c r="I502" s="44"/>
      <c r="J502" s="44"/>
      <c r="K502" s="44"/>
      <c r="L502" s="44"/>
      <c r="M502" s="44"/>
      <c r="N502" s="44"/>
      <c r="O502" s="44"/>
    </row>
    <row r="503" spans="1:15" ht="17.25" customHeight="1">
      <c r="A503" s="44"/>
      <c r="B503" s="44"/>
      <c r="C503" s="44"/>
      <c r="D503" s="44"/>
      <c r="E503" s="44"/>
      <c r="F503" s="44"/>
      <c r="G503" s="44"/>
      <c r="H503" s="44"/>
      <c r="I503" s="44"/>
      <c r="J503" s="44"/>
      <c r="K503" s="44"/>
      <c r="L503" s="44"/>
      <c r="M503" s="44"/>
      <c r="N503" s="44"/>
      <c r="O503" s="44"/>
    </row>
    <row r="504" spans="1:15" ht="17.25" customHeight="1">
      <c r="A504" s="44"/>
      <c r="B504" s="44"/>
      <c r="C504" s="44"/>
      <c r="D504" s="44"/>
      <c r="E504" s="44"/>
      <c r="F504" s="44"/>
      <c r="G504" s="44"/>
      <c r="H504" s="44"/>
      <c r="I504" s="44"/>
      <c r="J504" s="44"/>
      <c r="K504" s="44"/>
      <c r="L504" s="44"/>
      <c r="M504" s="44"/>
      <c r="N504" s="44"/>
      <c r="O504" s="44"/>
    </row>
    <row r="505" spans="1:15" ht="17.25" customHeight="1">
      <c r="A505" s="44"/>
      <c r="B505" s="44"/>
      <c r="C505" s="44"/>
      <c r="D505" s="44"/>
      <c r="E505" s="44"/>
      <c r="F505" s="44"/>
      <c r="G505" s="44"/>
      <c r="H505" s="44"/>
      <c r="I505" s="44"/>
      <c r="J505" s="44"/>
      <c r="K505" s="44"/>
      <c r="L505" s="44"/>
      <c r="M505" s="44"/>
      <c r="N505" s="44"/>
      <c r="O505" s="44"/>
    </row>
    <row r="506" spans="1:15" ht="17.25" customHeight="1">
      <c r="A506" s="44"/>
      <c r="B506" s="44"/>
      <c r="C506" s="44"/>
      <c r="D506" s="44"/>
      <c r="E506" s="44"/>
      <c r="F506" s="44"/>
      <c r="G506" s="44"/>
      <c r="H506" s="44"/>
      <c r="I506" s="44"/>
      <c r="J506" s="44"/>
      <c r="K506" s="44"/>
      <c r="L506" s="44"/>
      <c r="M506" s="44"/>
      <c r="N506" s="44"/>
      <c r="O506" s="44"/>
    </row>
    <row r="507" spans="1:15" ht="17.25" customHeight="1">
      <c r="A507" s="44"/>
      <c r="B507" s="44"/>
      <c r="C507" s="44"/>
      <c r="D507" s="44"/>
      <c r="E507" s="44"/>
      <c r="F507" s="44"/>
      <c r="G507" s="44"/>
      <c r="H507" s="44"/>
      <c r="I507" s="44"/>
      <c r="J507" s="44"/>
      <c r="K507" s="44"/>
      <c r="L507" s="44"/>
      <c r="M507" s="44"/>
      <c r="N507" s="44"/>
      <c r="O507" s="44"/>
    </row>
    <row r="508" spans="1:15" ht="17.25" customHeight="1">
      <c r="A508" s="44"/>
      <c r="B508" s="44"/>
      <c r="C508" s="44"/>
      <c r="D508" s="44"/>
      <c r="E508" s="44"/>
      <c r="F508" s="44"/>
      <c r="G508" s="44"/>
      <c r="H508" s="44"/>
      <c r="I508" s="44"/>
      <c r="J508" s="44"/>
      <c r="K508" s="44"/>
      <c r="L508" s="44"/>
      <c r="M508" s="44"/>
      <c r="N508" s="44"/>
      <c r="O508" s="44"/>
    </row>
    <row r="509" spans="1:15" ht="17.25" customHeight="1">
      <c r="A509" s="44"/>
      <c r="B509" s="44"/>
      <c r="C509" s="44"/>
      <c r="D509" s="44"/>
      <c r="E509" s="44"/>
      <c r="F509" s="44"/>
      <c r="G509" s="44"/>
      <c r="H509" s="44"/>
      <c r="I509" s="44"/>
      <c r="J509" s="44"/>
      <c r="K509" s="44"/>
      <c r="L509" s="44"/>
      <c r="M509" s="44"/>
      <c r="N509" s="44"/>
      <c r="O509" s="44"/>
    </row>
    <row r="510" spans="1:15" ht="17.25" customHeight="1">
      <c r="A510" s="44"/>
      <c r="B510" s="44"/>
      <c r="C510" s="44"/>
      <c r="D510" s="44"/>
      <c r="E510" s="44"/>
      <c r="F510" s="44"/>
      <c r="G510" s="44"/>
      <c r="H510" s="44"/>
      <c r="I510" s="44"/>
      <c r="J510" s="44"/>
      <c r="K510" s="44"/>
      <c r="L510" s="44"/>
      <c r="M510" s="44"/>
      <c r="N510" s="44"/>
      <c r="O510" s="44"/>
    </row>
    <row r="511" spans="1:15" ht="17.25" customHeight="1">
      <c r="A511" s="44"/>
      <c r="B511" s="44"/>
      <c r="C511" s="44"/>
      <c r="D511" s="44"/>
      <c r="E511" s="44"/>
      <c r="F511" s="44"/>
      <c r="G511" s="44"/>
      <c r="H511" s="44"/>
      <c r="I511" s="44"/>
      <c r="J511" s="44"/>
      <c r="K511" s="44"/>
      <c r="L511" s="44"/>
      <c r="M511" s="44"/>
      <c r="N511" s="44"/>
      <c r="O511" s="44"/>
    </row>
    <row r="512" spans="1:15" ht="17.25" customHeight="1">
      <c r="A512" s="44"/>
      <c r="B512" s="44"/>
      <c r="C512" s="44"/>
      <c r="D512" s="44"/>
      <c r="E512" s="44"/>
      <c r="F512" s="44"/>
      <c r="G512" s="44"/>
      <c r="H512" s="44"/>
      <c r="I512" s="44"/>
      <c r="J512" s="44"/>
      <c r="K512" s="44"/>
      <c r="L512" s="44"/>
      <c r="M512" s="44"/>
      <c r="N512" s="44"/>
      <c r="O512" s="44"/>
    </row>
    <row r="513" spans="1:15" ht="17.25" customHeight="1">
      <c r="A513" s="44"/>
      <c r="B513" s="44"/>
      <c r="C513" s="44"/>
      <c r="D513" s="44"/>
      <c r="E513" s="44"/>
      <c r="F513" s="44"/>
      <c r="G513" s="44"/>
      <c r="H513" s="44"/>
      <c r="I513" s="44"/>
      <c r="J513" s="44"/>
      <c r="K513" s="44"/>
      <c r="L513" s="44"/>
      <c r="M513" s="44"/>
      <c r="N513" s="44"/>
      <c r="O513" s="44"/>
    </row>
    <row r="514" spans="1:15" ht="17.25" customHeight="1">
      <c r="A514" s="44"/>
      <c r="B514" s="44"/>
      <c r="C514" s="44"/>
      <c r="D514" s="44"/>
      <c r="E514" s="44"/>
      <c r="F514" s="44"/>
      <c r="G514" s="44"/>
      <c r="H514" s="44"/>
      <c r="I514" s="44"/>
      <c r="J514" s="44"/>
      <c r="K514" s="44"/>
      <c r="L514" s="44"/>
      <c r="M514" s="44"/>
      <c r="N514" s="44"/>
      <c r="O514" s="44"/>
    </row>
    <row r="515" spans="1:15" ht="17.25" customHeight="1">
      <c r="A515" s="44"/>
      <c r="B515" s="44"/>
      <c r="C515" s="44"/>
      <c r="D515" s="44"/>
      <c r="E515" s="44"/>
      <c r="F515" s="44"/>
      <c r="G515" s="44"/>
      <c r="H515" s="44"/>
      <c r="I515" s="44"/>
      <c r="J515" s="44"/>
      <c r="K515" s="44"/>
      <c r="L515" s="44"/>
      <c r="M515" s="44"/>
      <c r="N515" s="44"/>
      <c r="O515" s="44"/>
    </row>
    <row r="516" spans="1:15" ht="17.25" customHeight="1">
      <c r="A516" s="44"/>
      <c r="B516" s="44"/>
      <c r="C516" s="44"/>
      <c r="D516" s="44"/>
      <c r="E516" s="44"/>
      <c r="F516" s="44"/>
      <c r="G516" s="44"/>
      <c r="H516" s="44"/>
      <c r="I516" s="44"/>
      <c r="J516" s="44"/>
      <c r="K516" s="44"/>
      <c r="L516" s="44"/>
      <c r="M516" s="44"/>
      <c r="N516" s="44"/>
      <c r="O516" s="44"/>
    </row>
    <row r="517" spans="1:15" ht="17.25" customHeight="1">
      <c r="A517" s="44"/>
      <c r="B517" s="44"/>
      <c r="C517" s="44"/>
      <c r="D517" s="44"/>
      <c r="E517" s="44"/>
      <c r="F517" s="44"/>
      <c r="G517" s="44"/>
      <c r="H517" s="44"/>
      <c r="I517" s="44"/>
      <c r="J517" s="44"/>
      <c r="K517" s="44"/>
      <c r="L517" s="44"/>
      <c r="M517" s="44"/>
      <c r="N517" s="44"/>
      <c r="O517" s="44"/>
    </row>
    <row r="518" spans="1:15" ht="17.25" customHeight="1">
      <c r="A518" s="44"/>
      <c r="B518" s="44"/>
      <c r="C518" s="44"/>
      <c r="D518" s="44"/>
      <c r="E518" s="44"/>
      <c r="F518" s="44"/>
      <c r="G518" s="44"/>
      <c r="H518" s="44"/>
      <c r="I518" s="44"/>
      <c r="J518" s="44"/>
      <c r="K518" s="44"/>
      <c r="L518" s="44"/>
      <c r="M518" s="44"/>
      <c r="N518" s="44"/>
      <c r="O518" s="44"/>
    </row>
    <row r="519" spans="1:15" ht="17.25" customHeight="1">
      <c r="A519" s="44"/>
      <c r="B519" s="44"/>
      <c r="C519" s="44"/>
      <c r="D519" s="44"/>
      <c r="E519" s="44"/>
      <c r="F519" s="44"/>
      <c r="G519" s="44"/>
      <c r="H519" s="44"/>
      <c r="I519" s="44"/>
      <c r="J519" s="44"/>
      <c r="K519" s="44"/>
      <c r="L519" s="44"/>
      <c r="M519" s="44"/>
      <c r="N519" s="44"/>
      <c r="O519" s="44"/>
    </row>
    <row r="520" spans="1:15" ht="17.25" customHeight="1">
      <c r="A520" s="44"/>
      <c r="B520" s="44"/>
      <c r="C520" s="44"/>
      <c r="D520" s="44"/>
      <c r="E520" s="44"/>
      <c r="F520" s="44"/>
      <c r="G520" s="44"/>
      <c r="H520" s="44"/>
      <c r="I520" s="44"/>
      <c r="J520" s="44"/>
      <c r="K520" s="44"/>
      <c r="L520" s="44"/>
      <c r="M520" s="44"/>
      <c r="N520" s="44"/>
      <c r="O520" s="44"/>
    </row>
    <row r="521" spans="1:15" ht="17.25" customHeight="1">
      <c r="A521" s="44"/>
      <c r="B521" s="44"/>
      <c r="C521" s="44"/>
      <c r="D521" s="44"/>
      <c r="E521" s="44"/>
      <c r="F521" s="44"/>
      <c r="G521" s="44"/>
      <c r="H521" s="44"/>
      <c r="I521" s="44"/>
      <c r="J521" s="44"/>
      <c r="K521" s="44"/>
      <c r="L521" s="44"/>
      <c r="M521" s="44"/>
      <c r="N521" s="44"/>
      <c r="O521" s="44"/>
    </row>
    <row r="522" spans="1:15" ht="17.25" customHeight="1">
      <c r="A522" s="44"/>
      <c r="B522" s="44"/>
      <c r="C522" s="44"/>
      <c r="D522" s="44"/>
      <c r="E522" s="44"/>
      <c r="F522" s="44"/>
      <c r="G522" s="44"/>
      <c r="H522" s="44"/>
      <c r="I522" s="44"/>
      <c r="J522" s="44"/>
      <c r="K522" s="44"/>
      <c r="L522" s="44"/>
      <c r="M522" s="44"/>
      <c r="N522" s="44"/>
      <c r="O522" s="44"/>
    </row>
    <row r="523" spans="1:15" ht="17.25" customHeight="1">
      <c r="A523" s="44"/>
      <c r="B523" s="44"/>
      <c r="C523" s="44"/>
      <c r="D523" s="44"/>
      <c r="E523" s="44"/>
      <c r="F523" s="44"/>
      <c r="G523" s="44"/>
      <c r="H523" s="44"/>
      <c r="I523" s="44"/>
      <c r="J523" s="44"/>
      <c r="K523" s="44"/>
      <c r="L523" s="44"/>
      <c r="M523" s="44"/>
      <c r="N523" s="44"/>
      <c r="O523" s="44"/>
    </row>
    <row r="524" spans="1:15" ht="17.25" customHeight="1">
      <c r="A524" s="44"/>
      <c r="B524" s="44"/>
      <c r="C524" s="44"/>
      <c r="D524" s="44"/>
      <c r="E524" s="44"/>
      <c r="F524" s="44"/>
      <c r="G524" s="44"/>
      <c r="H524" s="44"/>
      <c r="I524" s="44"/>
      <c r="J524" s="44"/>
      <c r="K524" s="44"/>
      <c r="L524" s="44"/>
      <c r="M524" s="44"/>
      <c r="N524" s="44"/>
      <c r="O524" s="44"/>
    </row>
    <row r="525" spans="1:15" ht="17.25" customHeight="1">
      <c r="A525" s="44"/>
      <c r="B525" s="44"/>
      <c r="C525" s="44"/>
      <c r="D525" s="44"/>
      <c r="E525" s="44"/>
      <c r="F525" s="44"/>
      <c r="G525" s="44"/>
      <c r="H525" s="44"/>
      <c r="I525" s="44"/>
      <c r="J525" s="44"/>
      <c r="K525" s="44"/>
      <c r="L525" s="44"/>
      <c r="M525" s="44"/>
      <c r="N525" s="44"/>
      <c r="O525" s="44"/>
    </row>
    <row r="526" spans="1:15" ht="17.25" customHeight="1">
      <c r="A526" s="44"/>
      <c r="B526" s="44"/>
      <c r="C526" s="44"/>
      <c r="D526" s="44"/>
      <c r="E526" s="44"/>
      <c r="F526" s="44"/>
      <c r="G526" s="44"/>
      <c r="H526" s="44"/>
      <c r="I526" s="44"/>
      <c r="J526" s="44"/>
      <c r="K526" s="44"/>
      <c r="L526" s="44"/>
      <c r="M526" s="44"/>
      <c r="N526" s="44"/>
      <c r="O526" s="44"/>
    </row>
    <row r="527" spans="1:15" ht="17.25" customHeight="1">
      <c r="A527" s="44"/>
      <c r="B527" s="44"/>
      <c r="C527" s="44"/>
      <c r="D527" s="44"/>
      <c r="E527" s="44"/>
      <c r="F527" s="44"/>
      <c r="G527" s="44"/>
      <c r="H527" s="44"/>
      <c r="I527" s="44"/>
      <c r="J527" s="44"/>
      <c r="K527" s="44"/>
      <c r="L527" s="44"/>
      <c r="M527" s="44"/>
      <c r="N527" s="44"/>
      <c r="O527" s="44"/>
    </row>
    <row r="528" spans="1:15" ht="17.25" customHeight="1">
      <c r="A528" s="44"/>
      <c r="B528" s="44"/>
      <c r="C528" s="44"/>
      <c r="D528" s="44"/>
      <c r="E528" s="44"/>
      <c r="F528" s="44"/>
      <c r="G528" s="44"/>
      <c r="H528" s="44"/>
      <c r="I528" s="44"/>
      <c r="J528" s="44"/>
      <c r="K528" s="44"/>
      <c r="L528" s="44"/>
      <c r="M528" s="44"/>
      <c r="N528" s="44"/>
      <c r="O528" s="44"/>
    </row>
    <row r="529" spans="1:15" ht="17.25" customHeight="1">
      <c r="A529" s="44"/>
      <c r="B529" s="44"/>
      <c r="C529" s="44"/>
      <c r="D529" s="44"/>
      <c r="E529" s="44"/>
      <c r="F529" s="44"/>
      <c r="G529" s="44"/>
      <c r="H529" s="44"/>
      <c r="I529" s="44"/>
      <c r="J529" s="44"/>
      <c r="K529" s="44"/>
      <c r="L529" s="44"/>
      <c r="M529" s="44"/>
      <c r="N529" s="44"/>
      <c r="O529" s="44"/>
    </row>
    <row r="530" spans="1:15" ht="17.25" customHeight="1">
      <c r="A530" s="44"/>
      <c r="B530" s="44"/>
      <c r="C530" s="44"/>
      <c r="D530" s="44"/>
      <c r="E530" s="44"/>
      <c r="F530" s="44"/>
      <c r="G530" s="44"/>
      <c r="H530" s="44"/>
      <c r="I530" s="44"/>
      <c r="J530" s="44"/>
      <c r="K530" s="44"/>
      <c r="L530" s="44"/>
      <c r="M530" s="44"/>
      <c r="N530" s="44"/>
      <c r="O530" s="44"/>
    </row>
    <row r="531" spans="1:15" ht="17.25" customHeight="1">
      <c r="A531" s="44"/>
      <c r="B531" s="44"/>
      <c r="C531" s="44"/>
      <c r="D531" s="44"/>
      <c r="E531" s="44"/>
      <c r="F531" s="44"/>
      <c r="G531" s="44"/>
      <c r="H531" s="44"/>
      <c r="I531" s="44"/>
      <c r="J531" s="44"/>
      <c r="K531" s="44"/>
      <c r="L531" s="44"/>
      <c r="M531" s="44"/>
      <c r="N531" s="44"/>
      <c r="O531" s="44"/>
    </row>
    <row r="532" spans="1:15" ht="17.25" customHeight="1">
      <c r="A532" s="44"/>
      <c r="B532" s="44"/>
      <c r="C532" s="44"/>
      <c r="D532" s="44"/>
      <c r="E532" s="44"/>
      <c r="F532" s="44"/>
      <c r="G532" s="44"/>
      <c r="H532" s="44"/>
      <c r="I532" s="44"/>
      <c r="J532" s="44"/>
      <c r="K532" s="44"/>
      <c r="L532" s="44"/>
      <c r="M532" s="44"/>
      <c r="N532" s="44"/>
      <c r="O532" s="44"/>
    </row>
    <row r="533" spans="1:15" ht="17.25" customHeight="1">
      <c r="A533" s="44"/>
      <c r="B533" s="44"/>
      <c r="C533" s="44"/>
      <c r="D533" s="44"/>
      <c r="E533" s="44"/>
      <c r="F533" s="44"/>
      <c r="G533" s="44"/>
      <c r="H533" s="44"/>
      <c r="I533" s="44"/>
      <c r="J533" s="44"/>
      <c r="K533" s="44"/>
      <c r="L533" s="44"/>
      <c r="M533" s="44"/>
      <c r="N533" s="44"/>
      <c r="O533" s="44"/>
    </row>
    <row r="534" spans="1:15" ht="17.25" customHeight="1">
      <c r="A534" s="44"/>
      <c r="B534" s="44"/>
      <c r="C534" s="44"/>
      <c r="D534" s="44"/>
      <c r="E534" s="44"/>
      <c r="F534" s="44"/>
      <c r="G534" s="44"/>
      <c r="H534" s="44"/>
      <c r="I534" s="44"/>
      <c r="J534" s="44"/>
      <c r="K534" s="44"/>
      <c r="L534" s="44"/>
      <c r="M534" s="44"/>
      <c r="N534" s="44"/>
      <c r="O534" s="44"/>
    </row>
    <row r="535" spans="1:15" ht="17.25" customHeight="1">
      <c r="A535" s="44"/>
      <c r="B535" s="44"/>
      <c r="C535" s="44"/>
      <c r="D535" s="44"/>
      <c r="E535" s="44"/>
      <c r="F535" s="44"/>
      <c r="G535" s="44"/>
      <c r="H535" s="44"/>
      <c r="I535" s="44"/>
      <c r="J535" s="44"/>
      <c r="K535" s="44"/>
      <c r="L535" s="44"/>
      <c r="M535" s="44"/>
      <c r="N535" s="44"/>
      <c r="O535" s="44"/>
    </row>
    <row r="536" spans="1:15" ht="17.25" customHeight="1">
      <c r="A536" s="44"/>
      <c r="B536" s="44"/>
      <c r="C536" s="44"/>
      <c r="D536" s="44"/>
      <c r="E536" s="44"/>
      <c r="F536" s="44"/>
      <c r="G536" s="44"/>
      <c r="H536" s="44"/>
      <c r="I536" s="44"/>
      <c r="J536" s="44"/>
      <c r="K536" s="44"/>
      <c r="L536" s="44"/>
      <c r="M536" s="44"/>
      <c r="N536" s="44"/>
      <c r="O536" s="44"/>
    </row>
    <row r="537" spans="1:15" ht="17.25" customHeight="1">
      <c r="A537" s="44"/>
      <c r="B537" s="44"/>
      <c r="C537" s="44"/>
      <c r="D537" s="44"/>
      <c r="E537" s="44"/>
      <c r="F537" s="44"/>
      <c r="G537" s="44"/>
      <c r="H537" s="44"/>
      <c r="I537" s="44"/>
      <c r="J537" s="44"/>
      <c r="K537" s="44"/>
      <c r="L537" s="44"/>
      <c r="M537" s="44"/>
      <c r="N537" s="44"/>
      <c r="O537" s="44"/>
    </row>
    <row r="538" spans="1:15" ht="17.25" customHeight="1">
      <c r="A538" s="44"/>
      <c r="B538" s="44"/>
      <c r="C538" s="44"/>
      <c r="D538" s="44"/>
      <c r="E538" s="44"/>
      <c r="F538" s="44"/>
      <c r="G538" s="44"/>
      <c r="H538" s="44"/>
      <c r="I538" s="44"/>
      <c r="J538" s="44"/>
      <c r="K538" s="44"/>
      <c r="L538" s="44"/>
      <c r="M538" s="44"/>
      <c r="N538" s="44"/>
      <c r="O538" s="44"/>
    </row>
    <row r="539" spans="1:15" ht="17.25" customHeight="1">
      <c r="A539" s="44"/>
      <c r="B539" s="44"/>
      <c r="C539" s="44"/>
      <c r="D539" s="44"/>
      <c r="E539" s="44"/>
      <c r="F539" s="44"/>
      <c r="G539" s="44"/>
      <c r="H539" s="44"/>
      <c r="I539" s="44"/>
      <c r="J539" s="44"/>
      <c r="K539" s="44"/>
      <c r="L539" s="44"/>
      <c r="M539" s="44"/>
      <c r="N539" s="44"/>
      <c r="O539" s="44"/>
    </row>
    <row r="540" spans="1:15" ht="17.25" customHeight="1">
      <c r="A540" s="44"/>
      <c r="B540" s="44"/>
      <c r="C540" s="44"/>
      <c r="D540" s="44"/>
      <c r="E540" s="44"/>
      <c r="F540" s="44"/>
      <c r="G540" s="44"/>
      <c r="H540" s="44"/>
      <c r="I540" s="44"/>
      <c r="J540" s="44"/>
      <c r="K540" s="44"/>
      <c r="L540" s="44"/>
      <c r="M540" s="44"/>
      <c r="N540" s="44"/>
      <c r="O540" s="44"/>
    </row>
    <row r="541" spans="1:15" ht="17.25" customHeight="1">
      <c r="A541" s="44"/>
      <c r="B541" s="44"/>
      <c r="C541" s="44"/>
      <c r="D541" s="44"/>
      <c r="E541" s="44"/>
      <c r="F541" s="44"/>
      <c r="G541" s="44"/>
      <c r="H541" s="44"/>
      <c r="I541" s="44"/>
      <c r="J541" s="44"/>
      <c r="K541" s="44"/>
      <c r="L541" s="44"/>
      <c r="M541" s="44"/>
      <c r="N541" s="44"/>
      <c r="O541" s="44"/>
    </row>
    <row r="542" spans="1:15" ht="17.25" customHeight="1">
      <c r="A542" s="44"/>
      <c r="B542" s="44"/>
      <c r="C542" s="44"/>
      <c r="D542" s="44"/>
      <c r="E542" s="44"/>
      <c r="F542" s="44"/>
      <c r="G542" s="44"/>
      <c r="H542" s="44"/>
      <c r="I542" s="44"/>
      <c r="J542" s="44"/>
      <c r="K542" s="44"/>
      <c r="L542" s="44"/>
      <c r="M542" s="44"/>
      <c r="N542" s="44"/>
      <c r="O542" s="44"/>
    </row>
    <row r="543" spans="1:15" ht="17.25" customHeight="1">
      <c r="A543" s="44"/>
      <c r="B543" s="44"/>
      <c r="C543" s="44"/>
      <c r="D543" s="44"/>
      <c r="E543" s="44"/>
      <c r="F543" s="44"/>
      <c r="G543" s="44"/>
      <c r="H543" s="44"/>
      <c r="I543" s="44"/>
      <c r="J543" s="44"/>
      <c r="K543" s="44"/>
      <c r="L543" s="44"/>
      <c r="M543" s="44"/>
      <c r="N543" s="44"/>
      <c r="O543" s="44"/>
    </row>
    <row r="544" spans="1:15" ht="17.25" customHeight="1">
      <c r="A544" s="44"/>
      <c r="B544" s="44"/>
      <c r="C544" s="44"/>
      <c r="D544" s="44"/>
      <c r="E544" s="44"/>
      <c r="F544" s="44"/>
      <c r="G544" s="44"/>
      <c r="H544" s="44"/>
      <c r="I544" s="44"/>
      <c r="J544" s="44"/>
      <c r="K544" s="44"/>
      <c r="L544" s="44"/>
      <c r="M544" s="44"/>
      <c r="N544" s="44"/>
      <c r="O544" s="44"/>
    </row>
    <row r="545" spans="1:15" ht="17.25" customHeight="1">
      <c r="A545" s="44"/>
      <c r="B545" s="44"/>
      <c r="C545" s="44"/>
      <c r="D545" s="44"/>
      <c r="E545" s="44"/>
      <c r="F545" s="44"/>
      <c r="G545" s="44"/>
      <c r="H545" s="44"/>
      <c r="I545" s="44"/>
      <c r="J545" s="44"/>
      <c r="K545" s="44"/>
      <c r="L545" s="44"/>
      <c r="M545" s="44"/>
      <c r="N545" s="44"/>
      <c r="O545" s="44"/>
    </row>
    <row r="546" spans="1:15" ht="17.25" customHeight="1">
      <c r="A546" s="44"/>
      <c r="B546" s="44"/>
      <c r="C546" s="44"/>
      <c r="D546" s="44"/>
      <c r="E546" s="44"/>
      <c r="F546" s="44"/>
      <c r="G546" s="44"/>
      <c r="H546" s="44"/>
      <c r="I546" s="44"/>
      <c r="J546" s="44"/>
      <c r="K546" s="44"/>
      <c r="L546" s="44"/>
      <c r="M546" s="44"/>
      <c r="N546" s="44"/>
      <c r="O546" s="44"/>
    </row>
    <row r="547" spans="1:15" ht="17.25" customHeight="1">
      <c r="A547" s="44"/>
      <c r="B547" s="44"/>
      <c r="C547" s="44"/>
      <c r="D547" s="44"/>
      <c r="E547" s="44"/>
      <c r="F547" s="44"/>
      <c r="G547" s="44"/>
      <c r="H547" s="44"/>
      <c r="I547" s="44"/>
      <c r="J547" s="44"/>
      <c r="K547" s="44"/>
      <c r="L547" s="44"/>
      <c r="M547" s="44"/>
      <c r="N547" s="44"/>
      <c r="O547" s="44"/>
    </row>
    <row r="548" spans="1:15" ht="17.25" customHeight="1">
      <c r="A548" s="44"/>
      <c r="B548" s="44"/>
      <c r="C548" s="44"/>
      <c r="D548" s="44"/>
      <c r="E548" s="44"/>
      <c r="F548" s="44"/>
      <c r="G548" s="44"/>
      <c r="H548" s="44"/>
      <c r="I548" s="44"/>
      <c r="J548" s="44"/>
      <c r="K548" s="44"/>
      <c r="L548" s="44"/>
      <c r="M548" s="44"/>
      <c r="N548" s="44"/>
      <c r="O548" s="44"/>
    </row>
    <row r="549" spans="1:15" ht="17.25" customHeight="1">
      <c r="A549" s="44"/>
      <c r="B549" s="44"/>
      <c r="C549" s="44"/>
      <c r="D549" s="44"/>
      <c r="E549" s="44"/>
      <c r="F549" s="44"/>
      <c r="G549" s="44"/>
      <c r="H549" s="44"/>
      <c r="I549" s="44"/>
      <c r="J549" s="44"/>
      <c r="K549" s="44"/>
      <c r="L549" s="44"/>
      <c r="M549" s="44"/>
      <c r="N549" s="44"/>
      <c r="O549" s="44"/>
    </row>
    <row r="550" spans="1:15" ht="17.25" customHeight="1">
      <c r="A550" s="44"/>
      <c r="B550" s="44"/>
      <c r="C550" s="44"/>
      <c r="D550" s="44"/>
      <c r="E550" s="44"/>
      <c r="F550" s="44"/>
      <c r="G550" s="44"/>
      <c r="H550" s="44"/>
      <c r="I550" s="44"/>
      <c r="J550" s="44"/>
      <c r="K550" s="44"/>
      <c r="L550" s="44"/>
      <c r="M550" s="44"/>
      <c r="N550" s="44"/>
      <c r="O550" s="44"/>
    </row>
    <row r="551" spans="1:15" ht="17.25" customHeight="1">
      <c r="A551" s="44"/>
      <c r="B551" s="44"/>
      <c r="C551" s="44"/>
      <c r="D551" s="44"/>
      <c r="E551" s="44"/>
      <c r="F551" s="44"/>
      <c r="G551" s="44"/>
      <c r="H551" s="44"/>
      <c r="I551" s="44"/>
      <c r="J551" s="44"/>
      <c r="K551" s="44"/>
      <c r="L551" s="44"/>
      <c r="M551" s="44"/>
      <c r="N551" s="44"/>
      <c r="O551" s="44"/>
    </row>
    <row r="552" spans="1:15" ht="17.25" customHeight="1">
      <c r="A552" s="44"/>
      <c r="B552" s="44"/>
      <c r="C552" s="44"/>
      <c r="D552" s="44"/>
      <c r="E552" s="44"/>
      <c r="F552" s="44"/>
      <c r="G552" s="44"/>
      <c r="H552" s="44"/>
      <c r="I552" s="44"/>
      <c r="J552" s="44"/>
      <c r="K552" s="44"/>
      <c r="L552" s="44"/>
      <c r="M552" s="44"/>
      <c r="N552" s="44"/>
      <c r="O552" s="44"/>
    </row>
    <row r="553" spans="1:15" ht="17.25" customHeight="1">
      <c r="A553" s="44"/>
      <c r="B553" s="44"/>
      <c r="C553" s="44"/>
      <c r="D553" s="44"/>
      <c r="E553" s="44"/>
      <c r="F553" s="44"/>
      <c r="G553" s="44"/>
      <c r="H553" s="44"/>
      <c r="I553" s="44"/>
      <c r="J553" s="44"/>
      <c r="K553" s="44"/>
      <c r="L553" s="44"/>
      <c r="M553" s="44"/>
      <c r="N553" s="44"/>
      <c r="O553" s="44"/>
    </row>
    <row r="554" spans="1:15" ht="17.25" customHeight="1">
      <c r="A554" s="44"/>
      <c r="B554" s="44"/>
      <c r="C554" s="44"/>
      <c r="D554" s="44"/>
      <c r="E554" s="44"/>
      <c r="F554" s="44"/>
      <c r="G554" s="44"/>
      <c r="H554" s="44"/>
      <c r="I554" s="44"/>
      <c r="J554" s="44"/>
      <c r="K554" s="44"/>
      <c r="L554" s="44"/>
      <c r="M554" s="44"/>
      <c r="N554" s="44"/>
      <c r="O554" s="44"/>
    </row>
    <row r="555" spans="1:15" ht="17.25" customHeight="1">
      <c r="A555" s="44"/>
      <c r="B555" s="44"/>
      <c r="C555" s="44"/>
      <c r="D555" s="44"/>
      <c r="E555" s="44"/>
      <c r="F555" s="44"/>
      <c r="G555" s="44"/>
      <c r="H555" s="44"/>
      <c r="I555" s="44"/>
      <c r="J555" s="44"/>
      <c r="K555" s="44"/>
      <c r="L555" s="44"/>
      <c r="M555" s="44"/>
      <c r="N555" s="44"/>
      <c r="O555" s="44"/>
    </row>
    <row r="556" spans="1:15" ht="17.25" customHeight="1">
      <c r="A556" s="44"/>
      <c r="B556" s="44"/>
      <c r="C556" s="44"/>
      <c r="D556" s="44"/>
      <c r="E556" s="44"/>
      <c r="F556" s="44"/>
      <c r="G556" s="44"/>
      <c r="H556" s="44"/>
      <c r="I556" s="44"/>
      <c r="J556" s="44"/>
      <c r="K556" s="44"/>
      <c r="L556" s="44"/>
      <c r="M556" s="44"/>
      <c r="N556" s="44"/>
      <c r="O556" s="44"/>
    </row>
    <row r="557" spans="1:15" ht="17.25" customHeight="1">
      <c r="A557" s="44"/>
      <c r="B557" s="44"/>
      <c r="C557" s="44"/>
      <c r="D557" s="44"/>
      <c r="E557" s="44"/>
      <c r="F557" s="44"/>
      <c r="G557" s="44"/>
      <c r="H557" s="44"/>
      <c r="I557" s="44"/>
      <c r="J557" s="44"/>
      <c r="K557" s="44"/>
      <c r="L557" s="44"/>
      <c r="M557" s="44"/>
      <c r="N557" s="44"/>
      <c r="O557" s="44"/>
    </row>
    <row r="558" spans="1:15" ht="17.25" customHeight="1">
      <c r="A558" s="44"/>
      <c r="B558" s="44"/>
      <c r="C558" s="44"/>
      <c r="D558" s="44"/>
      <c r="E558" s="44"/>
      <c r="F558" s="44"/>
      <c r="G558" s="44"/>
      <c r="H558" s="44"/>
      <c r="I558" s="44"/>
      <c r="J558" s="44"/>
      <c r="K558" s="44"/>
      <c r="L558" s="44"/>
      <c r="M558" s="44"/>
      <c r="N558" s="44"/>
      <c r="O558" s="44"/>
    </row>
    <row r="559" spans="1:15" ht="17.25" customHeight="1">
      <c r="A559" s="44"/>
      <c r="B559" s="44"/>
      <c r="C559" s="44"/>
      <c r="D559" s="44"/>
      <c r="E559" s="44"/>
      <c r="F559" s="44"/>
      <c r="G559" s="44"/>
      <c r="H559" s="44"/>
      <c r="I559" s="44"/>
      <c r="J559" s="44"/>
      <c r="K559" s="44"/>
      <c r="L559" s="44"/>
      <c r="M559" s="44"/>
      <c r="N559" s="44"/>
      <c r="O559" s="44"/>
    </row>
    <row r="560" spans="1:15" ht="17.25" customHeight="1">
      <c r="A560" s="44"/>
      <c r="B560" s="44"/>
      <c r="C560" s="44"/>
      <c r="D560" s="44"/>
      <c r="E560" s="44"/>
      <c r="F560" s="44"/>
      <c r="G560" s="44"/>
      <c r="H560" s="44"/>
      <c r="I560" s="44"/>
      <c r="J560" s="44"/>
      <c r="K560" s="44"/>
      <c r="L560" s="44"/>
      <c r="M560" s="44"/>
      <c r="N560" s="44"/>
      <c r="O560" s="44"/>
    </row>
    <row r="561" spans="1:15" ht="17.25" customHeight="1">
      <c r="A561" s="44"/>
      <c r="B561" s="44"/>
      <c r="C561" s="44"/>
      <c r="D561" s="44"/>
      <c r="E561" s="44"/>
      <c r="F561" s="44"/>
      <c r="G561" s="44"/>
      <c r="H561" s="44"/>
      <c r="I561" s="44"/>
      <c r="J561" s="44"/>
      <c r="K561" s="44"/>
      <c r="L561" s="44"/>
      <c r="M561" s="44"/>
      <c r="N561" s="44"/>
      <c r="O561" s="44"/>
    </row>
    <row r="562" spans="1:15" ht="17.25" customHeight="1">
      <c r="A562" s="44"/>
      <c r="B562" s="44"/>
      <c r="C562" s="44"/>
      <c r="D562" s="44"/>
      <c r="E562" s="44"/>
      <c r="F562" s="44"/>
      <c r="G562" s="44"/>
      <c r="H562" s="44"/>
      <c r="I562" s="44"/>
      <c r="J562" s="44"/>
      <c r="K562" s="44"/>
      <c r="L562" s="44"/>
      <c r="M562" s="44"/>
      <c r="N562" s="44"/>
      <c r="O562" s="44"/>
    </row>
    <row r="563" spans="1:15" ht="17.25" customHeight="1">
      <c r="A563" s="44"/>
      <c r="B563" s="44"/>
      <c r="C563" s="44"/>
      <c r="D563" s="44"/>
      <c r="E563" s="44"/>
      <c r="F563" s="44"/>
      <c r="G563" s="44"/>
      <c r="H563" s="44"/>
      <c r="I563" s="44"/>
      <c r="J563" s="44"/>
      <c r="K563" s="44"/>
      <c r="L563" s="44"/>
      <c r="M563" s="44"/>
      <c r="N563" s="44"/>
      <c r="O563" s="44"/>
    </row>
    <row r="564" spans="1:15" ht="17.25" customHeight="1">
      <c r="A564" s="44"/>
      <c r="B564" s="44"/>
      <c r="C564" s="44"/>
      <c r="D564" s="44"/>
      <c r="E564" s="44"/>
      <c r="F564" s="44"/>
      <c r="G564" s="44"/>
      <c r="H564" s="44"/>
      <c r="I564" s="44"/>
      <c r="J564" s="44"/>
      <c r="K564" s="44"/>
      <c r="L564" s="44"/>
      <c r="M564" s="44"/>
      <c r="N564" s="44"/>
      <c r="O564" s="44"/>
    </row>
    <row r="565" spans="1:15" ht="17.25" customHeight="1">
      <c r="A565" s="44"/>
      <c r="B565" s="44"/>
      <c r="C565" s="44"/>
      <c r="D565" s="44"/>
      <c r="E565" s="44"/>
      <c r="F565" s="44"/>
      <c r="G565" s="44"/>
      <c r="H565" s="44"/>
      <c r="I565" s="44"/>
      <c r="J565" s="44"/>
      <c r="K565" s="44"/>
      <c r="L565" s="44"/>
      <c r="M565" s="44"/>
      <c r="N565" s="44"/>
      <c r="O565" s="44"/>
    </row>
    <row r="566" spans="1:15" ht="17.25" customHeight="1">
      <c r="A566" s="44"/>
      <c r="B566" s="44"/>
      <c r="C566" s="44"/>
      <c r="D566" s="44"/>
      <c r="E566" s="44"/>
      <c r="F566" s="44"/>
      <c r="G566" s="44"/>
      <c r="H566" s="44"/>
      <c r="I566" s="44"/>
      <c r="J566" s="44"/>
      <c r="K566" s="44"/>
      <c r="L566" s="44"/>
      <c r="M566" s="44"/>
      <c r="N566" s="44"/>
      <c r="O566" s="44"/>
    </row>
    <row r="567" spans="1:15" ht="17.25" customHeight="1">
      <c r="A567" s="44"/>
      <c r="B567" s="44"/>
      <c r="C567" s="44"/>
      <c r="D567" s="44"/>
      <c r="E567" s="44"/>
      <c r="F567" s="44"/>
      <c r="G567" s="44"/>
      <c r="H567" s="44"/>
      <c r="I567" s="44"/>
      <c r="J567" s="44"/>
      <c r="K567" s="44"/>
      <c r="L567" s="44"/>
      <c r="M567" s="44"/>
      <c r="N567" s="44"/>
      <c r="O567" s="44"/>
    </row>
    <row r="568" spans="1:15" ht="17.25" customHeight="1">
      <c r="A568" s="44"/>
      <c r="B568" s="44"/>
      <c r="C568" s="44"/>
      <c r="D568" s="44"/>
      <c r="E568" s="44"/>
      <c r="F568" s="44"/>
      <c r="G568" s="44"/>
      <c r="H568" s="44"/>
      <c r="I568" s="44"/>
      <c r="J568" s="44"/>
      <c r="K568" s="44"/>
      <c r="L568" s="44"/>
      <c r="M568" s="44"/>
      <c r="N568" s="44"/>
      <c r="O568" s="44"/>
    </row>
    <row r="569" spans="1:15" ht="17.25" customHeight="1">
      <c r="A569" s="44"/>
      <c r="B569" s="44"/>
      <c r="C569" s="44"/>
      <c r="D569" s="44"/>
      <c r="E569" s="44"/>
      <c r="F569" s="44"/>
      <c r="G569" s="44"/>
      <c r="H569" s="44"/>
      <c r="I569" s="44"/>
      <c r="J569" s="44"/>
      <c r="K569" s="44"/>
      <c r="L569" s="44"/>
      <c r="M569" s="44"/>
      <c r="N569" s="44"/>
      <c r="O569" s="44"/>
    </row>
    <row r="570" spans="1:15" ht="17.25" customHeight="1">
      <c r="A570" s="44"/>
      <c r="B570" s="44"/>
      <c r="C570" s="44"/>
      <c r="D570" s="44"/>
      <c r="E570" s="44"/>
      <c r="F570" s="44"/>
      <c r="G570" s="44"/>
      <c r="H570" s="44"/>
      <c r="I570" s="44"/>
      <c r="J570" s="44"/>
      <c r="K570" s="44"/>
      <c r="L570" s="44"/>
      <c r="M570" s="44"/>
      <c r="N570" s="44"/>
      <c r="O570" s="44"/>
    </row>
    <row r="571" spans="1:15" ht="17.25" customHeight="1">
      <c r="A571" s="44"/>
      <c r="B571" s="44"/>
      <c r="C571" s="44"/>
      <c r="D571" s="44"/>
      <c r="E571" s="44"/>
      <c r="F571" s="44"/>
      <c r="G571" s="44"/>
      <c r="H571" s="44"/>
      <c r="I571" s="44"/>
      <c r="J571" s="44"/>
      <c r="K571" s="44"/>
      <c r="L571" s="44"/>
      <c r="M571" s="44"/>
      <c r="N571" s="44"/>
      <c r="O571" s="44"/>
    </row>
    <row r="572" spans="1:15" ht="17.25" customHeight="1">
      <c r="A572" s="44"/>
      <c r="B572" s="44"/>
      <c r="C572" s="44"/>
      <c r="D572" s="44"/>
      <c r="E572" s="44"/>
      <c r="F572" s="44"/>
      <c r="G572" s="44"/>
      <c r="H572" s="44"/>
      <c r="I572" s="44"/>
      <c r="J572" s="44"/>
      <c r="K572" s="44"/>
      <c r="L572" s="44"/>
      <c r="M572" s="44"/>
      <c r="N572" s="44"/>
      <c r="O572" s="44"/>
    </row>
    <row r="573" spans="1:15" ht="17.25" customHeight="1">
      <c r="A573" s="44"/>
      <c r="B573" s="44"/>
      <c r="C573" s="44"/>
      <c r="D573" s="44"/>
      <c r="E573" s="44"/>
      <c r="F573" s="44"/>
      <c r="G573" s="44"/>
      <c r="H573" s="44"/>
      <c r="I573" s="44"/>
      <c r="J573" s="44"/>
      <c r="K573" s="44"/>
      <c r="L573" s="44"/>
      <c r="M573" s="44"/>
      <c r="N573" s="44"/>
      <c r="O573" s="44"/>
    </row>
    <row r="574" spans="1:15" ht="17.25" customHeight="1">
      <c r="A574" s="44"/>
      <c r="B574" s="44"/>
      <c r="C574" s="44"/>
      <c r="D574" s="44"/>
      <c r="E574" s="44"/>
      <c r="F574" s="44"/>
      <c r="G574" s="44"/>
      <c r="H574" s="44"/>
      <c r="I574" s="44"/>
      <c r="J574" s="44"/>
      <c r="K574" s="44"/>
      <c r="L574" s="44"/>
      <c r="M574" s="44"/>
      <c r="N574" s="44"/>
      <c r="O574" s="44"/>
    </row>
    <row r="575" spans="1:15" ht="17.25" customHeight="1">
      <c r="A575" s="44"/>
      <c r="B575" s="44"/>
      <c r="C575" s="44"/>
      <c r="D575" s="44"/>
      <c r="E575" s="44"/>
      <c r="F575" s="44"/>
      <c r="G575" s="44"/>
      <c r="H575" s="44"/>
      <c r="I575" s="44"/>
      <c r="J575" s="44"/>
      <c r="K575" s="44"/>
      <c r="L575" s="44"/>
      <c r="M575" s="44"/>
      <c r="N575" s="44"/>
      <c r="O575" s="44"/>
    </row>
    <row r="576" spans="1:15" ht="17.25" customHeight="1">
      <c r="A576" s="44"/>
      <c r="B576" s="44"/>
      <c r="C576" s="44"/>
      <c r="D576" s="44"/>
      <c r="E576" s="44"/>
      <c r="F576" s="44"/>
      <c r="G576" s="44"/>
      <c r="H576" s="44"/>
      <c r="I576" s="44"/>
      <c r="J576" s="44"/>
      <c r="K576" s="44"/>
      <c r="L576" s="44"/>
      <c r="M576" s="44"/>
      <c r="N576" s="44"/>
      <c r="O576" s="44"/>
    </row>
    <row r="577" spans="1:15" ht="17.25" customHeight="1">
      <c r="A577" s="44"/>
      <c r="B577" s="44"/>
      <c r="C577" s="44"/>
      <c r="D577" s="44"/>
      <c r="E577" s="44"/>
      <c r="F577" s="44"/>
      <c r="G577" s="44"/>
      <c r="H577" s="44"/>
      <c r="I577" s="44"/>
      <c r="J577" s="44"/>
      <c r="K577" s="44"/>
      <c r="L577" s="44"/>
      <c r="M577" s="44"/>
      <c r="N577" s="44"/>
      <c r="O577" s="44"/>
    </row>
    <row r="578" spans="1:15" ht="17.25" customHeight="1">
      <c r="A578" s="44"/>
      <c r="B578" s="44"/>
      <c r="C578" s="44"/>
      <c r="D578" s="44"/>
      <c r="E578" s="44"/>
      <c r="F578" s="44"/>
      <c r="G578" s="44"/>
      <c r="H578" s="44"/>
      <c r="I578" s="44"/>
      <c r="J578" s="44"/>
      <c r="K578" s="44"/>
      <c r="L578" s="44"/>
      <c r="M578" s="44"/>
      <c r="N578" s="44"/>
      <c r="O578" s="44"/>
    </row>
    <row r="579" spans="1:15" ht="17.25" customHeight="1">
      <c r="A579" s="44"/>
      <c r="B579" s="44"/>
      <c r="C579" s="44"/>
      <c r="D579" s="44"/>
      <c r="E579" s="44"/>
      <c r="F579" s="44"/>
      <c r="G579" s="44"/>
      <c r="H579" s="44"/>
      <c r="I579" s="44"/>
      <c r="J579" s="44"/>
      <c r="K579" s="44"/>
      <c r="L579" s="44"/>
      <c r="M579" s="44"/>
      <c r="N579" s="44"/>
      <c r="O579" s="44"/>
    </row>
    <row r="580" spans="1:15" ht="17.25" customHeight="1">
      <c r="A580" s="44"/>
      <c r="B580" s="44"/>
      <c r="C580" s="44"/>
      <c r="D580" s="44"/>
      <c r="E580" s="44"/>
      <c r="F580" s="44"/>
      <c r="G580" s="44"/>
      <c r="H580" s="44"/>
      <c r="I580" s="44"/>
      <c r="J580" s="44"/>
      <c r="K580" s="44"/>
      <c r="L580" s="44"/>
      <c r="M580" s="44"/>
      <c r="N580" s="44"/>
      <c r="O580" s="44"/>
    </row>
    <row r="581" spans="1:15" ht="17.25" customHeight="1">
      <c r="A581" s="44"/>
      <c r="B581" s="44"/>
      <c r="C581" s="44"/>
      <c r="D581" s="44"/>
      <c r="E581" s="44"/>
      <c r="F581" s="44"/>
      <c r="G581" s="44"/>
      <c r="H581" s="44"/>
      <c r="I581" s="44"/>
      <c r="J581" s="44"/>
      <c r="K581" s="44"/>
      <c r="L581" s="44"/>
      <c r="M581" s="44"/>
      <c r="N581" s="44"/>
      <c r="O581" s="44"/>
    </row>
    <row r="582" spans="1:15" ht="17.25" customHeight="1">
      <c r="A582" s="44"/>
      <c r="B582" s="44"/>
      <c r="C582" s="44"/>
      <c r="D582" s="44"/>
      <c r="E582" s="44"/>
      <c r="F582" s="44"/>
      <c r="G582" s="44"/>
      <c r="H582" s="44"/>
      <c r="I582" s="44"/>
      <c r="J582" s="44"/>
      <c r="K582" s="44"/>
      <c r="L582" s="44"/>
      <c r="M582" s="44"/>
      <c r="N582" s="44"/>
      <c r="O582" s="44"/>
    </row>
    <row r="583" spans="1:15" ht="17.25" customHeight="1">
      <c r="A583" s="44"/>
      <c r="B583" s="44"/>
      <c r="C583" s="44"/>
      <c r="D583" s="44"/>
      <c r="E583" s="44"/>
      <c r="F583" s="44"/>
      <c r="G583" s="44"/>
      <c r="H583" s="44"/>
      <c r="I583" s="44"/>
      <c r="J583" s="44"/>
      <c r="K583" s="44"/>
      <c r="L583" s="44"/>
      <c r="M583" s="44"/>
      <c r="N583" s="44"/>
      <c r="O583" s="44"/>
    </row>
    <row r="584" spans="1:15" ht="17.25" customHeight="1">
      <c r="A584" s="44"/>
      <c r="B584" s="44"/>
      <c r="C584" s="44"/>
      <c r="D584" s="44"/>
      <c r="E584" s="44"/>
      <c r="F584" s="44"/>
      <c r="G584" s="44"/>
      <c r="H584" s="44"/>
      <c r="I584" s="44"/>
      <c r="J584" s="44"/>
      <c r="K584" s="44"/>
      <c r="L584" s="44"/>
      <c r="M584" s="44"/>
      <c r="N584" s="44"/>
      <c r="O584" s="44"/>
    </row>
    <row r="585" spans="1:15" ht="17.25" customHeight="1">
      <c r="A585" s="44"/>
      <c r="B585" s="44"/>
      <c r="C585" s="44"/>
      <c r="D585" s="44"/>
      <c r="E585" s="44"/>
      <c r="F585" s="44"/>
      <c r="G585" s="44"/>
      <c r="H585" s="44"/>
      <c r="I585" s="44"/>
      <c r="J585" s="44"/>
      <c r="K585" s="44"/>
      <c r="L585" s="44"/>
      <c r="M585" s="44"/>
      <c r="N585" s="44"/>
      <c r="O585" s="44"/>
    </row>
    <row r="586" spans="1:15" ht="17.25" customHeight="1">
      <c r="A586" s="44"/>
      <c r="B586" s="44"/>
      <c r="C586" s="44"/>
      <c r="D586" s="44"/>
      <c r="E586" s="44"/>
      <c r="F586" s="44"/>
      <c r="G586" s="44"/>
      <c r="H586" s="44"/>
      <c r="I586" s="44"/>
      <c r="J586" s="44"/>
      <c r="K586" s="44"/>
      <c r="L586" s="44"/>
      <c r="M586" s="44"/>
      <c r="N586" s="44"/>
      <c r="O586" s="44"/>
    </row>
    <row r="587" spans="1:15" ht="17.25" customHeight="1">
      <c r="A587" s="44"/>
      <c r="B587" s="44"/>
      <c r="C587" s="44"/>
      <c r="D587" s="44"/>
      <c r="E587" s="44"/>
      <c r="F587" s="44"/>
      <c r="G587" s="44"/>
      <c r="H587" s="44"/>
      <c r="I587" s="44"/>
      <c r="J587" s="44"/>
      <c r="K587" s="44"/>
      <c r="L587" s="44"/>
      <c r="M587" s="44"/>
      <c r="N587" s="44"/>
      <c r="O587" s="44"/>
    </row>
    <row r="588" spans="1:15" ht="17.25" customHeight="1">
      <c r="A588" s="44"/>
      <c r="B588" s="44"/>
      <c r="C588" s="44"/>
      <c r="D588" s="44"/>
      <c r="E588" s="44"/>
      <c r="F588" s="44"/>
      <c r="G588" s="44"/>
      <c r="H588" s="44"/>
      <c r="I588" s="44"/>
      <c r="J588" s="44"/>
      <c r="K588" s="44"/>
      <c r="L588" s="44"/>
      <c r="M588" s="44"/>
      <c r="N588" s="44"/>
      <c r="O588" s="44"/>
    </row>
    <row r="589" spans="1:15" ht="17.25" customHeight="1">
      <c r="A589" s="44"/>
      <c r="B589" s="44"/>
      <c r="C589" s="44"/>
      <c r="D589" s="44"/>
      <c r="E589" s="44"/>
      <c r="F589" s="44"/>
      <c r="G589" s="44"/>
      <c r="H589" s="44"/>
      <c r="I589" s="44"/>
      <c r="J589" s="44"/>
      <c r="K589" s="44"/>
      <c r="L589" s="44"/>
      <c r="M589" s="44"/>
      <c r="N589" s="44"/>
      <c r="O589" s="44"/>
    </row>
    <row r="590" spans="1:15" ht="17.25" customHeight="1">
      <c r="A590" s="44"/>
      <c r="B590" s="44"/>
      <c r="C590" s="44"/>
      <c r="D590" s="44"/>
      <c r="E590" s="44"/>
      <c r="F590" s="44"/>
      <c r="G590" s="44"/>
      <c r="H590" s="44"/>
      <c r="I590" s="44"/>
      <c r="J590" s="44"/>
      <c r="K590" s="44"/>
      <c r="L590" s="44"/>
      <c r="M590" s="44"/>
      <c r="N590" s="44"/>
      <c r="O590" s="44"/>
    </row>
    <row r="591" spans="1:15" ht="17.25" customHeight="1">
      <c r="A591" s="44"/>
      <c r="B591" s="44"/>
      <c r="C591" s="44"/>
      <c r="D591" s="44"/>
      <c r="E591" s="44"/>
      <c r="F591" s="44"/>
      <c r="G591" s="44"/>
      <c r="H591" s="44"/>
      <c r="I591" s="44"/>
      <c r="J591" s="44"/>
      <c r="K591" s="44"/>
      <c r="L591" s="44"/>
      <c r="M591" s="44"/>
      <c r="N591" s="44"/>
      <c r="O591" s="44"/>
    </row>
    <row r="592" spans="1:15" ht="17.25" customHeight="1">
      <c r="A592" s="44"/>
      <c r="B592" s="44"/>
      <c r="C592" s="44"/>
      <c r="D592" s="44"/>
      <c r="E592" s="44"/>
      <c r="F592" s="44"/>
      <c r="G592" s="44"/>
      <c r="H592" s="44"/>
      <c r="I592" s="44"/>
      <c r="J592" s="44"/>
      <c r="K592" s="44"/>
      <c r="L592" s="44"/>
      <c r="M592" s="44"/>
      <c r="N592" s="44"/>
      <c r="O592" s="44"/>
    </row>
    <row r="593" spans="1:15" ht="17.25" customHeight="1">
      <c r="A593" s="44"/>
      <c r="B593" s="44"/>
      <c r="C593" s="44"/>
      <c r="D593" s="44"/>
      <c r="E593" s="44"/>
      <c r="F593" s="44"/>
      <c r="G593" s="44"/>
      <c r="H593" s="44"/>
      <c r="I593" s="44"/>
      <c r="J593" s="44"/>
      <c r="K593" s="44"/>
      <c r="L593" s="44"/>
      <c r="M593" s="44"/>
      <c r="N593" s="44"/>
      <c r="O593" s="44"/>
    </row>
    <row r="594" spans="1:15" ht="17.25" customHeight="1">
      <c r="A594" s="44"/>
      <c r="B594" s="44"/>
      <c r="C594" s="44"/>
      <c r="D594" s="44"/>
      <c r="E594" s="44"/>
      <c r="F594" s="44"/>
      <c r="G594" s="44"/>
      <c r="H594" s="44"/>
      <c r="I594" s="44"/>
      <c r="J594" s="44"/>
      <c r="K594" s="44"/>
      <c r="L594" s="44"/>
      <c r="M594" s="44"/>
      <c r="N594" s="44"/>
      <c r="O594" s="44"/>
    </row>
    <row r="595" spans="1:15" ht="17.25" customHeight="1">
      <c r="A595" s="44"/>
      <c r="B595" s="44"/>
      <c r="C595" s="44"/>
      <c r="D595" s="44"/>
      <c r="E595" s="44"/>
      <c r="F595" s="44"/>
      <c r="G595" s="44"/>
      <c r="H595" s="44"/>
      <c r="I595" s="44"/>
      <c r="J595" s="44"/>
      <c r="K595" s="44"/>
      <c r="L595" s="44"/>
      <c r="M595" s="44"/>
      <c r="N595" s="44"/>
      <c r="O595" s="44"/>
    </row>
    <row r="596" spans="1:15" ht="17.25" customHeight="1">
      <c r="A596" s="44"/>
      <c r="B596" s="44"/>
      <c r="C596" s="44"/>
      <c r="D596" s="44"/>
      <c r="E596" s="44"/>
      <c r="F596" s="44"/>
      <c r="G596" s="44"/>
      <c r="H596" s="44"/>
      <c r="I596" s="44"/>
      <c r="J596" s="44"/>
      <c r="K596" s="44"/>
      <c r="L596" s="44"/>
      <c r="M596" s="44"/>
      <c r="N596" s="44"/>
      <c r="O596" s="44"/>
    </row>
    <row r="597" spans="1:15" ht="17.25" customHeight="1">
      <c r="A597" s="44"/>
      <c r="B597" s="44"/>
      <c r="C597" s="44"/>
      <c r="D597" s="44"/>
      <c r="E597" s="44"/>
      <c r="F597" s="44"/>
      <c r="G597" s="44"/>
      <c r="H597" s="44"/>
      <c r="I597" s="44"/>
      <c r="J597" s="44"/>
      <c r="K597" s="44"/>
      <c r="L597" s="44"/>
      <c r="M597" s="44"/>
      <c r="N597" s="44"/>
      <c r="O597" s="44"/>
    </row>
    <row r="598" spans="1:15" ht="17.25" customHeight="1">
      <c r="A598" s="44"/>
      <c r="B598" s="44"/>
      <c r="C598" s="44"/>
      <c r="D598" s="44"/>
      <c r="E598" s="44"/>
      <c r="F598" s="44"/>
      <c r="G598" s="44"/>
      <c r="H598" s="44"/>
      <c r="I598" s="44"/>
      <c r="J598" s="44"/>
      <c r="K598" s="44"/>
      <c r="L598" s="44"/>
      <c r="M598" s="44"/>
      <c r="N598" s="44"/>
      <c r="O598" s="44"/>
    </row>
    <row r="599" spans="1:15" ht="17.25" customHeight="1">
      <c r="A599" s="44"/>
      <c r="B599" s="44"/>
      <c r="C599" s="44"/>
      <c r="D599" s="44"/>
      <c r="E599" s="44"/>
      <c r="F599" s="44"/>
      <c r="G599" s="44"/>
      <c r="H599" s="44"/>
      <c r="I599" s="44"/>
      <c r="J599" s="44"/>
      <c r="K599" s="44"/>
      <c r="L599" s="44"/>
      <c r="M599" s="44"/>
      <c r="N599" s="44"/>
      <c r="O599" s="44"/>
    </row>
    <row r="600" spans="1:15" ht="17.25" customHeight="1">
      <c r="A600" s="44"/>
      <c r="B600" s="44"/>
      <c r="C600" s="44"/>
      <c r="D600" s="44"/>
      <c r="E600" s="44"/>
      <c r="F600" s="44"/>
      <c r="G600" s="44"/>
      <c r="H600" s="44"/>
      <c r="I600" s="44"/>
      <c r="J600" s="44"/>
      <c r="K600" s="44"/>
      <c r="L600" s="44"/>
      <c r="M600" s="44"/>
      <c r="N600" s="44"/>
      <c r="O600" s="44"/>
    </row>
    <row r="601" spans="1:15" ht="17.25" customHeight="1">
      <c r="A601" s="44"/>
      <c r="B601" s="44"/>
      <c r="C601" s="44"/>
      <c r="D601" s="44"/>
      <c r="E601" s="44"/>
      <c r="F601" s="44"/>
      <c r="G601" s="44"/>
      <c r="H601" s="44"/>
      <c r="I601" s="44"/>
      <c r="J601" s="44"/>
      <c r="K601" s="44"/>
      <c r="L601" s="44"/>
      <c r="M601" s="44"/>
      <c r="N601" s="44"/>
      <c r="O601" s="44"/>
    </row>
    <row r="602" spans="1:15" ht="17.25" customHeight="1">
      <c r="A602" s="44"/>
      <c r="B602" s="44"/>
      <c r="C602" s="44"/>
      <c r="D602" s="44"/>
      <c r="E602" s="44"/>
      <c r="F602" s="44"/>
      <c r="G602" s="44"/>
      <c r="H602" s="44"/>
      <c r="I602" s="44"/>
      <c r="J602" s="44"/>
      <c r="K602" s="44"/>
      <c r="L602" s="44"/>
      <c r="M602" s="44"/>
      <c r="N602" s="44"/>
      <c r="O602" s="44"/>
    </row>
    <row r="603" spans="1:15" ht="17.25" customHeight="1">
      <c r="A603" s="44"/>
      <c r="B603" s="44"/>
      <c r="C603" s="44"/>
      <c r="D603" s="44"/>
      <c r="E603" s="44"/>
      <c r="F603" s="44"/>
      <c r="G603" s="44"/>
      <c r="H603" s="44"/>
      <c r="I603" s="44"/>
      <c r="J603" s="44"/>
      <c r="K603" s="44"/>
      <c r="L603" s="44"/>
      <c r="M603" s="44"/>
      <c r="N603" s="44"/>
      <c r="O603" s="44"/>
    </row>
    <row r="604" spans="1:15" ht="17.25" customHeight="1">
      <c r="A604" s="44"/>
      <c r="B604" s="44"/>
      <c r="C604" s="44"/>
      <c r="D604" s="44"/>
      <c r="E604" s="44"/>
      <c r="F604" s="44"/>
      <c r="G604" s="44"/>
      <c r="H604" s="44"/>
      <c r="I604" s="44"/>
      <c r="J604" s="44"/>
      <c r="K604" s="44"/>
      <c r="L604" s="44"/>
      <c r="M604" s="44"/>
      <c r="N604" s="44"/>
      <c r="O604" s="44"/>
    </row>
    <row r="605" spans="1:15" ht="17.25" customHeight="1">
      <c r="A605" s="44"/>
      <c r="B605" s="44"/>
      <c r="C605" s="44"/>
      <c r="D605" s="44"/>
      <c r="E605" s="44"/>
      <c r="F605" s="44"/>
      <c r="G605" s="44"/>
      <c r="H605" s="44"/>
      <c r="I605" s="44"/>
      <c r="J605" s="44"/>
      <c r="K605" s="44"/>
      <c r="L605" s="44"/>
      <c r="M605" s="44"/>
      <c r="N605" s="44"/>
      <c r="O605" s="44"/>
    </row>
    <row r="606" spans="1:15" ht="17.25" customHeight="1">
      <c r="A606" s="44"/>
      <c r="B606" s="44"/>
      <c r="C606" s="44"/>
      <c r="D606" s="44"/>
      <c r="E606" s="44"/>
      <c r="F606" s="44"/>
      <c r="G606" s="44"/>
      <c r="H606" s="44"/>
      <c r="I606" s="44"/>
      <c r="J606" s="44"/>
      <c r="K606" s="44"/>
      <c r="L606" s="44"/>
      <c r="M606" s="44"/>
      <c r="N606" s="44"/>
      <c r="O606" s="44"/>
    </row>
    <row r="607" spans="1:15" ht="17.25" customHeight="1">
      <c r="A607" s="44"/>
      <c r="B607" s="44"/>
      <c r="C607" s="44"/>
      <c r="D607" s="44"/>
      <c r="E607" s="44"/>
      <c r="F607" s="44"/>
      <c r="G607" s="44"/>
      <c r="H607" s="44"/>
      <c r="I607" s="44"/>
      <c r="J607" s="44"/>
      <c r="K607" s="44"/>
      <c r="L607" s="44"/>
      <c r="M607" s="44"/>
      <c r="N607" s="44"/>
      <c r="O607" s="44"/>
    </row>
    <row r="608" spans="1:15" ht="17.25" customHeight="1">
      <c r="A608" s="44"/>
      <c r="B608" s="44"/>
      <c r="C608" s="44"/>
      <c r="D608" s="44"/>
      <c r="E608" s="44"/>
      <c r="F608" s="44"/>
      <c r="G608" s="44"/>
      <c r="H608" s="44"/>
      <c r="I608" s="44"/>
      <c r="J608" s="44"/>
      <c r="K608" s="44"/>
      <c r="L608" s="44"/>
      <c r="M608" s="44"/>
      <c r="N608" s="44"/>
      <c r="O608" s="44"/>
    </row>
    <row r="609" spans="1:15" ht="17.25" customHeight="1">
      <c r="A609" s="44"/>
      <c r="B609" s="44"/>
      <c r="C609" s="44"/>
      <c r="D609" s="44"/>
      <c r="E609" s="44"/>
      <c r="F609" s="44"/>
      <c r="G609" s="44"/>
      <c r="H609" s="44"/>
      <c r="I609" s="44"/>
      <c r="J609" s="44"/>
      <c r="K609" s="44"/>
      <c r="L609" s="44"/>
      <c r="M609" s="44"/>
      <c r="N609" s="44"/>
      <c r="O609" s="44"/>
    </row>
    <row r="610" spans="1:15" ht="17.25" customHeight="1">
      <c r="A610" s="44"/>
      <c r="B610" s="44"/>
      <c r="C610" s="44"/>
      <c r="D610" s="44"/>
      <c r="E610" s="44"/>
      <c r="F610" s="44"/>
      <c r="G610" s="44"/>
      <c r="H610" s="44"/>
      <c r="I610" s="44"/>
      <c r="J610" s="44"/>
      <c r="K610" s="44"/>
      <c r="L610" s="44"/>
      <c r="M610" s="44"/>
      <c r="N610" s="44"/>
      <c r="O610" s="44"/>
    </row>
    <row r="611" spans="1:15" ht="17.25" customHeight="1">
      <c r="A611" s="44"/>
      <c r="B611" s="44"/>
      <c r="C611" s="44"/>
      <c r="D611" s="44"/>
      <c r="E611" s="44"/>
      <c r="F611" s="44"/>
      <c r="G611" s="44"/>
      <c r="H611" s="44"/>
      <c r="I611" s="44"/>
      <c r="J611" s="44"/>
      <c r="K611" s="44"/>
      <c r="L611" s="44"/>
      <c r="M611" s="44"/>
      <c r="N611" s="44"/>
      <c r="O611" s="44"/>
    </row>
    <row r="612" spans="1:15" ht="17.25" customHeight="1">
      <c r="A612" s="44"/>
      <c r="B612" s="44"/>
      <c r="C612" s="44"/>
      <c r="D612" s="44"/>
      <c r="E612" s="44"/>
      <c r="F612" s="44"/>
      <c r="G612" s="44"/>
      <c r="H612" s="44"/>
      <c r="I612" s="44"/>
      <c r="J612" s="44"/>
      <c r="K612" s="44"/>
      <c r="L612" s="44"/>
      <c r="M612" s="44"/>
      <c r="N612" s="44"/>
      <c r="O612" s="44"/>
    </row>
    <row r="613" spans="1:15" ht="17.25" customHeight="1">
      <c r="A613" s="44"/>
      <c r="B613" s="44"/>
      <c r="C613" s="44"/>
      <c r="D613" s="44"/>
      <c r="E613" s="44"/>
      <c r="F613" s="44"/>
      <c r="G613" s="44"/>
      <c r="H613" s="44"/>
      <c r="I613" s="44"/>
      <c r="J613" s="44"/>
      <c r="K613" s="44"/>
      <c r="L613" s="44"/>
      <c r="M613" s="44"/>
      <c r="N613" s="44"/>
      <c r="O613" s="44"/>
    </row>
    <row r="614" spans="1:15" ht="17.25" customHeight="1">
      <c r="A614" s="44"/>
      <c r="B614" s="44"/>
      <c r="C614" s="44"/>
      <c r="D614" s="44"/>
      <c r="E614" s="44"/>
      <c r="F614" s="44"/>
      <c r="G614" s="44"/>
      <c r="H614" s="44"/>
      <c r="I614" s="44"/>
      <c r="J614" s="44"/>
      <c r="K614" s="44"/>
      <c r="L614" s="44"/>
      <c r="M614" s="44"/>
      <c r="N614" s="44"/>
      <c r="O614" s="44"/>
    </row>
    <row r="615" spans="1:15" ht="17.25" customHeight="1">
      <c r="A615" s="44"/>
      <c r="B615" s="44"/>
      <c r="C615" s="44"/>
      <c r="D615" s="44"/>
      <c r="E615" s="44"/>
      <c r="F615" s="44"/>
      <c r="G615" s="44"/>
      <c r="H615" s="44"/>
      <c r="I615" s="44"/>
      <c r="J615" s="44"/>
      <c r="K615" s="44"/>
      <c r="L615" s="44"/>
      <c r="M615" s="44"/>
      <c r="N615" s="44"/>
      <c r="O615" s="44"/>
    </row>
    <row r="616" spans="1:15" ht="17.25" customHeight="1">
      <c r="A616" s="44"/>
      <c r="B616" s="44"/>
      <c r="C616" s="44"/>
      <c r="D616" s="44"/>
      <c r="E616" s="44"/>
      <c r="F616" s="44"/>
      <c r="G616" s="44"/>
      <c r="H616" s="44"/>
      <c r="I616" s="44"/>
      <c r="J616" s="44"/>
      <c r="K616" s="44"/>
      <c r="L616" s="44"/>
      <c r="M616" s="44"/>
      <c r="N616" s="44"/>
      <c r="O616" s="44"/>
    </row>
    <row r="617" spans="1:15" ht="17.25" customHeight="1">
      <c r="A617" s="44"/>
      <c r="B617" s="44"/>
      <c r="C617" s="44"/>
      <c r="D617" s="44"/>
      <c r="E617" s="44"/>
      <c r="F617" s="44"/>
      <c r="G617" s="44"/>
      <c r="H617" s="44"/>
      <c r="I617" s="44"/>
      <c r="J617" s="44"/>
      <c r="K617" s="44"/>
      <c r="L617" s="44"/>
      <c r="M617" s="44"/>
      <c r="N617" s="44"/>
      <c r="O617" s="44"/>
    </row>
    <row r="618" spans="1:15" ht="17.25" customHeight="1">
      <c r="A618" s="44"/>
      <c r="B618" s="44"/>
      <c r="C618" s="44"/>
      <c r="D618" s="44"/>
      <c r="E618" s="44"/>
      <c r="F618" s="44"/>
      <c r="G618" s="44"/>
      <c r="H618" s="44"/>
      <c r="I618" s="44"/>
      <c r="J618" s="44"/>
      <c r="K618" s="44"/>
      <c r="L618" s="44"/>
      <c r="M618" s="44"/>
      <c r="N618" s="44"/>
      <c r="O618" s="44"/>
    </row>
    <row r="619" spans="1:15" ht="17.25" customHeight="1">
      <c r="A619" s="44"/>
      <c r="B619" s="44"/>
      <c r="C619" s="44"/>
      <c r="D619" s="44"/>
      <c r="E619" s="44"/>
      <c r="F619" s="44"/>
      <c r="G619" s="44"/>
      <c r="H619" s="44"/>
      <c r="I619" s="44"/>
      <c r="J619" s="44"/>
      <c r="K619" s="44"/>
      <c r="L619" s="44"/>
      <c r="M619" s="44"/>
      <c r="N619" s="44"/>
      <c r="O619" s="44"/>
    </row>
    <row r="620" spans="1:15" ht="17.25" customHeight="1">
      <c r="A620" s="44"/>
      <c r="B620" s="44"/>
      <c r="C620" s="44"/>
      <c r="D620" s="44"/>
      <c r="E620" s="44"/>
      <c r="F620" s="44"/>
      <c r="G620" s="44"/>
      <c r="H620" s="44"/>
      <c r="I620" s="44"/>
      <c r="J620" s="44"/>
      <c r="K620" s="44"/>
      <c r="L620" s="44"/>
      <c r="M620" s="44"/>
      <c r="N620" s="44"/>
      <c r="O620" s="44"/>
    </row>
    <row r="621" spans="1:15" ht="17.25" customHeight="1">
      <c r="A621" s="44"/>
      <c r="B621" s="44"/>
      <c r="C621" s="44"/>
      <c r="D621" s="44"/>
      <c r="E621" s="44"/>
      <c r="F621" s="44"/>
      <c r="G621" s="44"/>
      <c r="H621" s="44"/>
      <c r="I621" s="44"/>
      <c r="J621" s="44"/>
      <c r="K621" s="44"/>
      <c r="L621" s="44"/>
      <c r="M621" s="44"/>
      <c r="N621" s="44"/>
      <c r="O621" s="44"/>
    </row>
    <row r="622" spans="1:15" ht="17.25" customHeight="1">
      <c r="A622" s="44"/>
      <c r="B622" s="44"/>
      <c r="C622" s="44"/>
      <c r="D622" s="44"/>
      <c r="E622" s="44"/>
      <c r="F622" s="44"/>
      <c r="G622" s="44"/>
      <c r="H622" s="44"/>
      <c r="I622" s="44"/>
      <c r="J622" s="44"/>
      <c r="K622" s="44"/>
      <c r="L622" s="44"/>
      <c r="M622" s="44"/>
      <c r="N622" s="44"/>
      <c r="O622" s="44"/>
    </row>
    <row r="623" spans="1:15" ht="17.25" customHeight="1">
      <c r="A623" s="44"/>
      <c r="B623" s="44"/>
      <c r="C623" s="44"/>
      <c r="D623" s="44"/>
      <c r="E623" s="44"/>
      <c r="F623" s="44"/>
      <c r="G623" s="44"/>
      <c r="H623" s="44"/>
      <c r="I623" s="44"/>
      <c r="J623" s="44"/>
      <c r="K623" s="44"/>
      <c r="L623" s="44"/>
      <c r="M623" s="44"/>
      <c r="N623" s="44"/>
      <c r="O623" s="44"/>
    </row>
    <row r="624" spans="1:15" ht="17.25" customHeight="1">
      <c r="A624" s="44"/>
      <c r="B624" s="44"/>
      <c r="C624" s="44"/>
      <c r="D624" s="44"/>
      <c r="E624" s="44"/>
      <c r="F624" s="44"/>
      <c r="G624" s="44"/>
      <c r="H624" s="44"/>
      <c r="I624" s="44"/>
      <c r="J624" s="44"/>
      <c r="K624" s="44"/>
      <c r="L624" s="44"/>
      <c r="M624" s="44"/>
      <c r="N624" s="44"/>
      <c r="O624" s="44"/>
    </row>
    <row r="625" spans="1:15" ht="17.25" customHeight="1">
      <c r="A625" s="44"/>
      <c r="B625" s="44"/>
      <c r="C625" s="44"/>
      <c r="D625" s="44"/>
      <c r="E625" s="44"/>
      <c r="F625" s="44"/>
      <c r="G625" s="44"/>
      <c r="H625" s="44"/>
      <c r="I625" s="44"/>
      <c r="J625" s="44"/>
      <c r="K625" s="44"/>
      <c r="L625" s="44"/>
      <c r="M625" s="44"/>
      <c r="N625" s="44"/>
      <c r="O625" s="44"/>
    </row>
    <row r="626" spans="1:15" ht="17.25" customHeight="1">
      <c r="A626" s="44"/>
      <c r="B626" s="44"/>
      <c r="C626" s="44"/>
      <c r="D626" s="44"/>
      <c r="E626" s="44"/>
      <c r="F626" s="44"/>
      <c r="G626" s="44"/>
      <c r="H626" s="44"/>
      <c r="I626" s="44"/>
      <c r="J626" s="44"/>
      <c r="K626" s="44"/>
      <c r="L626" s="44"/>
      <c r="M626" s="44"/>
      <c r="N626" s="44"/>
      <c r="O626" s="44"/>
    </row>
    <row r="627" spans="1:15" ht="17.25" customHeight="1">
      <c r="A627" s="44"/>
      <c r="B627" s="44"/>
      <c r="C627" s="44"/>
      <c r="D627" s="44"/>
      <c r="E627" s="44"/>
      <c r="F627" s="44"/>
      <c r="G627" s="44"/>
      <c r="H627" s="44"/>
      <c r="I627" s="44"/>
      <c r="J627" s="44"/>
      <c r="K627" s="44"/>
      <c r="L627" s="44"/>
      <c r="M627" s="44"/>
      <c r="N627" s="44"/>
      <c r="O627" s="44"/>
    </row>
    <row r="628" spans="1:15" ht="17.25" customHeight="1">
      <c r="A628" s="44"/>
      <c r="B628" s="44"/>
      <c r="C628" s="44"/>
      <c r="D628" s="44"/>
      <c r="E628" s="44"/>
      <c r="F628" s="44"/>
      <c r="G628" s="44"/>
      <c r="H628" s="44"/>
      <c r="I628" s="44"/>
      <c r="J628" s="44"/>
      <c r="K628" s="44"/>
      <c r="L628" s="44"/>
      <c r="M628" s="44"/>
      <c r="N628" s="44"/>
      <c r="O628" s="44"/>
    </row>
    <row r="629" spans="1:15" ht="17.25" customHeight="1">
      <c r="A629" s="44"/>
      <c r="B629" s="44"/>
      <c r="C629" s="44"/>
      <c r="D629" s="44"/>
      <c r="E629" s="44"/>
      <c r="F629" s="44"/>
      <c r="G629" s="44"/>
      <c r="H629" s="44"/>
      <c r="I629" s="44"/>
      <c r="J629" s="44"/>
      <c r="K629" s="44"/>
      <c r="L629" s="44"/>
      <c r="M629" s="44"/>
      <c r="N629" s="44"/>
      <c r="O629" s="44"/>
    </row>
    <row r="630" spans="1:15" ht="17.25" customHeight="1">
      <c r="A630" s="44"/>
      <c r="B630" s="44"/>
      <c r="C630" s="44"/>
      <c r="D630" s="44"/>
      <c r="E630" s="44"/>
      <c r="F630" s="44"/>
      <c r="G630" s="44"/>
      <c r="H630" s="44"/>
      <c r="I630" s="44"/>
      <c r="J630" s="44"/>
      <c r="K630" s="44"/>
      <c r="L630" s="44"/>
      <c r="M630" s="44"/>
      <c r="N630" s="44"/>
      <c r="O630" s="44"/>
    </row>
    <row r="631" spans="1:15" ht="17.25" customHeight="1">
      <c r="A631" s="44"/>
      <c r="B631" s="44"/>
      <c r="C631" s="44"/>
      <c r="D631" s="44"/>
      <c r="E631" s="44"/>
      <c r="F631" s="44"/>
      <c r="G631" s="44"/>
      <c r="H631" s="44"/>
      <c r="I631" s="44"/>
      <c r="J631" s="44"/>
      <c r="K631" s="44"/>
      <c r="L631" s="44"/>
      <c r="M631" s="44"/>
      <c r="N631" s="44"/>
      <c r="O631" s="44"/>
    </row>
    <row r="632" spans="1:15" ht="17.25" customHeight="1">
      <c r="A632" s="44"/>
      <c r="B632" s="44"/>
      <c r="C632" s="44"/>
      <c r="D632" s="44"/>
      <c r="E632" s="44"/>
      <c r="F632" s="44"/>
      <c r="G632" s="44"/>
      <c r="H632" s="44"/>
      <c r="I632" s="44"/>
      <c r="J632" s="44"/>
      <c r="K632" s="44"/>
      <c r="L632" s="44"/>
      <c r="M632" s="44"/>
      <c r="N632" s="44"/>
      <c r="O632" s="44"/>
    </row>
    <row r="633" spans="1:15" ht="17.25" customHeight="1">
      <c r="A633" s="44"/>
      <c r="B633" s="44"/>
      <c r="C633" s="44"/>
      <c r="D633" s="44"/>
      <c r="E633" s="44"/>
      <c r="F633" s="44"/>
      <c r="G633" s="44"/>
      <c r="H633" s="44"/>
      <c r="I633" s="44"/>
      <c r="J633" s="44"/>
      <c r="K633" s="44"/>
      <c r="L633" s="44"/>
      <c r="M633" s="44"/>
      <c r="N633" s="44"/>
      <c r="O633" s="44"/>
    </row>
    <row r="634" spans="1:15" ht="17.25" customHeight="1">
      <c r="A634" s="44"/>
      <c r="B634" s="44"/>
      <c r="C634" s="44"/>
      <c r="D634" s="44"/>
      <c r="E634" s="44"/>
      <c r="F634" s="44"/>
      <c r="G634" s="44"/>
      <c r="H634" s="44"/>
      <c r="I634" s="44"/>
      <c r="J634" s="44"/>
      <c r="K634" s="44"/>
      <c r="L634" s="44"/>
      <c r="M634" s="44"/>
      <c r="N634" s="44"/>
      <c r="O634" s="44"/>
    </row>
    <row r="635" spans="1:15" ht="17.25" customHeight="1">
      <c r="A635" s="44"/>
      <c r="B635" s="44"/>
      <c r="C635" s="44"/>
      <c r="D635" s="44"/>
      <c r="E635" s="44"/>
      <c r="F635" s="44"/>
      <c r="G635" s="44"/>
      <c r="H635" s="44"/>
      <c r="I635" s="44"/>
      <c r="J635" s="44"/>
      <c r="K635" s="44"/>
      <c r="L635" s="44"/>
      <c r="M635" s="44"/>
      <c r="N635" s="44"/>
      <c r="O635" s="44"/>
    </row>
    <row r="636" spans="1:15" ht="17.25" customHeight="1">
      <c r="A636" s="44"/>
      <c r="B636" s="44"/>
      <c r="C636" s="44"/>
      <c r="D636" s="44"/>
      <c r="E636" s="44"/>
      <c r="F636" s="44"/>
      <c r="G636" s="44"/>
      <c r="H636" s="44"/>
      <c r="I636" s="44"/>
      <c r="J636" s="44"/>
      <c r="K636" s="44"/>
      <c r="L636" s="44"/>
      <c r="M636" s="44"/>
      <c r="N636" s="44"/>
      <c r="O636" s="44"/>
    </row>
    <row r="637" spans="1:15" ht="17.25" customHeight="1">
      <c r="A637" s="44"/>
      <c r="B637" s="44"/>
      <c r="C637" s="44"/>
      <c r="D637" s="44"/>
      <c r="E637" s="44"/>
      <c r="F637" s="44"/>
      <c r="G637" s="44"/>
      <c r="H637" s="44"/>
      <c r="I637" s="44"/>
      <c r="J637" s="44"/>
      <c r="K637" s="44"/>
      <c r="L637" s="44"/>
      <c r="M637" s="44"/>
      <c r="N637" s="44"/>
      <c r="O637" s="44"/>
    </row>
    <row r="638" spans="1:15" ht="17.25" customHeight="1">
      <c r="A638" s="44"/>
      <c r="B638" s="44"/>
      <c r="C638" s="44"/>
      <c r="D638" s="44"/>
      <c r="E638" s="44"/>
      <c r="F638" s="44"/>
      <c r="G638" s="44"/>
      <c r="H638" s="44"/>
      <c r="I638" s="44"/>
      <c r="J638" s="44"/>
      <c r="K638" s="44"/>
      <c r="L638" s="44"/>
      <c r="M638" s="44"/>
      <c r="N638" s="44"/>
      <c r="O638" s="44"/>
    </row>
    <row r="639" spans="1:15" ht="17.25" customHeight="1">
      <c r="A639" s="44"/>
      <c r="B639" s="44"/>
      <c r="C639" s="44"/>
      <c r="D639" s="44"/>
      <c r="E639" s="44"/>
      <c r="F639" s="44"/>
      <c r="G639" s="44"/>
      <c r="H639" s="44"/>
      <c r="I639" s="44"/>
      <c r="J639" s="44"/>
      <c r="K639" s="44"/>
      <c r="L639" s="44"/>
      <c r="M639" s="44"/>
      <c r="N639" s="44"/>
      <c r="O639" s="44"/>
    </row>
    <row r="640" spans="1:15" ht="17.25" customHeight="1">
      <c r="A640" s="44"/>
      <c r="B640" s="44"/>
      <c r="C640" s="44"/>
      <c r="D640" s="44"/>
      <c r="E640" s="44"/>
      <c r="F640" s="44"/>
      <c r="G640" s="44"/>
      <c r="H640" s="44"/>
      <c r="I640" s="44"/>
      <c r="J640" s="44"/>
      <c r="K640" s="44"/>
      <c r="L640" s="44"/>
      <c r="M640" s="44"/>
      <c r="N640" s="44"/>
      <c r="O640" s="44"/>
    </row>
    <row r="641" spans="1:15" ht="17.25" customHeight="1">
      <c r="A641" s="44"/>
      <c r="B641" s="44"/>
      <c r="C641" s="44"/>
      <c r="D641" s="44"/>
      <c r="E641" s="44"/>
      <c r="F641" s="44"/>
      <c r="G641" s="44"/>
      <c r="H641" s="44"/>
      <c r="I641" s="44"/>
      <c r="J641" s="44"/>
      <c r="K641" s="44"/>
      <c r="L641" s="44"/>
      <c r="M641" s="44"/>
      <c r="N641" s="44"/>
      <c r="O641" s="44"/>
    </row>
    <row r="642" spans="1:15" ht="17.25" customHeight="1">
      <c r="A642" s="44"/>
      <c r="B642" s="44"/>
      <c r="C642" s="44"/>
      <c r="D642" s="44"/>
      <c r="E642" s="44"/>
      <c r="F642" s="44"/>
      <c r="G642" s="44"/>
      <c r="H642" s="44"/>
      <c r="I642" s="44"/>
      <c r="J642" s="44"/>
      <c r="K642" s="44"/>
      <c r="L642" s="44"/>
      <c r="M642" s="44"/>
      <c r="N642" s="44"/>
      <c r="O642" s="44"/>
    </row>
    <row r="643" spans="1:15" ht="17.25" customHeight="1">
      <c r="A643" s="44"/>
      <c r="B643" s="44"/>
      <c r="C643" s="44"/>
      <c r="D643" s="44"/>
      <c r="E643" s="44"/>
      <c r="F643" s="44"/>
      <c r="G643" s="44"/>
      <c r="H643" s="44"/>
      <c r="I643" s="44"/>
      <c r="J643" s="44"/>
      <c r="K643" s="44"/>
      <c r="L643" s="44"/>
      <c r="M643" s="44"/>
      <c r="N643" s="44"/>
      <c r="O643" s="44"/>
    </row>
    <row r="644" spans="1:15" ht="17.25" customHeight="1">
      <c r="A644" s="44"/>
      <c r="B644" s="44"/>
      <c r="C644" s="44"/>
      <c r="D644" s="44"/>
      <c r="E644" s="44"/>
      <c r="F644" s="44"/>
      <c r="G644" s="44"/>
      <c r="H644" s="44"/>
      <c r="I644" s="44"/>
      <c r="J644" s="44"/>
      <c r="K644" s="44"/>
      <c r="L644" s="44"/>
      <c r="M644" s="44"/>
      <c r="N644" s="44"/>
      <c r="O644" s="44"/>
    </row>
    <row r="645" spans="1:15" ht="17.25" customHeight="1">
      <c r="A645" s="44"/>
      <c r="B645" s="44"/>
      <c r="C645" s="44"/>
      <c r="D645" s="44"/>
      <c r="E645" s="44"/>
      <c r="F645" s="44"/>
      <c r="G645" s="44"/>
      <c r="H645" s="44"/>
      <c r="I645" s="44"/>
      <c r="J645" s="44"/>
      <c r="K645" s="44"/>
      <c r="L645" s="44"/>
      <c r="M645" s="44"/>
      <c r="N645" s="44"/>
      <c r="O645" s="44"/>
    </row>
    <row r="646" spans="1:15" ht="17.25" customHeight="1">
      <c r="A646" s="44"/>
      <c r="B646" s="44"/>
      <c r="C646" s="44"/>
      <c r="D646" s="44"/>
      <c r="E646" s="44"/>
      <c r="F646" s="44"/>
      <c r="G646" s="44"/>
      <c r="H646" s="44"/>
      <c r="I646" s="44"/>
      <c r="J646" s="44"/>
      <c r="K646" s="44"/>
      <c r="L646" s="44"/>
      <c r="M646" s="44"/>
      <c r="N646" s="44"/>
      <c r="O646" s="44"/>
    </row>
    <row r="647" spans="1:15" ht="17.25" customHeight="1">
      <c r="A647" s="44"/>
      <c r="B647" s="44"/>
      <c r="C647" s="44"/>
      <c r="D647" s="44"/>
      <c r="E647" s="44"/>
      <c r="F647" s="44"/>
      <c r="G647" s="44"/>
      <c r="H647" s="44"/>
      <c r="I647" s="44"/>
      <c r="J647" s="44"/>
      <c r="K647" s="44"/>
      <c r="L647" s="44"/>
      <c r="M647" s="44"/>
      <c r="N647" s="44"/>
      <c r="O647" s="44"/>
    </row>
    <row r="648" spans="1:15" ht="17.25" customHeight="1">
      <c r="A648" s="44"/>
      <c r="B648" s="44"/>
      <c r="C648" s="44"/>
      <c r="D648" s="44"/>
      <c r="E648" s="44"/>
      <c r="F648" s="44"/>
      <c r="G648" s="44"/>
      <c r="H648" s="44"/>
      <c r="I648" s="44"/>
      <c r="J648" s="44"/>
      <c r="K648" s="44"/>
      <c r="L648" s="44"/>
      <c r="M648" s="44"/>
      <c r="N648" s="44"/>
      <c r="O648" s="44"/>
    </row>
    <row r="649" spans="1:15" ht="17.25" customHeight="1">
      <c r="A649" s="44"/>
      <c r="B649" s="44"/>
      <c r="C649" s="44"/>
      <c r="D649" s="44"/>
      <c r="E649" s="44"/>
      <c r="F649" s="44"/>
      <c r="G649" s="44"/>
      <c r="H649" s="44"/>
      <c r="I649" s="44"/>
      <c r="J649" s="44"/>
      <c r="K649" s="44"/>
      <c r="L649" s="44"/>
      <c r="M649" s="44"/>
      <c r="N649" s="44"/>
      <c r="O649" s="44"/>
    </row>
    <row r="650" spans="1:15" ht="17.25" customHeight="1">
      <c r="A650" s="44"/>
      <c r="B650" s="44"/>
      <c r="C650" s="44"/>
      <c r="D650" s="44"/>
      <c r="E650" s="44"/>
      <c r="F650" s="44"/>
      <c r="G650" s="44"/>
      <c r="H650" s="44"/>
      <c r="I650" s="44"/>
      <c r="J650" s="44"/>
      <c r="K650" s="44"/>
      <c r="L650" s="44"/>
      <c r="M650" s="44"/>
      <c r="N650" s="44"/>
      <c r="O650" s="44"/>
    </row>
    <row r="651" spans="1:15" ht="17.25" customHeight="1">
      <c r="A651" s="44"/>
      <c r="B651" s="44"/>
      <c r="C651" s="44"/>
      <c r="D651" s="44"/>
      <c r="E651" s="44"/>
      <c r="F651" s="44"/>
      <c r="G651" s="44"/>
      <c r="H651" s="44"/>
      <c r="I651" s="44"/>
      <c r="J651" s="44"/>
      <c r="K651" s="44"/>
      <c r="L651" s="44"/>
      <c r="M651" s="44"/>
      <c r="N651" s="44"/>
      <c r="O651" s="44"/>
    </row>
    <row r="652" spans="1:15" ht="17.25" customHeight="1">
      <c r="A652" s="44"/>
      <c r="B652" s="44"/>
      <c r="C652" s="44"/>
      <c r="D652" s="44"/>
      <c r="E652" s="44"/>
      <c r="F652" s="44"/>
      <c r="G652" s="44"/>
      <c r="H652" s="44"/>
      <c r="I652" s="44"/>
      <c r="J652" s="44"/>
      <c r="K652" s="44"/>
      <c r="L652" s="44"/>
      <c r="M652" s="44"/>
      <c r="N652" s="44"/>
      <c r="O652" s="44"/>
    </row>
    <row r="653" spans="1:15" ht="17.25" customHeight="1">
      <c r="A653" s="44"/>
      <c r="B653" s="44"/>
      <c r="C653" s="44"/>
      <c r="D653" s="44"/>
      <c r="E653" s="44"/>
      <c r="F653" s="44"/>
      <c r="G653" s="44"/>
      <c r="H653" s="44"/>
      <c r="I653" s="44"/>
      <c r="J653" s="44"/>
      <c r="K653" s="44"/>
      <c r="L653" s="44"/>
      <c r="M653" s="44"/>
      <c r="N653" s="44"/>
      <c r="O653" s="44"/>
    </row>
    <row r="654" spans="1:15" ht="17.25" customHeight="1">
      <c r="A654" s="44"/>
      <c r="B654" s="44"/>
      <c r="C654" s="44"/>
      <c r="D654" s="44"/>
      <c r="E654" s="44"/>
      <c r="F654" s="44"/>
      <c r="G654" s="44"/>
      <c r="H654" s="44"/>
      <c r="I654" s="44"/>
      <c r="J654" s="44"/>
      <c r="K654" s="44"/>
      <c r="L654" s="44"/>
      <c r="M654" s="44"/>
      <c r="N654" s="44"/>
      <c r="O654" s="44"/>
    </row>
    <row r="655" spans="1:15" ht="17.25" customHeight="1">
      <c r="A655" s="44"/>
      <c r="B655" s="44"/>
      <c r="C655" s="44"/>
      <c r="D655" s="44"/>
      <c r="E655" s="44"/>
      <c r="F655" s="44"/>
      <c r="G655" s="44"/>
      <c r="H655" s="44"/>
      <c r="I655" s="44"/>
      <c r="J655" s="44"/>
      <c r="K655" s="44"/>
      <c r="L655" s="44"/>
      <c r="M655" s="44"/>
      <c r="N655" s="44"/>
      <c r="O655" s="44"/>
    </row>
    <row r="656" spans="1:15" ht="17.25" customHeight="1">
      <c r="A656" s="44"/>
      <c r="B656" s="44"/>
      <c r="C656" s="44"/>
      <c r="D656" s="44"/>
      <c r="E656" s="44"/>
      <c r="F656" s="44"/>
      <c r="G656" s="44"/>
      <c r="H656" s="44"/>
      <c r="I656" s="44"/>
      <c r="J656" s="44"/>
      <c r="K656" s="44"/>
      <c r="L656" s="44"/>
      <c r="M656" s="44"/>
      <c r="N656" s="44"/>
      <c r="O656" s="44"/>
    </row>
    <row r="657" spans="1:15" ht="17.25" customHeight="1">
      <c r="A657" s="44"/>
      <c r="B657" s="44"/>
      <c r="C657" s="44"/>
      <c r="D657" s="44"/>
      <c r="E657" s="44"/>
      <c r="F657" s="44"/>
      <c r="G657" s="44"/>
      <c r="H657" s="44"/>
      <c r="I657" s="44"/>
      <c r="J657" s="44"/>
      <c r="K657" s="44"/>
      <c r="L657" s="44"/>
      <c r="M657" s="44"/>
      <c r="N657" s="44"/>
      <c r="O657" s="44"/>
    </row>
    <row r="658" spans="1:15" ht="17.25" customHeight="1">
      <c r="A658" s="44"/>
      <c r="B658" s="44"/>
      <c r="C658" s="44"/>
      <c r="D658" s="44"/>
      <c r="E658" s="44"/>
      <c r="F658" s="44"/>
      <c r="G658" s="44"/>
      <c r="H658" s="44"/>
      <c r="I658" s="44"/>
      <c r="J658" s="44"/>
      <c r="K658" s="44"/>
      <c r="L658" s="44"/>
      <c r="M658" s="44"/>
      <c r="N658" s="44"/>
      <c r="O658" s="44"/>
    </row>
    <row r="659" spans="1:15" ht="17.25" customHeight="1">
      <c r="A659" s="44"/>
      <c r="B659" s="44"/>
      <c r="C659" s="44"/>
      <c r="D659" s="44"/>
      <c r="E659" s="44"/>
      <c r="F659" s="44"/>
      <c r="G659" s="44"/>
      <c r="H659" s="44"/>
      <c r="I659" s="44"/>
      <c r="J659" s="44"/>
      <c r="K659" s="44"/>
      <c r="L659" s="44"/>
      <c r="M659" s="44"/>
      <c r="N659" s="44"/>
      <c r="O659" s="44"/>
    </row>
    <row r="660" spans="1:15" ht="17.25" customHeight="1">
      <c r="A660" s="44"/>
      <c r="B660" s="44"/>
      <c r="C660" s="44"/>
      <c r="D660" s="44"/>
      <c r="E660" s="44"/>
      <c r="F660" s="44"/>
      <c r="G660" s="44"/>
      <c r="H660" s="44"/>
      <c r="I660" s="44"/>
      <c r="J660" s="44"/>
      <c r="K660" s="44"/>
      <c r="L660" s="44"/>
      <c r="M660" s="44"/>
      <c r="N660" s="44"/>
      <c r="O660" s="44"/>
    </row>
    <row r="661" spans="1:15" ht="17.25" customHeight="1">
      <c r="A661" s="44"/>
      <c r="B661" s="44"/>
      <c r="C661" s="44"/>
      <c r="D661" s="44"/>
      <c r="E661" s="44"/>
      <c r="F661" s="44"/>
      <c r="G661" s="44"/>
      <c r="H661" s="44"/>
      <c r="I661" s="44"/>
      <c r="J661" s="44"/>
      <c r="K661" s="44"/>
      <c r="L661" s="44"/>
      <c r="M661" s="44"/>
      <c r="N661" s="44"/>
      <c r="O661" s="44"/>
    </row>
    <row r="662" spans="1:15" ht="17.25" customHeight="1">
      <c r="A662" s="44"/>
      <c r="B662" s="44"/>
      <c r="C662" s="44"/>
      <c r="D662" s="44"/>
      <c r="E662" s="44"/>
      <c r="F662" s="44"/>
      <c r="G662" s="44"/>
      <c r="H662" s="44"/>
      <c r="I662" s="44"/>
      <c r="J662" s="44"/>
      <c r="K662" s="44"/>
      <c r="L662" s="44"/>
      <c r="M662" s="44"/>
      <c r="N662" s="44"/>
      <c r="O662" s="44"/>
    </row>
    <row r="663" spans="1:15" ht="17.25" customHeight="1">
      <c r="A663" s="44"/>
      <c r="B663" s="44"/>
      <c r="C663" s="44"/>
      <c r="D663" s="44"/>
      <c r="E663" s="44"/>
      <c r="F663" s="44"/>
      <c r="G663" s="44"/>
      <c r="H663" s="44"/>
      <c r="I663" s="44"/>
      <c r="J663" s="44"/>
      <c r="K663" s="44"/>
      <c r="L663" s="44"/>
      <c r="M663" s="44"/>
      <c r="N663" s="44"/>
      <c r="O663" s="44"/>
    </row>
    <row r="664" spans="1:15" ht="17.25" customHeight="1">
      <c r="A664" s="44"/>
      <c r="B664" s="44"/>
      <c r="C664" s="44"/>
      <c r="D664" s="44"/>
      <c r="E664" s="44"/>
      <c r="F664" s="44"/>
      <c r="G664" s="44"/>
      <c r="H664" s="44"/>
      <c r="I664" s="44"/>
      <c r="J664" s="44"/>
      <c r="K664" s="44"/>
      <c r="L664" s="44"/>
      <c r="M664" s="44"/>
      <c r="N664" s="44"/>
      <c r="O664" s="44"/>
    </row>
    <row r="665" spans="1:15" ht="17.25" customHeight="1">
      <c r="A665" s="44"/>
      <c r="B665" s="44"/>
      <c r="C665" s="44"/>
      <c r="D665" s="44"/>
      <c r="E665" s="44"/>
      <c r="F665" s="44"/>
      <c r="G665" s="44"/>
      <c r="H665" s="44"/>
      <c r="I665" s="44"/>
      <c r="J665" s="44"/>
      <c r="K665" s="44"/>
      <c r="L665" s="44"/>
      <c r="M665" s="44"/>
      <c r="N665" s="44"/>
      <c r="O665" s="44"/>
    </row>
    <row r="666" spans="1:15" ht="17.25" customHeight="1">
      <c r="A666" s="44"/>
      <c r="B666" s="44"/>
      <c r="C666" s="44"/>
      <c r="D666" s="44"/>
      <c r="E666" s="44"/>
      <c r="F666" s="44"/>
      <c r="G666" s="44"/>
      <c r="H666" s="44"/>
      <c r="I666" s="44"/>
      <c r="J666" s="44"/>
      <c r="K666" s="44"/>
      <c r="L666" s="44"/>
      <c r="M666" s="44"/>
      <c r="N666" s="44"/>
      <c r="O666" s="44"/>
    </row>
    <row r="667" spans="1:15" ht="17.25" customHeight="1">
      <c r="A667" s="44"/>
      <c r="B667" s="44"/>
      <c r="C667" s="44"/>
      <c r="D667" s="44"/>
      <c r="E667" s="44"/>
      <c r="F667" s="44"/>
      <c r="G667" s="44"/>
      <c r="H667" s="44"/>
      <c r="I667" s="44"/>
      <c r="J667" s="44"/>
      <c r="K667" s="44"/>
      <c r="L667" s="44"/>
      <c r="M667" s="44"/>
      <c r="N667" s="44"/>
      <c r="O667" s="44"/>
    </row>
    <row r="668" spans="1:15" ht="17.25" customHeight="1">
      <c r="A668" s="44"/>
      <c r="B668" s="44"/>
      <c r="C668" s="44"/>
      <c r="D668" s="44"/>
      <c r="E668" s="44"/>
      <c r="F668" s="44"/>
      <c r="G668" s="44"/>
      <c r="H668" s="44"/>
      <c r="I668" s="44"/>
      <c r="J668" s="44"/>
      <c r="K668" s="44"/>
      <c r="L668" s="44"/>
      <c r="M668" s="44"/>
      <c r="N668" s="44"/>
      <c r="O668" s="44"/>
    </row>
    <row r="669" spans="1:15" ht="17.25" customHeight="1">
      <c r="A669" s="44"/>
      <c r="B669" s="44"/>
      <c r="C669" s="44"/>
      <c r="D669" s="44"/>
      <c r="E669" s="44"/>
      <c r="F669" s="44"/>
      <c r="G669" s="44"/>
      <c r="H669" s="44"/>
      <c r="I669" s="44"/>
      <c r="J669" s="44"/>
      <c r="K669" s="44"/>
      <c r="L669" s="44"/>
      <c r="M669" s="44"/>
      <c r="N669" s="44"/>
      <c r="O669" s="44"/>
    </row>
    <row r="670" spans="1:15" ht="17.25" customHeight="1">
      <c r="A670" s="44"/>
      <c r="B670" s="44"/>
      <c r="C670" s="44"/>
      <c r="D670" s="44"/>
      <c r="E670" s="44"/>
      <c r="F670" s="44"/>
      <c r="G670" s="44"/>
      <c r="H670" s="44"/>
      <c r="I670" s="44"/>
      <c r="J670" s="44"/>
      <c r="K670" s="44"/>
      <c r="L670" s="44"/>
      <c r="M670" s="44"/>
      <c r="N670" s="44"/>
      <c r="O670" s="44"/>
    </row>
    <row r="671" spans="1:15" ht="17.25" customHeight="1">
      <c r="A671" s="44"/>
      <c r="B671" s="44"/>
      <c r="C671" s="44"/>
      <c r="D671" s="44"/>
      <c r="E671" s="44"/>
      <c r="F671" s="44"/>
      <c r="G671" s="44"/>
      <c r="H671" s="44"/>
      <c r="I671" s="44"/>
      <c r="J671" s="44"/>
      <c r="K671" s="44"/>
      <c r="L671" s="44"/>
      <c r="M671" s="44"/>
      <c r="N671" s="44"/>
      <c r="O671" s="44"/>
    </row>
    <row r="672" spans="1:15" ht="17.25" customHeight="1">
      <c r="A672" s="44"/>
      <c r="B672" s="44"/>
      <c r="C672" s="44"/>
      <c r="D672" s="44"/>
      <c r="E672" s="44"/>
      <c r="F672" s="44"/>
      <c r="G672" s="44"/>
      <c r="H672" s="44"/>
      <c r="I672" s="44"/>
      <c r="J672" s="44"/>
      <c r="K672" s="44"/>
      <c r="L672" s="44"/>
      <c r="M672" s="44"/>
      <c r="N672" s="44"/>
      <c r="O672" s="44"/>
    </row>
    <row r="673" spans="1:15" ht="17.25" customHeight="1">
      <c r="A673" s="44"/>
      <c r="B673" s="44"/>
      <c r="C673" s="44"/>
      <c r="D673" s="44"/>
      <c r="E673" s="44"/>
      <c r="F673" s="44"/>
      <c r="G673" s="44"/>
      <c r="H673" s="44"/>
      <c r="I673" s="44"/>
      <c r="J673" s="44"/>
      <c r="K673" s="44"/>
      <c r="L673" s="44"/>
      <c r="M673" s="44"/>
      <c r="N673" s="44"/>
      <c r="O673" s="44"/>
    </row>
    <row r="674" spans="1:15" ht="17.25" customHeight="1">
      <c r="A674" s="44"/>
      <c r="B674" s="44"/>
      <c r="C674" s="44"/>
      <c r="D674" s="44"/>
      <c r="E674" s="44"/>
      <c r="F674" s="44"/>
      <c r="G674" s="44"/>
      <c r="H674" s="44"/>
      <c r="I674" s="44"/>
      <c r="J674" s="44"/>
      <c r="K674" s="44"/>
      <c r="L674" s="44"/>
      <c r="M674" s="44"/>
      <c r="N674" s="44"/>
      <c r="O674" s="44"/>
    </row>
    <row r="675" spans="1:15" ht="17.25" customHeight="1">
      <c r="A675" s="44"/>
      <c r="B675" s="44"/>
      <c r="C675" s="44"/>
      <c r="D675" s="44"/>
      <c r="E675" s="44"/>
      <c r="F675" s="44"/>
      <c r="G675" s="44"/>
      <c r="H675" s="44"/>
      <c r="I675" s="44"/>
      <c r="J675" s="44"/>
      <c r="K675" s="44"/>
      <c r="L675" s="44"/>
      <c r="M675" s="44"/>
      <c r="N675" s="44"/>
      <c r="O675" s="44"/>
    </row>
    <row r="676" spans="1:15" ht="17.25" customHeight="1">
      <c r="A676" s="44"/>
      <c r="B676" s="44"/>
      <c r="C676" s="44"/>
      <c r="D676" s="44"/>
      <c r="E676" s="44"/>
      <c r="F676" s="44"/>
      <c r="G676" s="44"/>
      <c r="H676" s="44"/>
      <c r="I676" s="44"/>
      <c r="J676" s="44"/>
      <c r="K676" s="44"/>
      <c r="L676" s="44"/>
      <c r="M676" s="44"/>
      <c r="N676" s="44"/>
      <c r="O676" s="44"/>
    </row>
    <row r="677" spans="1:15" ht="17.25" customHeight="1">
      <c r="A677" s="44"/>
      <c r="B677" s="44"/>
      <c r="C677" s="44"/>
      <c r="D677" s="44"/>
      <c r="E677" s="44"/>
      <c r="F677" s="44"/>
      <c r="G677" s="44"/>
      <c r="H677" s="44"/>
      <c r="I677" s="44"/>
      <c r="J677" s="44"/>
      <c r="K677" s="44"/>
      <c r="L677" s="44"/>
      <c r="M677" s="44"/>
      <c r="N677" s="44"/>
      <c r="O677" s="44"/>
    </row>
    <row r="678" spans="1:15" ht="17.25" customHeight="1">
      <c r="A678" s="44"/>
      <c r="B678" s="44"/>
      <c r="C678" s="44"/>
      <c r="D678" s="44"/>
      <c r="E678" s="44"/>
      <c r="F678" s="44"/>
      <c r="G678" s="44"/>
      <c r="H678" s="44"/>
      <c r="I678" s="44"/>
      <c r="J678" s="44"/>
      <c r="K678" s="44"/>
      <c r="L678" s="44"/>
      <c r="M678" s="44"/>
      <c r="N678" s="44"/>
      <c r="O678" s="44"/>
    </row>
    <row r="679" spans="1:15" ht="17.25" customHeight="1">
      <c r="A679" s="44"/>
      <c r="B679" s="44"/>
      <c r="C679" s="44"/>
      <c r="D679" s="44"/>
      <c r="E679" s="44"/>
      <c r="F679" s="44"/>
      <c r="G679" s="44"/>
      <c r="H679" s="44"/>
      <c r="I679" s="44"/>
      <c r="J679" s="44"/>
      <c r="K679" s="44"/>
      <c r="L679" s="44"/>
      <c r="M679" s="44"/>
      <c r="N679" s="44"/>
      <c r="O679" s="44"/>
    </row>
    <row r="680" spans="1:15" ht="17.25" customHeight="1">
      <c r="A680" s="44"/>
      <c r="B680" s="44"/>
      <c r="C680" s="44"/>
      <c r="D680" s="44"/>
      <c r="E680" s="44"/>
      <c r="F680" s="44"/>
      <c r="G680" s="44"/>
      <c r="H680" s="44"/>
      <c r="I680" s="44"/>
      <c r="J680" s="44"/>
      <c r="K680" s="44"/>
      <c r="L680" s="44"/>
      <c r="M680" s="44"/>
      <c r="N680" s="44"/>
      <c r="O680" s="44"/>
    </row>
    <row r="681" spans="1:15" ht="17.25" customHeight="1">
      <c r="A681" s="44"/>
      <c r="B681" s="44"/>
      <c r="C681" s="44"/>
      <c r="D681" s="44"/>
      <c r="E681" s="44"/>
      <c r="F681" s="44"/>
      <c r="G681" s="44"/>
      <c r="H681" s="44"/>
      <c r="I681" s="44"/>
      <c r="J681" s="44"/>
      <c r="K681" s="44"/>
      <c r="L681" s="44"/>
      <c r="M681" s="44"/>
      <c r="N681" s="44"/>
      <c r="O681" s="44"/>
    </row>
    <row r="682" spans="1:15" ht="17.25" customHeight="1">
      <c r="A682" s="44"/>
      <c r="B682" s="44"/>
      <c r="C682" s="44"/>
      <c r="D682" s="44"/>
      <c r="E682" s="44"/>
      <c r="F682" s="44"/>
      <c r="G682" s="44"/>
      <c r="H682" s="44"/>
      <c r="I682" s="44"/>
      <c r="J682" s="44"/>
      <c r="K682" s="44"/>
      <c r="L682" s="44"/>
      <c r="M682" s="44"/>
      <c r="N682" s="44"/>
      <c r="O682" s="44"/>
    </row>
    <row r="683" spans="1:15" ht="17.25" customHeight="1">
      <c r="A683" s="44"/>
      <c r="B683" s="44"/>
      <c r="C683" s="44"/>
      <c r="D683" s="44"/>
      <c r="E683" s="44"/>
      <c r="F683" s="44"/>
      <c r="G683" s="44"/>
      <c r="H683" s="44"/>
      <c r="I683" s="44"/>
      <c r="J683" s="44"/>
      <c r="K683" s="44"/>
      <c r="L683" s="44"/>
      <c r="M683" s="44"/>
      <c r="N683" s="44"/>
      <c r="O683" s="44"/>
    </row>
    <row r="684" spans="1:15" ht="17.25" customHeight="1">
      <c r="A684" s="44"/>
      <c r="B684" s="44"/>
      <c r="C684" s="44"/>
      <c r="D684" s="44"/>
      <c r="E684" s="44"/>
      <c r="F684" s="44"/>
      <c r="G684" s="44"/>
      <c r="H684" s="44"/>
      <c r="I684" s="44"/>
      <c r="J684" s="44"/>
      <c r="K684" s="44"/>
      <c r="L684" s="44"/>
      <c r="M684" s="44"/>
      <c r="N684" s="44"/>
      <c r="O684" s="44"/>
    </row>
    <row r="685" spans="1:15" ht="17.25" customHeight="1">
      <c r="A685" s="44"/>
      <c r="B685" s="44"/>
      <c r="C685" s="44"/>
      <c r="D685" s="44"/>
      <c r="E685" s="44"/>
      <c r="F685" s="44"/>
      <c r="G685" s="44"/>
      <c r="H685" s="44"/>
      <c r="I685" s="44"/>
      <c r="J685" s="44"/>
      <c r="K685" s="44"/>
      <c r="L685" s="44"/>
      <c r="M685" s="44"/>
      <c r="N685" s="44"/>
      <c r="O685" s="44"/>
    </row>
    <row r="686" spans="1:15" ht="17.25" customHeight="1">
      <c r="A686" s="44"/>
      <c r="B686" s="44"/>
      <c r="C686" s="44"/>
      <c r="D686" s="44"/>
      <c r="E686" s="44"/>
      <c r="F686" s="44"/>
      <c r="G686" s="44"/>
      <c r="H686" s="44"/>
      <c r="I686" s="44"/>
      <c r="J686" s="44"/>
      <c r="K686" s="44"/>
      <c r="L686" s="44"/>
      <c r="M686" s="44"/>
      <c r="N686" s="44"/>
      <c r="O686" s="44"/>
    </row>
    <row r="687" spans="1:15" ht="17.25" customHeight="1">
      <c r="A687" s="44"/>
      <c r="B687" s="44"/>
      <c r="C687" s="44"/>
      <c r="D687" s="44"/>
      <c r="E687" s="44"/>
      <c r="F687" s="44"/>
      <c r="G687" s="44"/>
      <c r="H687" s="44"/>
      <c r="I687" s="44"/>
      <c r="J687" s="44"/>
      <c r="K687" s="44"/>
      <c r="L687" s="44"/>
      <c r="M687" s="44"/>
      <c r="N687" s="44"/>
      <c r="O687" s="44"/>
    </row>
    <row r="688" spans="1:15" ht="17.25" customHeight="1">
      <c r="A688" s="44"/>
      <c r="B688" s="44"/>
      <c r="C688" s="44"/>
      <c r="D688" s="44"/>
      <c r="E688" s="44"/>
      <c r="F688" s="44"/>
      <c r="G688" s="44"/>
      <c r="H688" s="44"/>
      <c r="I688" s="44"/>
      <c r="J688" s="44"/>
      <c r="K688" s="44"/>
      <c r="L688" s="44"/>
      <c r="M688" s="44"/>
      <c r="N688" s="44"/>
      <c r="O688" s="44"/>
    </row>
    <row r="689" spans="1:15" ht="17.25" customHeight="1">
      <c r="A689" s="44"/>
      <c r="B689" s="44"/>
      <c r="C689" s="44"/>
      <c r="D689" s="44"/>
      <c r="E689" s="44"/>
      <c r="F689" s="44"/>
      <c r="G689" s="44"/>
      <c r="H689" s="44"/>
      <c r="I689" s="44"/>
      <c r="J689" s="44"/>
      <c r="K689" s="44"/>
      <c r="L689" s="44"/>
      <c r="M689" s="44"/>
      <c r="N689" s="44"/>
      <c r="O689" s="44"/>
    </row>
    <row r="690" spans="1:15" ht="17.25" customHeight="1">
      <c r="A690" s="44"/>
      <c r="B690" s="44"/>
      <c r="C690" s="44"/>
      <c r="D690" s="44"/>
      <c r="E690" s="44"/>
      <c r="F690" s="44"/>
      <c r="G690" s="44"/>
      <c r="H690" s="44"/>
      <c r="I690" s="44"/>
      <c r="J690" s="44"/>
      <c r="K690" s="44"/>
      <c r="L690" s="44"/>
      <c r="M690" s="44"/>
      <c r="N690" s="44"/>
      <c r="O690" s="44"/>
    </row>
    <row r="691" spans="1:15" ht="17.25" customHeight="1">
      <c r="A691" s="44"/>
      <c r="B691" s="44"/>
      <c r="C691" s="44"/>
      <c r="D691" s="44"/>
      <c r="E691" s="44"/>
      <c r="F691" s="44"/>
      <c r="G691" s="44"/>
      <c r="H691" s="44"/>
      <c r="I691" s="44"/>
      <c r="J691" s="44"/>
      <c r="K691" s="44"/>
      <c r="L691" s="44"/>
      <c r="M691" s="44"/>
      <c r="N691" s="44"/>
      <c r="O691" s="44"/>
    </row>
    <row r="692" spans="1:15" ht="17.25" customHeight="1">
      <c r="A692" s="44"/>
      <c r="B692" s="44"/>
      <c r="C692" s="44"/>
      <c r="D692" s="44"/>
      <c r="E692" s="44"/>
      <c r="F692" s="44"/>
      <c r="G692" s="44"/>
      <c r="H692" s="44"/>
      <c r="I692" s="44"/>
      <c r="J692" s="44"/>
      <c r="K692" s="44"/>
      <c r="L692" s="44"/>
      <c r="M692" s="44"/>
      <c r="N692" s="44"/>
      <c r="O692" s="44"/>
    </row>
    <row r="693" spans="1:15" ht="17.25" customHeight="1">
      <c r="A693" s="44"/>
      <c r="B693" s="44"/>
      <c r="C693" s="44"/>
      <c r="D693" s="44"/>
      <c r="E693" s="44"/>
      <c r="F693" s="44"/>
      <c r="G693" s="44"/>
      <c r="H693" s="44"/>
      <c r="I693" s="44"/>
      <c r="J693" s="44"/>
      <c r="K693" s="44"/>
      <c r="L693" s="44"/>
      <c r="M693" s="44"/>
      <c r="N693" s="44"/>
      <c r="O693" s="44"/>
    </row>
    <row r="694" spans="1:15" ht="17.25" customHeight="1">
      <c r="A694" s="44"/>
      <c r="B694" s="44"/>
      <c r="C694" s="44"/>
      <c r="D694" s="44"/>
      <c r="E694" s="44"/>
      <c r="F694" s="44"/>
      <c r="G694" s="44"/>
      <c r="H694" s="44"/>
      <c r="I694" s="44"/>
      <c r="J694" s="44"/>
      <c r="K694" s="44"/>
      <c r="L694" s="44"/>
      <c r="M694" s="44"/>
      <c r="N694" s="44"/>
      <c r="O694" s="44"/>
    </row>
    <row r="695" spans="1:15" ht="17.25" customHeight="1">
      <c r="A695" s="44"/>
      <c r="B695" s="44"/>
      <c r="C695" s="44"/>
      <c r="D695" s="44"/>
      <c r="E695" s="44"/>
      <c r="F695" s="44"/>
      <c r="G695" s="44"/>
      <c r="H695" s="44"/>
      <c r="I695" s="44"/>
      <c r="J695" s="44"/>
      <c r="K695" s="44"/>
      <c r="L695" s="44"/>
      <c r="M695" s="44"/>
      <c r="N695" s="44"/>
      <c r="O695" s="44"/>
    </row>
    <row r="696" spans="1:15" ht="17.25" customHeight="1">
      <c r="A696" s="44"/>
      <c r="B696" s="44"/>
      <c r="C696" s="44"/>
      <c r="D696" s="44"/>
      <c r="E696" s="44"/>
      <c r="F696" s="44"/>
      <c r="G696" s="44"/>
      <c r="H696" s="44"/>
      <c r="I696" s="44"/>
      <c r="J696" s="44"/>
      <c r="K696" s="44"/>
      <c r="L696" s="44"/>
      <c r="M696" s="44"/>
      <c r="N696" s="44"/>
      <c r="O696" s="44"/>
    </row>
    <row r="697" spans="1:15" ht="17.25" customHeight="1">
      <c r="A697" s="44"/>
      <c r="B697" s="44"/>
      <c r="C697" s="44"/>
      <c r="D697" s="44"/>
      <c r="E697" s="44"/>
      <c r="F697" s="44"/>
      <c r="G697" s="44"/>
      <c r="H697" s="44"/>
      <c r="I697" s="44"/>
      <c r="J697" s="44"/>
      <c r="K697" s="44"/>
      <c r="L697" s="44"/>
      <c r="M697" s="44"/>
      <c r="N697" s="44"/>
      <c r="O697" s="44"/>
    </row>
    <row r="698" spans="1:15" ht="17.25" customHeight="1">
      <c r="A698" s="44"/>
      <c r="B698" s="44"/>
      <c r="C698" s="44"/>
      <c r="D698" s="44"/>
      <c r="E698" s="44"/>
      <c r="F698" s="44"/>
      <c r="G698" s="44"/>
      <c r="H698" s="44"/>
      <c r="I698" s="44"/>
      <c r="J698" s="44"/>
      <c r="K698" s="44"/>
      <c r="L698" s="44"/>
      <c r="M698" s="44"/>
      <c r="N698" s="44"/>
      <c r="O698" s="44"/>
    </row>
    <row r="699" spans="1:15" ht="17.25" customHeight="1">
      <c r="A699" s="44"/>
      <c r="B699" s="44"/>
      <c r="C699" s="44"/>
      <c r="D699" s="44"/>
      <c r="E699" s="44"/>
      <c r="F699" s="44"/>
      <c r="G699" s="44"/>
      <c r="H699" s="44"/>
      <c r="I699" s="44"/>
      <c r="J699" s="44"/>
      <c r="K699" s="44"/>
      <c r="L699" s="44"/>
      <c r="M699" s="44"/>
      <c r="N699" s="44"/>
      <c r="O699" s="44"/>
    </row>
    <row r="700" spans="1:15" ht="17.25" customHeight="1">
      <c r="A700" s="44"/>
      <c r="B700" s="44"/>
      <c r="C700" s="44"/>
      <c r="D700" s="44"/>
      <c r="E700" s="44"/>
      <c r="F700" s="44"/>
      <c r="G700" s="44"/>
      <c r="H700" s="44"/>
      <c r="I700" s="44"/>
      <c r="J700" s="44"/>
      <c r="K700" s="44"/>
      <c r="L700" s="44"/>
      <c r="M700" s="44"/>
      <c r="N700" s="44"/>
      <c r="O700" s="44"/>
    </row>
    <row r="701" spans="1:15" ht="17.25" customHeight="1">
      <c r="A701" s="44"/>
      <c r="B701" s="44"/>
      <c r="C701" s="44"/>
      <c r="D701" s="44"/>
      <c r="E701" s="44"/>
      <c r="F701" s="44"/>
      <c r="G701" s="44"/>
      <c r="H701" s="44"/>
      <c r="I701" s="44"/>
      <c r="J701" s="44"/>
      <c r="K701" s="44"/>
      <c r="L701" s="44"/>
      <c r="M701" s="44"/>
      <c r="N701" s="44"/>
      <c r="O701" s="44"/>
    </row>
    <row r="702" spans="1:15" ht="17.25" customHeight="1">
      <c r="A702" s="44"/>
      <c r="B702" s="44"/>
      <c r="C702" s="44"/>
      <c r="D702" s="44"/>
      <c r="E702" s="44"/>
      <c r="F702" s="44"/>
      <c r="G702" s="44"/>
      <c r="H702" s="44"/>
      <c r="I702" s="44"/>
      <c r="J702" s="44"/>
      <c r="K702" s="44"/>
      <c r="L702" s="44"/>
      <c r="M702" s="44"/>
      <c r="N702" s="44"/>
      <c r="O702" s="44"/>
    </row>
    <row r="703" spans="1:15" ht="17.25" customHeight="1">
      <c r="A703" s="44"/>
      <c r="B703" s="44"/>
      <c r="C703" s="44"/>
      <c r="D703" s="44"/>
      <c r="E703" s="44"/>
      <c r="F703" s="44"/>
      <c r="G703" s="44"/>
      <c r="H703" s="44"/>
      <c r="I703" s="44"/>
      <c r="J703" s="44"/>
      <c r="K703" s="44"/>
      <c r="L703" s="44"/>
      <c r="M703" s="44"/>
      <c r="N703" s="44"/>
      <c r="O703" s="44"/>
    </row>
    <row r="704" spans="1:15" ht="17.25" customHeight="1">
      <c r="A704" s="44"/>
      <c r="B704" s="44"/>
      <c r="C704" s="44"/>
      <c r="D704" s="44"/>
      <c r="E704" s="44"/>
      <c r="F704" s="44"/>
      <c r="G704" s="44"/>
      <c r="H704" s="44"/>
      <c r="I704" s="44"/>
      <c r="J704" s="44"/>
      <c r="K704" s="44"/>
      <c r="L704" s="44"/>
      <c r="M704" s="44"/>
      <c r="N704" s="44"/>
      <c r="O704" s="44"/>
    </row>
    <row r="705" spans="1:15" ht="17.25" customHeight="1">
      <c r="A705" s="44"/>
      <c r="B705" s="44"/>
      <c r="C705" s="44"/>
      <c r="D705" s="44"/>
      <c r="E705" s="44"/>
      <c r="F705" s="44"/>
      <c r="G705" s="44"/>
      <c r="H705" s="44"/>
      <c r="I705" s="44"/>
      <c r="J705" s="44"/>
      <c r="K705" s="44"/>
      <c r="L705" s="44"/>
      <c r="M705" s="44"/>
      <c r="N705" s="44"/>
      <c r="O705" s="44"/>
    </row>
    <row r="706" spans="1:15" ht="17.25" customHeight="1">
      <c r="A706" s="44"/>
      <c r="B706" s="44"/>
      <c r="C706" s="44"/>
      <c r="D706" s="44"/>
      <c r="E706" s="44"/>
      <c r="F706" s="44"/>
      <c r="G706" s="44"/>
      <c r="H706" s="44"/>
      <c r="I706" s="44"/>
      <c r="J706" s="44"/>
      <c r="K706" s="44"/>
      <c r="L706" s="44"/>
      <c r="M706" s="44"/>
      <c r="N706" s="44"/>
      <c r="O706" s="44"/>
    </row>
    <row r="707" spans="1:15" ht="17.25" customHeight="1">
      <c r="A707" s="44"/>
      <c r="B707" s="44"/>
      <c r="C707" s="44"/>
      <c r="D707" s="44"/>
      <c r="E707" s="44"/>
      <c r="F707" s="44"/>
      <c r="G707" s="44"/>
      <c r="H707" s="44"/>
      <c r="I707" s="44"/>
      <c r="J707" s="44"/>
      <c r="K707" s="44"/>
      <c r="L707" s="44"/>
      <c r="M707" s="44"/>
      <c r="N707" s="44"/>
      <c r="O707" s="44"/>
    </row>
    <row r="708" spans="1:15" ht="17.25" customHeight="1">
      <c r="A708" s="44"/>
      <c r="B708" s="44"/>
      <c r="C708" s="44"/>
      <c r="D708" s="44"/>
      <c r="E708" s="44"/>
      <c r="F708" s="44"/>
      <c r="G708" s="44"/>
      <c r="H708" s="44"/>
      <c r="I708" s="44"/>
      <c r="J708" s="44"/>
      <c r="K708" s="44"/>
      <c r="L708" s="44"/>
      <c r="M708" s="44"/>
      <c r="N708" s="44"/>
      <c r="O708" s="44"/>
    </row>
    <row r="709" spans="1:15" ht="17.25" customHeight="1">
      <c r="A709" s="44"/>
      <c r="B709" s="44"/>
      <c r="C709" s="44"/>
      <c r="D709" s="44"/>
      <c r="E709" s="44"/>
      <c r="F709" s="44"/>
      <c r="G709" s="44"/>
      <c r="H709" s="44"/>
      <c r="I709" s="44"/>
      <c r="J709" s="44"/>
      <c r="K709" s="44"/>
      <c r="L709" s="44"/>
      <c r="M709" s="44"/>
      <c r="N709" s="44"/>
      <c r="O709" s="44"/>
    </row>
    <row r="710" spans="1:15" ht="17.25" customHeight="1">
      <c r="A710" s="44"/>
      <c r="B710" s="44"/>
      <c r="C710" s="44"/>
      <c r="D710" s="44"/>
      <c r="E710" s="44"/>
      <c r="F710" s="44"/>
      <c r="G710" s="44"/>
      <c r="H710" s="44"/>
      <c r="I710" s="44"/>
      <c r="J710" s="44"/>
      <c r="K710" s="44"/>
      <c r="L710" s="44"/>
      <c r="M710" s="44"/>
      <c r="N710" s="44"/>
      <c r="O710" s="44"/>
    </row>
    <row r="711" spans="1:15" ht="17.25" customHeight="1">
      <c r="A711" s="44"/>
      <c r="B711" s="44"/>
      <c r="C711" s="44"/>
      <c r="D711" s="44"/>
      <c r="E711" s="44"/>
      <c r="F711" s="44"/>
      <c r="G711" s="44"/>
      <c r="H711" s="44"/>
      <c r="I711" s="44"/>
      <c r="J711" s="44"/>
      <c r="K711" s="44"/>
      <c r="L711" s="44"/>
      <c r="M711" s="44"/>
      <c r="N711" s="44"/>
      <c r="O711" s="44"/>
    </row>
    <row r="712" spans="1:15" ht="17.25" customHeight="1">
      <c r="A712" s="44"/>
      <c r="B712" s="44"/>
      <c r="C712" s="44"/>
      <c r="D712" s="44"/>
      <c r="E712" s="44"/>
      <c r="F712" s="44"/>
      <c r="G712" s="44"/>
      <c r="H712" s="44"/>
      <c r="I712" s="44"/>
      <c r="J712" s="44"/>
      <c r="K712" s="44"/>
      <c r="L712" s="44"/>
      <c r="M712" s="44"/>
      <c r="N712" s="44"/>
      <c r="O712" s="44"/>
    </row>
    <row r="713" spans="1:15" ht="17.25" customHeight="1">
      <c r="A713" s="44"/>
      <c r="B713" s="44"/>
      <c r="C713" s="44"/>
      <c r="D713" s="44"/>
      <c r="E713" s="44"/>
      <c r="F713" s="44"/>
      <c r="G713" s="44"/>
      <c r="H713" s="44"/>
      <c r="I713" s="44"/>
      <c r="J713" s="44"/>
      <c r="K713" s="44"/>
      <c r="L713" s="44"/>
      <c r="M713" s="44"/>
      <c r="N713" s="44"/>
      <c r="O713" s="44"/>
    </row>
    <row r="714" spans="1:15" ht="17.25" customHeight="1">
      <c r="A714" s="44"/>
      <c r="B714" s="44"/>
      <c r="C714" s="44"/>
      <c r="D714" s="44"/>
      <c r="E714" s="44"/>
      <c r="F714" s="44"/>
      <c r="G714" s="44"/>
      <c r="H714" s="44"/>
      <c r="I714" s="44"/>
      <c r="J714" s="44"/>
      <c r="K714" s="44"/>
      <c r="L714" s="44"/>
      <c r="M714" s="44"/>
      <c r="N714" s="44"/>
      <c r="O714" s="44"/>
    </row>
    <row r="715" spans="1:15" ht="17.25" customHeight="1">
      <c r="A715" s="44"/>
      <c r="B715" s="44"/>
      <c r="C715" s="44"/>
      <c r="D715" s="44"/>
      <c r="E715" s="44"/>
      <c r="F715" s="44"/>
      <c r="G715" s="44"/>
      <c r="H715" s="44"/>
      <c r="I715" s="44"/>
      <c r="J715" s="44"/>
      <c r="K715" s="44"/>
      <c r="L715" s="44"/>
      <c r="M715" s="44"/>
      <c r="N715" s="44"/>
      <c r="O715" s="44"/>
    </row>
    <row r="716" spans="1:15" ht="17.25" customHeight="1">
      <c r="A716" s="44"/>
      <c r="B716" s="44"/>
      <c r="C716" s="44"/>
      <c r="D716" s="44"/>
      <c r="E716" s="44"/>
      <c r="F716" s="44"/>
      <c r="G716" s="44"/>
      <c r="H716" s="44"/>
      <c r="I716" s="44"/>
      <c r="J716" s="44"/>
      <c r="K716" s="44"/>
      <c r="L716" s="44"/>
      <c r="M716" s="44"/>
      <c r="N716" s="44"/>
      <c r="O716" s="44"/>
    </row>
    <row r="717" spans="1:15" ht="17.25" customHeight="1">
      <c r="A717" s="44"/>
      <c r="B717" s="44"/>
      <c r="C717" s="44"/>
      <c r="D717" s="44"/>
      <c r="E717" s="44"/>
      <c r="F717" s="44"/>
      <c r="G717" s="44"/>
      <c r="H717" s="44"/>
      <c r="I717" s="44"/>
      <c r="J717" s="44"/>
      <c r="K717" s="44"/>
      <c r="L717" s="44"/>
      <c r="M717" s="44"/>
      <c r="N717" s="44"/>
      <c r="O717" s="44"/>
    </row>
    <row r="718" spans="1:15" ht="17.25" customHeight="1">
      <c r="A718" s="44"/>
      <c r="B718" s="44"/>
      <c r="C718" s="44"/>
      <c r="D718" s="44"/>
      <c r="E718" s="44"/>
      <c r="F718" s="44"/>
      <c r="G718" s="44"/>
      <c r="H718" s="44"/>
      <c r="I718" s="44"/>
      <c r="J718" s="44"/>
      <c r="K718" s="44"/>
      <c r="L718" s="44"/>
      <c r="M718" s="44"/>
      <c r="N718" s="44"/>
      <c r="O718" s="44"/>
    </row>
    <row r="719" spans="1:15" ht="17.25" customHeight="1">
      <c r="A719" s="44"/>
      <c r="B719" s="44"/>
      <c r="C719" s="44"/>
      <c r="D719" s="44"/>
      <c r="E719" s="44"/>
      <c r="F719" s="44"/>
      <c r="G719" s="44"/>
      <c r="H719" s="44"/>
      <c r="I719" s="44"/>
      <c r="J719" s="44"/>
      <c r="K719" s="44"/>
      <c r="L719" s="44"/>
      <c r="M719" s="44"/>
      <c r="N719" s="44"/>
      <c r="O719" s="44"/>
    </row>
    <row r="720" spans="1:15" ht="17.25" customHeight="1">
      <c r="A720" s="44"/>
      <c r="B720" s="44"/>
      <c r="C720" s="44"/>
      <c r="D720" s="44"/>
      <c r="E720" s="44"/>
      <c r="F720" s="44"/>
      <c r="G720" s="44"/>
      <c r="H720" s="44"/>
      <c r="I720" s="44"/>
      <c r="J720" s="44"/>
      <c r="K720" s="44"/>
      <c r="L720" s="44"/>
      <c r="M720" s="44"/>
      <c r="N720" s="44"/>
      <c r="O720" s="44"/>
    </row>
    <row r="721" spans="1:15" ht="17.25" customHeight="1">
      <c r="A721" s="44"/>
      <c r="B721" s="44"/>
      <c r="C721" s="44"/>
      <c r="D721" s="44"/>
      <c r="E721" s="44"/>
      <c r="F721" s="44"/>
      <c r="G721" s="44"/>
      <c r="H721" s="44"/>
      <c r="I721" s="44"/>
      <c r="J721" s="44"/>
      <c r="K721" s="44"/>
      <c r="L721" s="44"/>
      <c r="M721" s="44"/>
      <c r="N721" s="44"/>
      <c r="O721" s="44"/>
    </row>
    <row r="722" spans="1:15" ht="17.25" customHeight="1">
      <c r="A722" s="44"/>
      <c r="B722" s="44"/>
      <c r="C722" s="44"/>
      <c r="D722" s="44"/>
      <c r="E722" s="44"/>
      <c r="F722" s="44"/>
      <c r="G722" s="44"/>
      <c r="H722" s="44"/>
      <c r="I722" s="44"/>
      <c r="J722" s="44"/>
      <c r="K722" s="44"/>
      <c r="L722" s="44"/>
      <c r="M722" s="44"/>
      <c r="N722" s="44"/>
      <c r="O722" s="44"/>
    </row>
    <row r="723" spans="1:15" ht="17.25" customHeight="1">
      <c r="A723" s="44"/>
      <c r="B723" s="44"/>
      <c r="C723" s="44"/>
      <c r="D723" s="44"/>
      <c r="E723" s="44"/>
      <c r="F723" s="44"/>
      <c r="G723" s="44"/>
      <c r="H723" s="44"/>
      <c r="I723" s="44"/>
      <c r="J723" s="44"/>
      <c r="K723" s="44"/>
      <c r="L723" s="44"/>
      <c r="M723" s="44"/>
      <c r="N723" s="44"/>
      <c r="O723" s="44"/>
    </row>
    <row r="724" spans="1:15" ht="17.25" customHeight="1">
      <c r="A724" s="44"/>
      <c r="B724" s="44"/>
      <c r="C724" s="44"/>
      <c r="D724" s="44"/>
      <c r="E724" s="44"/>
      <c r="F724" s="44"/>
      <c r="G724" s="44"/>
      <c r="H724" s="44"/>
      <c r="I724" s="44"/>
      <c r="J724" s="44"/>
      <c r="K724" s="44"/>
      <c r="L724" s="44"/>
      <c r="M724" s="44"/>
      <c r="N724" s="44"/>
      <c r="O724" s="44"/>
    </row>
    <row r="725" spans="1:15" ht="17.25" customHeight="1">
      <c r="A725" s="44"/>
      <c r="B725" s="44"/>
      <c r="C725" s="44"/>
      <c r="D725" s="44"/>
      <c r="E725" s="44"/>
      <c r="F725" s="44"/>
      <c r="G725" s="44"/>
      <c r="H725" s="44"/>
      <c r="I725" s="44"/>
      <c r="J725" s="44"/>
      <c r="K725" s="44"/>
      <c r="L725" s="44"/>
      <c r="M725" s="44"/>
      <c r="N725" s="44"/>
      <c r="O725" s="44"/>
    </row>
    <row r="726" spans="1:15" ht="17.25" customHeight="1">
      <c r="A726" s="44"/>
      <c r="B726" s="44"/>
      <c r="C726" s="44"/>
      <c r="D726" s="44"/>
      <c r="E726" s="44"/>
      <c r="F726" s="44"/>
      <c r="G726" s="44"/>
      <c r="H726" s="44"/>
      <c r="I726" s="44"/>
      <c r="J726" s="44"/>
      <c r="K726" s="44"/>
      <c r="L726" s="44"/>
      <c r="M726" s="44"/>
      <c r="N726" s="44"/>
      <c r="O726" s="44"/>
    </row>
    <row r="727" spans="1:15" ht="17.25" customHeight="1">
      <c r="A727" s="44"/>
      <c r="B727" s="44"/>
      <c r="C727" s="44"/>
      <c r="D727" s="44"/>
      <c r="E727" s="44"/>
      <c r="F727" s="44"/>
      <c r="G727" s="44"/>
      <c r="H727" s="44"/>
      <c r="I727" s="44"/>
      <c r="J727" s="44"/>
      <c r="K727" s="44"/>
      <c r="L727" s="44"/>
      <c r="M727" s="44"/>
      <c r="N727" s="44"/>
      <c r="O727" s="44"/>
    </row>
    <row r="728" spans="1:15" ht="17.25" customHeight="1">
      <c r="A728" s="44"/>
      <c r="B728" s="44"/>
      <c r="C728" s="44"/>
      <c r="D728" s="44"/>
      <c r="E728" s="44"/>
      <c r="F728" s="44"/>
      <c r="G728" s="44"/>
      <c r="H728" s="44"/>
      <c r="I728" s="44"/>
      <c r="J728" s="44"/>
      <c r="K728" s="44"/>
      <c r="L728" s="44"/>
      <c r="M728" s="44"/>
      <c r="N728" s="44"/>
      <c r="O728" s="44"/>
    </row>
    <row r="729" spans="1:15" ht="17.25" customHeight="1">
      <c r="A729" s="44"/>
      <c r="B729" s="44"/>
      <c r="C729" s="44"/>
      <c r="D729" s="44"/>
      <c r="E729" s="44"/>
      <c r="F729" s="44"/>
      <c r="G729" s="44"/>
      <c r="H729" s="44"/>
      <c r="I729" s="44"/>
      <c r="J729" s="44"/>
      <c r="K729" s="44"/>
      <c r="L729" s="44"/>
      <c r="M729" s="44"/>
      <c r="N729" s="44"/>
      <c r="O729" s="44"/>
    </row>
    <row r="730" spans="1:15" ht="17.25" customHeight="1">
      <c r="A730" s="44"/>
      <c r="B730" s="44"/>
      <c r="C730" s="44"/>
      <c r="D730" s="44"/>
      <c r="E730" s="44"/>
      <c r="F730" s="44"/>
      <c r="G730" s="44"/>
      <c r="H730" s="44"/>
      <c r="I730" s="44"/>
      <c r="J730" s="44"/>
      <c r="K730" s="44"/>
      <c r="L730" s="44"/>
      <c r="M730" s="44"/>
      <c r="N730" s="44"/>
      <c r="O730" s="44"/>
    </row>
    <row r="731" spans="1:15" ht="17.25" customHeight="1">
      <c r="A731" s="44"/>
      <c r="B731" s="44"/>
      <c r="C731" s="44"/>
      <c r="D731" s="44"/>
      <c r="E731" s="44"/>
      <c r="F731" s="44"/>
      <c r="G731" s="44"/>
      <c r="H731" s="44"/>
      <c r="I731" s="44"/>
      <c r="J731" s="44"/>
      <c r="K731" s="44"/>
      <c r="L731" s="44"/>
      <c r="M731" s="44"/>
      <c r="N731" s="44"/>
      <c r="O731" s="44"/>
    </row>
    <row r="732" spans="1:15" ht="17.25" customHeight="1">
      <c r="A732" s="44"/>
      <c r="B732" s="44"/>
      <c r="C732" s="44"/>
      <c r="D732" s="44"/>
      <c r="E732" s="44"/>
      <c r="F732" s="44"/>
      <c r="G732" s="44"/>
      <c r="H732" s="44"/>
      <c r="I732" s="44"/>
      <c r="J732" s="44"/>
      <c r="K732" s="44"/>
      <c r="L732" s="44"/>
      <c r="M732" s="44"/>
      <c r="N732" s="44"/>
      <c r="O732" s="44"/>
    </row>
    <row r="733" spans="1:15" ht="17.25" customHeight="1">
      <c r="A733" s="44"/>
      <c r="B733" s="44"/>
      <c r="C733" s="44"/>
      <c r="D733" s="44"/>
      <c r="E733" s="44"/>
      <c r="F733" s="44"/>
      <c r="G733" s="44"/>
      <c r="H733" s="44"/>
      <c r="I733" s="44"/>
      <c r="J733" s="44"/>
      <c r="K733" s="44"/>
      <c r="L733" s="44"/>
      <c r="M733" s="44"/>
      <c r="N733" s="44"/>
      <c r="O733" s="44"/>
    </row>
    <row r="734" spans="1:15" ht="17.25" customHeight="1">
      <c r="A734" s="44"/>
      <c r="B734" s="44"/>
      <c r="C734" s="44"/>
      <c r="D734" s="44"/>
      <c r="E734" s="44"/>
      <c r="F734" s="44"/>
      <c r="G734" s="44"/>
      <c r="H734" s="44"/>
      <c r="I734" s="44"/>
      <c r="J734" s="44"/>
      <c r="K734" s="44"/>
      <c r="L734" s="44"/>
      <c r="M734" s="44"/>
      <c r="N734" s="44"/>
      <c r="O734" s="44"/>
    </row>
    <row r="735" spans="1:15" ht="17.25" customHeight="1">
      <c r="A735" s="44"/>
      <c r="B735" s="44"/>
      <c r="C735" s="44"/>
      <c r="D735" s="44"/>
      <c r="E735" s="44"/>
      <c r="F735" s="44"/>
      <c r="G735" s="44"/>
      <c r="H735" s="44"/>
      <c r="I735" s="44"/>
      <c r="J735" s="44"/>
      <c r="K735" s="44"/>
      <c r="L735" s="44"/>
      <c r="M735" s="44"/>
      <c r="N735" s="44"/>
      <c r="O735" s="44"/>
    </row>
    <row r="736" spans="1:15" ht="17.25" customHeight="1">
      <c r="A736" s="44"/>
      <c r="B736" s="44"/>
      <c r="C736" s="44"/>
      <c r="D736" s="44"/>
      <c r="E736" s="44"/>
      <c r="F736" s="44"/>
      <c r="G736" s="44"/>
      <c r="H736" s="44"/>
      <c r="I736" s="44"/>
      <c r="J736" s="44"/>
      <c r="K736" s="44"/>
      <c r="L736" s="44"/>
      <c r="M736" s="44"/>
      <c r="N736" s="44"/>
      <c r="O736" s="44"/>
    </row>
    <row r="737" spans="1:15" ht="17.25" customHeight="1">
      <c r="A737" s="44"/>
      <c r="B737" s="44"/>
      <c r="C737" s="44"/>
      <c r="D737" s="44"/>
      <c r="E737" s="44"/>
      <c r="F737" s="44"/>
      <c r="G737" s="44"/>
      <c r="H737" s="44"/>
      <c r="I737" s="44"/>
      <c r="J737" s="44"/>
      <c r="K737" s="44"/>
      <c r="L737" s="44"/>
      <c r="M737" s="44"/>
      <c r="N737" s="44"/>
      <c r="O737" s="44"/>
    </row>
    <row r="738" spans="1:15" ht="17.25" customHeight="1">
      <c r="A738" s="44"/>
      <c r="B738" s="44"/>
      <c r="C738" s="44"/>
      <c r="D738" s="44"/>
      <c r="E738" s="44"/>
      <c r="F738" s="44"/>
      <c r="G738" s="44"/>
      <c r="H738" s="44"/>
      <c r="I738" s="44"/>
      <c r="J738" s="44"/>
      <c r="K738" s="44"/>
      <c r="L738" s="44"/>
      <c r="M738" s="44"/>
      <c r="N738" s="44"/>
      <c r="O738" s="44"/>
    </row>
    <row r="739" spans="1:15" ht="17.25" customHeight="1">
      <c r="A739" s="44"/>
      <c r="B739" s="44"/>
      <c r="C739" s="44"/>
      <c r="D739" s="44"/>
      <c r="E739" s="44"/>
      <c r="F739" s="44"/>
      <c r="G739" s="44"/>
      <c r="H739" s="44"/>
      <c r="I739" s="44"/>
      <c r="J739" s="44"/>
      <c r="K739" s="44"/>
      <c r="L739" s="44"/>
      <c r="M739" s="44"/>
      <c r="N739" s="44"/>
      <c r="O739" s="44"/>
    </row>
    <row r="740" spans="1:15" ht="17.25" customHeight="1">
      <c r="A740" s="44"/>
      <c r="B740" s="44"/>
      <c r="C740" s="44"/>
      <c r="D740" s="44"/>
      <c r="E740" s="44"/>
      <c r="F740" s="44"/>
      <c r="G740" s="44"/>
      <c r="H740" s="44"/>
      <c r="I740" s="44"/>
      <c r="J740" s="44"/>
      <c r="K740" s="44"/>
      <c r="L740" s="44"/>
      <c r="M740" s="44"/>
      <c r="N740" s="44"/>
      <c r="O740" s="44"/>
    </row>
    <row r="741" spans="1:15" ht="17.25" customHeight="1">
      <c r="A741" s="44"/>
      <c r="B741" s="44"/>
      <c r="C741" s="44"/>
      <c r="D741" s="44"/>
      <c r="E741" s="44"/>
      <c r="F741" s="44"/>
      <c r="G741" s="44"/>
      <c r="H741" s="44"/>
      <c r="I741" s="44"/>
      <c r="J741" s="44"/>
      <c r="K741" s="44"/>
      <c r="L741" s="44"/>
      <c r="M741" s="44"/>
      <c r="N741" s="44"/>
      <c r="O741" s="44"/>
    </row>
    <row r="742" spans="1:15" ht="17.25" customHeight="1">
      <c r="A742" s="44"/>
      <c r="B742" s="44"/>
      <c r="C742" s="44"/>
      <c r="D742" s="44"/>
      <c r="E742" s="44"/>
      <c r="F742" s="44"/>
      <c r="G742" s="44"/>
      <c r="H742" s="44"/>
      <c r="I742" s="44"/>
      <c r="J742" s="44"/>
      <c r="K742" s="44"/>
      <c r="L742" s="44"/>
      <c r="M742" s="44"/>
      <c r="N742" s="44"/>
      <c r="O742" s="44"/>
    </row>
    <row r="743" spans="1:15" ht="17.25" customHeight="1">
      <c r="A743" s="44"/>
      <c r="B743" s="44"/>
      <c r="C743" s="44"/>
      <c r="D743" s="44"/>
      <c r="E743" s="44"/>
      <c r="F743" s="44"/>
      <c r="G743" s="44"/>
      <c r="H743" s="44"/>
      <c r="I743" s="44"/>
      <c r="J743" s="44"/>
      <c r="K743" s="44"/>
      <c r="L743" s="44"/>
      <c r="M743" s="44"/>
      <c r="N743" s="44"/>
      <c r="O743" s="44"/>
    </row>
    <row r="744" spans="1:15" ht="17.25" customHeight="1">
      <c r="A744" s="44"/>
      <c r="B744" s="44"/>
      <c r="C744" s="44"/>
      <c r="D744" s="44"/>
      <c r="E744" s="44"/>
      <c r="F744" s="44"/>
      <c r="G744" s="44"/>
      <c r="H744" s="44"/>
      <c r="I744" s="44"/>
      <c r="J744" s="44"/>
      <c r="K744" s="44"/>
      <c r="L744" s="44"/>
      <c r="M744" s="44"/>
      <c r="N744" s="44"/>
      <c r="O744" s="44"/>
    </row>
    <row r="745" spans="1:15" ht="17.25" customHeight="1">
      <c r="A745" s="44"/>
      <c r="B745" s="44"/>
      <c r="C745" s="44"/>
      <c r="D745" s="44"/>
      <c r="E745" s="44"/>
      <c r="F745" s="44"/>
      <c r="G745" s="44"/>
      <c r="H745" s="44"/>
      <c r="I745" s="44"/>
      <c r="J745" s="44"/>
      <c r="K745" s="44"/>
      <c r="L745" s="44"/>
      <c r="M745" s="44"/>
      <c r="N745" s="44"/>
      <c r="O745" s="44"/>
    </row>
    <row r="746" spans="1:15" ht="17.25" customHeight="1">
      <c r="A746" s="44"/>
      <c r="B746" s="44"/>
      <c r="C746" s="44"/>
      <c r="D746" s="44"/>
      <c r="E746" s="44"/>
      <c r="F746" s="44"/>
      <c r="G746" s="44"/>
      <c r="H746" s="44"/>
      <c r="I746" s="44"/>
      <c r="J746" s="44"/>
      <c r="K746" s="44"/>
      <c r="L746" s="44"/>
      <c r="M746" s="44"/>
      <c r="N746" s="44"/>
      <c r="O746" s="44"/>
    </row>
    <row r="747" spans="1:15" ht="17.25" customHeight="1">
      <c r="A747" s="44"/>
      <c r="B747" s="44"/>
      <c r="C747" s="44"/>
      <c r="D747" s="44"/>
      <c r="E747" s="44"/>
      <c r="F747" s="44"/>
      <c r="G747" s="44"/>
      <c r="H747" s="44"/>
      <c r="I747" s="44"/>
      <c r="J747" s="44"/>
      <c r="K747" s="44"/>
      <c r="L747" s="44"/>
      <c r="M747" s="44"/>
      <c r="N747" s="44"/>
      <c r="O747" s="44"/>
    </row>
    <row r="748" spans="1:15" ht="17.25" customHeight="1">
      <c r="A748" s="44"/>
      <c r="B748" s="44"/>
      <c r="C748" s="44"/>
      <c r="D748" s="44"/>
      <c r="E748" s="44"/>
      <c r="F748" s="44"/>
      <c r="G748" s="44"/>
      <c r="H748" s="44"/>
      <c r="I748" s="44"/>
      <c r="J748" s="44"/>
      <c r="K748" s="44"/>
      <c r="L748" s="44"/>
      <c r="M748" s="44"/>
      <c r="N748" s="44"/>
      <c r="O748" s="44"/>
    </row>
    <row r="749" spans="1:15" ht="17.25" customHeight="1">
      <c r="A749" s="44"/>
      <c r="B749" s="44"/>
      <c r="C749" s="44"/>
      <c r="D749" s="44"/>
      <c r="E749" s="44"/>
      <c r="F749" s="44"/>
      <c r="G749" s="44"/>
      <c r="H749" s="44"/>
      <c r="I749" s="44"/>
      <c r="J749" s="44"/>
      <c r="K749" s="44"/>
      <c r="L749" s="44"/>
      <c r="M749" s="44"/>
      <c r="N749" s="44"/>
      <c r="O749" s="44"/>
    </row>
    <row r="750" spans="1:15" ht="17.25" customHeight="1">
      <c r="A750" s="44"/>
      <c r="B750" s="44"/>
      <c r="C750" s="44"/>
      <c r="D750" s="44"/>
      <c r="E750" s="44"/>
      <c r="F750" s="44"/>
      <c r="G750" s="44"/>
      <c r="H750" s="44"/>
      <c r="I750" s="44"/>
      <c r="J750" s="44"/>
      <c r="K750" s="44"/>
      <c r="L750" s="44"/>
      <c r="M750" s="44"/>
      <c r="N750" s="44"/>
      <c r="O750" s="44"/>
    </row>
    <row r="751" spans="1:15" ht="17.25" customHeight="1">
      <c r="A751" s="44"/>
      <c r="B751" s="44"/>
      <c r="C751" s="44"/>
      <c r="D751" s="44"/>
      <c r="E751" s="44"/>
      <c r="F751" s="44"/>
      <c r="G751" s="44"/>
      <c r="H751" s="44"/>
      <c r="I751" s="44"/>
      <c r="J751" s="44"/>
      <c r="K751" s="44"/>
      <c r="L751" s="44"/>
      <c r="M751" s="44"/>
      <c r="N751" s="44"/>
      <c r="O751" s="44"/>
    </row>
    <row r="752" spans="1:15" ht="17.25" customHeight="1">
      <c r="A752" s="44"/>
      <c r="B752" s="44"/>
      <c r="C752" s="44"/>
      <c r="D752" s="44"/>
      <c r="E752" s="44"/>
      <c r="F752" s="44"/>
      <c r="G752" s="44"/>
      <c r="H752" s="44"/>
      <c r="I752" s="44"/>
      <c r="J752" s="44"/>
      <c r="K752" s="44"/>
      <c r="L752" s="44"/>
      <c r="M752" s="44"/>
      <c r="N752" s="44"/>
      <c r="O752" s="44"/>
    </row>
    <row r="753" spans="1:15" ht="17.25" customHeight="1">
      <c r="A753" s="44"/>
      <c r="B753" s="44"/>
      <c r="C753" s="44"/>
      <c r="D753" s="44"/>
      <c r="E753" s="44"/>
      <c r="F753" s="44"/>
      <c r="G753" s="44"/>
      <c r="H753" s="44"/>
      <c r="I753" s="44"/>
      <c r="J753" s="44"/>
      <c r="K753" s="44"/>
      <c r="L753" s="44"/>
      <c r="M753" s="44"/>
      <c r="N753" s="44"/>
      <c r="O753" s="44"/>
    </row>
    <row r="754" spans="1:15" ht="17.25" customHeight="1">
      <c r="A754" s="44"/>
      <c r="B754" s="44"/>
      <c r="C754" s="44"/>
      <c r="D754" s="44"/>
      <c r="E754" s="44"/>
      <c r="F754" s="44"/>
      <c r="G754" s="44"/>
      <c r="H754" s="44"/>
      <c r="I754" s="44"/>
      <c r="J754" s="44"/>
      <c r="K754" s="44"/>
      <c r="L754" s="44"/>
      <c r="M754" s="44"/>
      <c r="N754" s="44"/>
      <c r="O754" s="44"/>
    </row>
    <row r="755" spans="1:15" ht="17.25" customHeight="1">
      <c r="A755" s="44"/>
      <c r="B755" s="44"/>
      <c r="C755" s="44"/>
      <c r="D755" s="44"/>
      <c r="E755" s="44"/>
      <c r="F755" s="44"/>
      <c r="G755" s="44"/>
      <c r="H755" s="44"/>
      <c r="I755" s="44"/>
      <c r="J755" s="44"/>
      <c r="K755" s="44"/>
      <c r="L755" s="44"/>
      <c r="M755" s="44"/>
      <c r="N755" s="44"/>
      <c r="O755" s="44"/>
    </row>
    <row r="756" spans="1:15" ht="17.25" customHeight="1">
      <c r="A756" s="44"/>
      <c r="B756" s="44"/>
      <c r="C756" s="44"/>
      <c r="D756" s="44"/>
      <c r="E756" s="44"/>
      <c r="F756" s="44"/>
      <c r="G756" s="44"/>
      <c r="H756" s="44"/>
      <c r="I756" s="44"/>
      <c r="J756" s="44"/>
      <c r="K756" s="44"/>
      <c r="L756" s="44"/>
      <c r="M756" s="44"/>
      <c r="N756" s="44"/>
      <c r="O756" s="44"/>
    </row>
    <row r="757" spans="1:15" ht="17.25" customHeight="1">
      <c r="A757" s="44"/>
      <c r="B757" s="44"/>
      <c r="C757" s="44"/>
      <c r="D757" s="44"/>
      <c r="E757" s="44"/>
      <c r="F757" s="44"/>
      <c r="G757" s="44"/>
      <c r="H757" s="44"/>
      <c r="I757" s="44"/>
      <c r="J757" s="44"/>
      <c r="K757" s="44"/>
      <c r="L757" s="44"/>
      <c r="M757" s="44"/>
      <c r="N757" s="44"/>
      <c r="O757" s="44"/>
    </row>
    <row r="758" spans="1:15" ht="17.25" customHeight="1">
      <c r="A758" s="44"/>
      <c r="B758" s="44"/>
      <c r="C758" s="44"/>
      <c r="D758" s="44"/>
      <c r="E758" s="44"/>
      <c r="F758" s="44"/>
      <c r="G758" s="44"/>
      <c r="H758" s="44"/>
      <c r="I758" s="44"/>
      <c r="J758" s="44"/>
      <c r="K758" s="44"/>
      <c r="L758" s="44"/>
      <c r="M758" s="44"/>
      <c r="N758" s="44"/>
      <c r="O758" s="44"/>
    </row>
    <row r="759" spans="1:15" ht="17.25" customHeight="1">
      <c r="A759" s="44"/>
      <c r="B759" s="44"/>
      <c r="C759" s="44"/>
      <c r="D759" s="44"/>
      <c r="E759" s="44"/>
      <c r="F759" s="44"/>
      <c r="G759" s="44"/>
      <c r="H759" s="44"/>
      <c r="I759" s="44"/>
      <c r="J759" s="44"/>
      <c r="K759" s="44"/>
      <c r="L759" s="44"/>
      <c r="M759" s="44"/>
      <c r="N759" s="44"/>
      <c r="O759" s="44"/>
    </row>
    <row r="760" spans="1:15" ht="17.25" customHeight="1">
      <c r="A760" s="44"/>
      <c r="B760" s="44"/>
      <c r="C760" s="44"/>
      <c r="D760" s="44"/>
      <c r="E760" s="44"/>
      <c r="F760" s="44"/>
      <c r="G760" s="44"/>
      <c r="H760" s="44"/>
      <c r="I760" s="44"/>
      <c r="J760" s="44"/>
      <c r="K760" s="44"/>
      <c r="L760" s="44"/>
      <c r="M760" s="44"/>
      <c r="N760" s="44"/>
      <c r="O760" s="44"/>
    </row>
    <row r="761" spans="1:15" ht="17.25" customHeight="1">
      <c r="A761" s="44"/>
      <c r="B761" s="44"/>
      <c r="C761" s="44"/>
      <c r="D761" s="44"/>
      <c r="E761" s="44"/>
      <c r="F761" s="44"/>
      <c r="G761" s="44"/>
      <c r="H761" s="44"/>
      <c r="I761" s="44"/>
      <c r="J761" s="44"/>
      <c r="K761" s="44"/>
      <c r="L761" s="44"/>
      <c r="M761" s="44"/>
      <c r="N761" s="44"/>
      <c r="O761" s="44"/>
    </row>
    <row r="762" spans="1:15" ht="17.25" customHeight="1">
      <c r="A762" s="44"/>
      <c r="B762" s="44"/>
      <c r="C762" s="44"/>
      <c r="D762" s="44"/>
      <c r="E762" s="44"/>
      <c r="F762" s="44"/>
      <c r="G762" s="44"/>
      <c r="H762" s="44"/>
      <c r="I762" s="44"/>
      <c r="J762" s="44"/>
      <c r="K762" s="44"/>
      <c r="L762" s="44"/>
      <c r="M762" s="44"/>
      <c r="N762" s="44"/>
      <c r="O762" s="44"/>
    </row>
    <row r="763" spans="1:15" ht="17.25" customHeight="1">
      <c r="A763" s="44"/>
      <c r="B763" s="44"/>
      <c r="C763" s="44"/>
      <c r="D763" s="44"/>
      <c r="E763" s="44"/>
      <c r="F763" s="44"/>
      <c r="G763" s="44"/>
      <c r="H763" s="44"/>
      <c r="I763" s="44"/>
      <c r="J763" s="44"/>
      <c r="K763" s="44"/>
      <c r="L763" s="44"/>
      <c r="M763" s="44"/>
      <c r="N763" s="44"/>
      <c r="O763" s="44"/>
    </row>
    <row r="764" spans="1:15" ht="17.25" customHeight="1">
      <c r="A764" s="44"/>
      <c r="B764" s="44"/>
      <c r="C764" s="44"/>
      <c r="D764" s="44"/>
      <c r="E764" s="44"/>
      <c r="F764" s="44"/>
      <c r="G764" s="44"/>
      <c r="H764" s="44"/>
      <c r="I764" s="44"/>
      <c r="J764" s="44"/>
      <c r="K764" s="44"/>
      <c r="L764" s="44"/>
      <c r="M764" s="44"/>
      <c r="N764" s="44"/>
      <c r="O764" s="44"/>
    </row>
    <row r="765" spans="1:15" ht="17.25" customHeight="1">
      <c r="A765" s="44"/>
      <c r="B765" s="44"/>
      <c r="C765" s="44"/>
      <c r="D765" s="44"/>
      <c r="E765" s="44"/>
      <c r="F765" s="44"/>
      <c r="G765" s="44"/>
      <c r="H765" s="44"/>
      <c r="I765" s="44"/>
      <c r="J765" s="44"/>
      <c r="K765" s="44"/>
      <c r="L765" s="44"/>
      <c r="M765" s="44"/>
      <c r="N765" s="44"/>
      <c r="O765" s="44"/>
    </row>
    <row r="766" spans="1:15" ht="17.25" customHeight="1">
      <c r="A766" s="44"/>
      <c r="B766" s="44"/>
      <c r="C766" s="44"/>
      <c r="D766" s="44"/>
      <c r="E766" s="44"/>
      <c r="F766" s="44"/>
      <c r="G766" s="44"/>
      <c r="H766" s="44"/>
      <c r="I766" s="44"/>
      <c r="J766" s="44"/>
      <c r="K766" s="44"/>
      <c r="L766" s="44"/>
      <c r="M766" s="44"/>
      <c r="N766" s="44"/>
      <c r="O766" s="44"/>
    </row>
    <row r="767" spans="1:15" ht="17.25" customHeight="1">
      <c r="A767" s="44"/>
      <c r="B767" s="44"/>
      <c r="C767" s="44"/>
      <c r="D767" s="44"/>
      <c r="E767" s="44"/>
      <c r="F767" s="44"/>
      <c r="G767" s="44"/>
      <c r="H767" s="44"/>
      <c r="I767" s="44"/>
      <c r="J767" s="44"/>
      <c r="K767" s="44"/>
      <c r="L767" s="44"/>
      <c r="M767" s="44"/>
      <c r="N767" s="44"/>
      <c r="O767" s="44"/>
    </row>
    <row r="768" spans="1:15" ht="17.25" customHeight="1">
      <c r="A768" s="44"/>
      <c r="B768" s="44"/>
      <c r="C768" s="44"/>
      <c r="D768" s="44"/>
      <c r="E768" s="44"/>
      <c r="F768" s="44"/>
      <c r="G768" s="44"/>
      <c r="H768" s="44"/>
      <c r="I768" s="44"/>
      <c r="J768" s="44"/>
      <c r="K768" s="44"/>
      <c r="L768" s="44"/>
      <c r="M768" s="44"/>
      <c r="N768" s="44"/>
      <c r="O768" s="44"/>
    </row>
    <row r="769" spans="1:15" ht="17.25" customHeight="1">
      <c r="A769" s="44"/>
      <c r="B769" s="44"/>
      <c r="C769" s="44"/>
      <c r="D769" s="44"/>
      <c r="E769" s="44"/>
      <c r="F769" s="44"/>
      <c r="G769" s="44"/>
      <c r="H769" s="44"/>
      <c r="I769" s="44"/>
      <c r="J769" s="44"/>
      <c r="K769" s="44"/>
      <c r="L769" s="44"/>
      <c r="M769" s="44"/>
      <c r="N769" s="44"/>
      <c r="O769" s="44"/>
    </row>
    <row r="770" spans="1:15" ht="17.25" customHeight="1">
      <c r="A770" s="44"/>
      <c r="B770" s="44"/>
      <c r="C770" s="44"/>
      <c r="D770" s="44"/>
      <c r="E770" s="44"/>
      <c r="F770" s="44"/>
      <c r="G770" s="44"/>
      <c r="H770" s="44"/>
      <c r="I770" s="44"/>
      <c r="J770" s="44"/>
      <c r="K770" s="44"/>
      <c r="L770" s="44"/>
      <c r="M770" s="44"/>
      <c r="N770" s="44"/>
      <c r="O770" s="44"/>
    </row>
    <row r="771" spans="1:15" ht="17.25" customHeight="1">
      <c r="A771" s="44"/>
      <c r="B771" s="44"/>
      <c r="C771" s="44"/>
      <c r="D771" s="44"/>
      <c r="E771" s="44"/>
      <c r="F771" s="44"/>
      <c r="G771" s="44"/>
      <c r="H771" s="44"/>
      <c r="I771" s="44"/>
      <c r="J771" s="44"/>
      <c r="K771" s="44"/>
      <c r="L771" s="44"/>
      <c r="M771" s="44"/>
      <c r="N771" s="44"/>
      <c r="O771" s="44"/>
    </row>
    <row r="772" spans="1:15" ht="17.25" customHeight="1">
      <c r="A772" s="44"/>
      <c r="B772" s="44"/>
      <c r="C772" s="44"/>
      <c r="D772" s="44"/>
      <c r="E772" s="44"/>
      <c r="F772" s="44"/>
      <c r="G772" s="44"/>
      <c r="H772" s="44"/>
      <c r="I772" s="44"/>
      <c r="J772" s="44"/>
      <c r="K772" s="44"/>
      <c r="L772" s="44"/>
      <c r="M772" s="44"/>
      <c r="N772" s="44"/>
      <c r="O772" s="44"/>
    </row>
    <row r="773" spans="1:15" ht="17.25" customHeight="1">
      <c r="A773" s="44"/>
      <c r="B773" s="44"/>
      <c r="C773" s="44"/>
      <c r="D773" s="44"/>
      <c r="E773" s="44"/>
      <c r="F773" s="44"/>
      <c r="G773" s="44"/>
      <c r="H773" s="44"/>
      <c r="I773" s="44"/>
      <c r="J773" s="44"/>
      <c r="K773" s="44"/>
      <c r="L773" s="44"/>
      <c r="M773" s="44"/>
      <c r="N773" s="44"/>
      <c r="O773" s="44"/>
    </row>
    <row r="774" spans="1:15" ht="17.25" customHeight="1">
      <c r="A774" s="44"/>
      <c r="B774" s="44"/>
      <c r="C774" s="44"/>
      <c r="D774" s="44"/>
      <c r="E774" s="44"/>
      <c r="F774" s="44"/>
      <c r="G774" s="44"/>
      <c r="H774" s="44"/>
      <c r="I774" s="44"/>
      <c r="J774" s="44"/>
      <c r="K774" s="44"/>
      <c r="L774" s="44"/>
      <c r="M774" s="44"/>
      <c r="N774" s="44"/>
      <c r="O774" s="44"/>
    </row>
    <row r="775" spans="1:15" ht="17.25" customHeight="1">
      <c r="A775" s="44"/>
      <c r="B775" s="44"/>
      <c r="C775" s="44"/>
      <c r="D775" s="44"/>
      <c r="E775" s="44"/>
      <c r="F775" s="44"/>
      <c r="G775" s="44"/>
      <c r="H775" s="44"/>
      <c r="I775" s="44"/>
      <c r="J775" s="44"/>
      <c r="K775" s="44"/>
      <c r="L775" s="44"/>
      <c r="M775" s="44"/>
      <c r="N775" s="44"/>
      <c r="O775" s="44"/>
    </row>
    <row r="776" spans="1:15" ht="17.25" customHeight="1">
      <c r="A776" s="44"/>
      <c r="B776" s="44"/>
      <c r="C776" s="44"/>
      <c r="D776" s="44"/>
      <c r="E776" s="44"/>
      <c r="F776" s="44"/>
      <c r="G776" s="44"/>
      <c r="H776" s="44"/>
      <c r="I776" s="44"/>
      <c r="J776" s="44"/>
      <c r="K776" s="44"/>
      <c r="L776" s="44"/>
      <c r="M776" s="44"/>
      <c r="N776" s="44"/>
      <c r="O776" s="44"/>
    </row>
    <row r="777" spans="1:15" ht="17.25" customHeight="1">
      <c r="A777" s="44"/>
      <c r="B777" s="44"/>
      <c r="C777" s="44"/>
      <c r="D777" s="44"/>
      <c r="E777" s="44"/>
      <c r="F777" s="44"/>
      <c r="G777" s="44"/>
      <c r="H777" s="44"/>
      <c r="I777" s="44"/>
      <c r="J777" s="44"/>
      <c r="K777" s="44"/>
      <c r="L777" s="44"/>
      <c r="M777" s="44"/>
      <c r="N777" s="44"/>
      <c r="O777" s="44"/>
    </row>
    <row r="778" spans="1:15" ht="17.25" customHeight="1">
      <c r="A778" s="44"/>
      <c r="B778" s="44"/>
      <c r="C778" s="44"/>
      <c r="D778" s="44"/>
      <c r="E778" s="44"/>
      <c r="F778" s="44"/>
      <c r="G778" s="44"/>
      <c r="H778" s="44"/>
      <c r="I778" s="44"/>
      <c r="J778" s="44"/>
      <c r="K778" s="44"/>
      <c r="L778" s="44"/>
      <c r="M778" s="44"/>
      <c r="N778" s="44"/>
      <c r="O778" s="44"/>
    </row>
    <row r="779" spans="1:15" ht="17.25" customHeight="1">
      <c r="A779" s="44"/>
      <c r="B779" s="44"/>
      <c r="C779" s="44"/>
      <c r="D779" s="44"/>
      <c r="E779" s="44"/>
      <c r="F779" s="44"/>
      <c r="G779" s="44"/>
      <c r="H779" s="44"/>
      <c r="I779" s="44"/>
      <c r="J779" s="44"/>
      <c r="K779" s="44"/>
      <c r="L779" s="44"/>
      <c r="M779" s="44"/>
      <c r="N779" s="44"/>
      <c r="O779" s="44"/>
    </row>
    <row r="780" spans="1:15" ht="17.25" customHeight="1">
      <c r="A780" s="44"/>
      <c r="B780" s="44"/>
      <c r="C780" s="44"/>
      <c r="D780" s="44"/>
      <c r="E780" s="44"/>
      <c r="F780" s="44"/>
      <c r="G780" s="44"/>
      <c r="H780" s="44"/>
      <c r="I780" s="44"/>
      <c r="J780" s="44"/>
      <c r="K780" s="44"/>
      <c r="L780" s="44"/>
      <c r="M780" s="44"/>
      <c r="N780" s="44"/>
      <c r="O780" s="44"/>
    </row>
    <row r="781" spans="1:15" ht="17.25" customHeight="1">
      <c r="A781" s="44"/>
      <c r="B781" s="44"/>
      <c r="C781" s="44"/>
      <c r="D781" s="44"/>
      <c r="E781" s="44"/>
      <c r="F781" s="44"/>
      <c r="G781" s="44"/>
      <c r="H781" s="44"/>
      <c r="I781" s="44"/>
      <c r="J781" s="44"/>
      <c r="K781" s="44"/>
      <c r="L781" s="44"/>
      <c r="M781" s="44"/>
      <c r="N781" s="44"/>
      <c r="O781" s="44"/>
    </row>
    <row r="782" spans="1:15" ht="17.25" customHeight="1">
      <c r="A782" s="44"/>
      <c r="B782" s="44"/>
      <c r="C782" s="44"/>
      <c r="D782" s="44"/>
      <c r="E782" s="44"/>
      <c r="F782" s="44"/>
      <c r="G782" s="44"/>
      <c r="H782" s="44"/>
      <c r="I782" s="44"/>
      <c r="J782" s="44"/>
      <c r="K782" s="44"/>
      <c r="L782" s="44"/>
      <c r="M782" s="44"/>
      <c r="N782" s="44"/>
      <c r="O782" s="44"/>
    </row>
    <row r="783" spans="1:15" ht="17.25" customHeight="1">
      <c r="A783" s="44"/>
      <c r="B783" s="44"/>
      <c r="C783" s="44"/>
      <c r="D783" s="44"/>
      <c r="E783" s="44"/>
      <c r="F783" s="44"/>
      <c r="G783" s="44"/>
      <c r="H783" s="44"/>
      <c r="I783" s="44"/>
      <c r="J783" s="44"/>
      <c r="K783" s="44"/>
      <c r="L783" s="44"/>
      <c r="M783" s="44"/>
      <c r="N783" s="44"/>
      <c r="O783" s="44"/>
    </row>
    <row r="784" spans="1:15" ht="17.25" customHeight="1">
      <c r="A784" s="44"/>
      <c r="B784" s="44"/>
      <c r="C784" s="44"/>
      <c r="D784" s="44"/>
      <c r="E784" s="44"/>
      <c r="F784" s="44"/>
      <c r="G784" s="44"/>
      <c r="H784" s="44"/>
      <c r="I784" s="44"/>
      <c r="J784" s="44"/>
      <c r="K784" s="44"/>
      <c r="L784" s="44"/>
      <c r="M784" s="44"/>
      <c r="N784" s="44"/>
      <c r="O784" s="44"/>
    </row>
    <row r="785" spans="1:15" ht="17.25" customHeight="1">
      <c r="A785" s="44"/>
      <c r="B785" s="44"/>
      <c r="C785" s="44"/>
      <c r="D785" s="44"/>
      <c r="E785" s="44"/>
      <c r="F785" s="44"/>
      <c r="G785" s="44"/>
      <c r="H785" s="44"/>
      <c r="I785" s="44"/>
      <c r="J785" s="44"/>
      <c r="K785" s="44"/>
      <c r="L785" s="44"/>
      <c r="M785" s="44"/>
      <c r="N785" s="44"/>
      <c r="O785" s="44"/>
    </row>
    <row r="786" spans="1:15" ht="17.25" customHeight="1">
      <c r="A786" s="44"/>
      <c r="B786" s="44"/>
      <c r="C786" s="44"/>
      <c r="D786" s="44"/>
      <c r="E786" s="44"/>
      <c r="F786" s="44"/>
      <c r="G786" s="44"/>
      <c r="H786" s="44"/>
      <c r="I786" s="44"/>
      <c r="J786" s="44"/>
      <c r="K786" s="44"/>
      <c r="L786" s="44"/>
      <c r="M786" s="44"/>
      <c r="N786" s="44"/>
      <c r="O786" s="44"/>
    </row>
    <row r="787" spans="1:15" ht="17.25" customHeight="1">
      <c r="A787" s="44"/>
      <c r="B787" s="44"/>
      <c r="C787" s="44"/>
      <c r="D787" s="44"/>
      <c r="E787" s="44"/>
      <c r="F787" s="44"/>
      <c r="G787" s="44"/>
      <c r="H787" s="44"/>
      <c r="I787" s="44"/>
      <c r="J787" s="44"/>
      <c r="K787" s="44"/>
      <c r="L787" s="44"/>
      <c r="M787" s="44"/>
      <c r="N787" s="44"/>
      <c r="O787" s="44"/>
    </row>
    <row r="788" spans="1:15" ht="17.25" customHeight="1">
      <c r="A788" s="44"/>
      <c r="B788" s="44"/>
      <c r="C788" s="44"/>
      <c r="D788" s="44"/>
      <c r="E788" s="44"/>
      <c r="F788" s="44"/>
      <c r="G788" s="44"/>
      <c r="H788" s="44"/>
      <c r="I788" s="44"/>
      <c r="J788" s="44"/>
      <c r="K788" s="44"/>
      <c r="L788" s="44"/>
      <c r="M788" s="44"/>
      <c r="N788" s="44"/>
      <c r="O788" s="44"/>
    </row>
    <row r="789" spans="1:15" ht="17.25" customHeight="1">
      <c r="A789" s="44"/>
      <c r="B789" s="44"/>
      <c r="C789" s="44"/>
      <c r="D789" s="44"/>
      <c r="E789" s="44"/>
      <c r="F789" s="44"/>
      <c r="G789" s="44"/>
      <c r="H789" s="44"/>
      <c r="I789" s="44"/>
      <c r="J789" s="44"/>
      <c r="K789" s="44"/>
      <c r="L789" s="44"/>
      <c r="M789" s="44"/>
      <c r="N789" s="44"/>
      <c r="O789" s="44"/>
    </row>
    <row r="790" spans="1:15" ht="17.25" customHeight="1">
      <c r="A790" s="44"/>
      <c r="B790" s="44"/>
      <c r="C790" s="44"/>
      <c r="D790" s="44"/>
      <c r="E790" s="44"/>
      <c r="F790" s="44"/>
      <c r="G790" s="44"/>
      <c r="H790" s="44"/>
      <c r="I790" s="44"/>
      <c r="J790" s="44"/>
      <c r="K790" s="44"/>
      <c r="L790" s="44"/>
      <c r="M790" s="44"/>
      <c r="N790" s="44"/>
      <c r="O790" s="44"/>
    </row>
    <row r="791" spans="1:15" ht="17.25" customHeight="1">
      <c r="A791" s="44"/>
      <c r="B791" s="44"/>
      <c r="C791" s="44"/>
      <c r="D791" s="44"/>
      <c r="E791" s="44"/>
      <c r="F791" s="44"/>
      <c r="G791" s="44"/>
      <c r="H791" s="44"/>
      <c r="I791" s="44"/>
      <c r="J791" s="44"/>
      <c r="K791" s="44"/>
      <c r="L791" s="44"/>
      <c r="M791" s="44"/>
      <c r="N791" s="44"/>
      <c r="O791" s="44"/>
    </row>
    <row r="792" spans="1:15" ht="17.25" customHeight="1">
      <c r="A792" s="44"/>
      <c r="B792" s="44"/>
      <c r="C792" s="44"/>
      <c r="D792" s="44"/>
      <c r="E792" s="44"/>
      <c r="F792" s="44"/>
      <c r="G792" s="44"/>
      <c r="H792" s="44"/>
      <c r="I792" s="44"/>
      <c r="J792" s="44"/>
      <c r="K792" s="44"/>
      <c r="L792" s="44"/>
      <c r="M792" s="44"/>
      <c r="N792" s="44"/>
      <c r="O792" s="44"/>
    </row>
    <row r="793" spans="1:15" ht="17.25" customHeight="1">
      <c r="A793" s="44"/>
      <c r="B793" s="44"/>
      <c r="C793" s="44"/>
      <c r="D793" s="44"/>
      <c r="E793" s="44"/>
      <c r="F793" s="44"/>
      <c r="G793" s="44"/>
      <c r="H793" s="44"/>
      <c r="I793" s="44"/>
      <c r="J793" s="44"/>
      <c r="K793" s="44"/>
      <c r="L793" s="44"/>
      <c r="M793" s="44"/>
      <c r="N793" s="44"/>
      <c r="O793" s="44"/>
    </row>
    <row r="794" spans="1:15" ht="17.25" customHeight="1">
      <c r="A794" s="44"/>
      <c r="B794" s="44"/>
      <c r="C794" s="44"/>
      <c r="D794" s="44"/>
      <c r="E794" s="44"/>
      <c r="F794" s="44"/>
      <c r="G794" s="44"/>
      <c r="H794" s="44"/>
      <c r="I794" s="44"/>
      <c r="J794" s="44"/>
      <c r="K794" s="44"/>
      <c r="L794" s="44"/>
      <c r="M794" s="44"/>
      <c r="N794" s="44"/>
      <c r="O794" s="44"/>
    </row>
    <row r="795" spans="1:15" ht="17.25" customHeight="1">
      <c r="A795" s="44"/>
      <c r="B795" s="44"/>
      <c r="C795" s="44"/>
      <c r="D795" s="44"/>
      <c r="E795" s="44"/>
      <c r="F795" s="44"/>
      <c r="G795" s="44"/>
      <c r="H795" s="44"/>
      <c r="I795" s="44"/>
      <c r="J795" s="44"/>
      <c r="K795" s="44"/>
      <c r="L795" s="44"/>
      <c r="M795" s="44"/>
      <c r="N795" s="44"/>
      <c r="O795" s="44"/>
    </row>
    <row r="796" spans="1:15" ht="17.25" customHeight="1">
      <c r="A796" s="44"/>
      <c r="B796" s="44"/>
      <c r="C796" s="44"/>
      <c r="D796" s="44"/>
      <c r="E796" s="44"/>
      <c r="F796" s="44"/>
      <c r="G796" s="44"/>
      <c r="H796" s="44"/>
      <c r="I796" s="44"/>
      <c r="J796" s="44"/>
      <c r="K796" s="44"/>
      <c r="L796" s="44"/>
      <c r="M796" s="44"/>
      <c r="N796" s="44"/>
      <c r="O796" s="44"/>
    </row>
    <row r="797" spans="1:15" ht="17.25" customHeight="1">
      <c r="A797" s="44"/>
      <c r="B797" s="44"/>
      <c r="C797" s="44"/>
      <c r="D797" s="44"/>
      <c r="E797" s="44"/>
      <c r="F797" s="44"/>
      <c r="G797" s="44"/>
      <c r="H797" s="44"/>
      <c r="I797" s="44"/>
      <c r="J797" s="44"/>
      <c r="K797" s="44"/>
      <c r="L797" s="44"/>
      <c r="M797" s="44"/>
      <c r="N797" s="44"/>
      <c r="O797" s="44"/>
    </row>
    <row r="798" spans="1:15" ht="17.25" customHeight="1">
      <c r="A798" s="44"/>
      <c r="B798" s="44"/>
      <c r="C798" s="44"/>
      <c r="D798" s="44"/>
      <c r="E798" s="44"/>
      <c r="F798" s="44"/>
      <c r="G798" s="44"/>
      <c r="H798" s="44"/>
      <c r="I798" s="44"/>
      <c r="J798" s="44"/>
      <c r="K798" s="44"/>
      <c r="L798" s="44"/>
      <c r="M798" s="44"/>
      <c r="N798" s="44"/>
      <c r="O798" s="44"/>
    </row>
    <row r="799" spans="1:15" ht="17.25" customHeight="1">
      <c r="A799" s="44"/>
      <c r="B799" s="44"/>
      <c r="C799" s="44"/>
      <c r="D799" s="44"/>
      <c r="E799" s="44"/>
      <c r="F799" s="44"/>
      <c r="G799" s="44"/>
      <c r="H799" s="44"/>
      <c r="I799" s="44"/>
      <c r="J799" s="44"/>
      <c r="K799" s="44"/>
      <c r="L799" s="44"/>
      <c r="M799" s="44"/>
      <c r="N799" s="44"/>
      <c r="O799" s="44"/>
    </row>
    <row r="800" spans="1:15" ht="17.25" customHeight="1">
      <c r="A800" s="44"/>
      <c r="B800" s="44"/>
      <c r="C800" s="44"/>
      <c r="D800" s="44"/>
      <c r="E800" s="44"/>
      <c r="F800" s="44"/>
      <c r="G800" s="44"/>
      <c r="H800" s="44"/>
      <c r="I800" s="44"/>
      <c r="J800" s="44"/>
      <c r="K800" s="44"/>
      <c r="L800" s="44"/>
      <c r="M800" s="44"/>
      <c r="N800" s="44"/>
      <c r="O800" s="44"/>
    </row>
    <row r="801" spans="1:15" ht="17.25" customHeight="1">
      <c r="A801" s="44"/>
      <c r="B801" s="44"/>
      <c r="C801" s="44"/>
      <c r="D801" s="44"/>
      <c r="E801" s="44"/>
      <c r="F801" s="44"/>
      <c r="G801" s="44"/>
      <c r="H801" s="44"/>
      <c r="I801" s="44"/>
      <c r="J801" s="44"/>
      <c r="K801" s="44"/>
      <c r="L801" s="44"/>
      <c r="M801" s="44"/>
      <c r="N801" s="44"/>
      <c r="O801" s="44"/>
    </row>
    <row r="802" spans="1:15" ht="17.25" customHeight="1">
      <c r="A802" s="44"/>
      <c r="B802" s="44"/>
      <c r="C802" s="44"/>
      <c r="D802" s="44"/>
      <c r="E802" s="44"/>
      <c r="F802" s="44"/>
      <c r="G802" s="44"/>
      <c r="H802" s="44"/>
      <c r="I802" s="44"/>
      <c r="J802" s="44"/>
      <c r="K802" s="44"/>
      <c r="L802" s="44"/>
      <c r="M802" s="44"/>
      <c r="N802" s="44"/>
      <c r="O802" s="44"/>
    </row>
    <row r="803" spans="1:15" ht="17.25" customHeight="1">
      <c r="A803" s="44"/>
      <c r="B803" s="44"/>
      <c r="C803" s="44"/>
      <c r="D803" s="44"/>
      <c r="E803" s="44"/>
      <c r="F803" s="44"/>
      <c r="G803" s="44"/>
      <c r="H803" s="44"/>
      <c r="I803" s="44"/>
      <c r="J803" s="44"/>
      <c r="K803" s="44"/>
      <c r="L803" s="44"/>
      <c r="M803" s="44"/>
      <c r="N803" s="44"/>
      <c r="O803" s="44"/>
    </row>
    <row r="804" spans="1:15" ht="17.25" customHeight="1">
      <c r="A804" s="44"/>
      <c r="B804" s="44"/>
      <c r="C804" s="44"/>
      <c r="D804" s="44"/>
      <c r="E804" s="44"/>
      <c r="F804" s="44"/>
      <c r="G804" s="44"/>
      <c r="H804" s="44"/>
      <c r="I804" s="44"/>
      <c r="J804" s="44"/>
      <c r="K804" s="44"/>
      <c r="L804" s="44"/>
      <c r="M804" s="44"/>
      <c r="N804" s="44"/>
      <c r="O804" s="44"/>
    </row>
    <row r="805" spans="1:15" ht="17.25" customHeight="1">
      <c r="A805" s="44"/>
      <c r="B805" s="44"/>
      <c r="C805" s="44"/>
      <c r="D805" s="44"/>
      <c r="E805" s="44"/>
      <c r="F805" s="44"/>
      <c r="G805" s="44"/>
      <c r="H805" s="44"/>
      <c r="I805" s="44"/>
      <c r="J805" s="44"/>
      <c r="K805" s="44"/>
      <c r="L805" s="44"/>
      <c r="M805" s="44"/>
      <c r="N805" s="44"/>
      <c r="O805" s="44"/>
    </row>
    <row r="806" spans="1:15" ht="17.25" customHeight="1">
      <c r="A806" s="44"/>
      <c r="B806" s="44"/>
      <c r="C806" s="44"/>
      <c r="D806" s="44"/>
      <c r="E806" s="44"/>
      <c r="F806" s="44"/>
      <c r="G806" s="44"/>
      <c r="H806" s="44"/>
      <c r="I806" s="44"/>
      <c r="J806" s="44"/>
      <c r="K806" s="44"/>
      <c r="L806" s="44"/>
      <c r="M806" s="44"/>
      <c r="N806" s="44"/>
      <c r="O806" s="44"/>
    </row>
    <row r="807" spans="1:15" ht="17.25" customHeight="1">
      <c r="A807" s="44"/>
      <c r="B807" s="44"/>
      <c r="C807" s="44"/>
      <c r="D807" s="44"/>
      <c r="E807" s="44"/>
      <c r="F807" s="44"/>
      <c r="G807" s="44"/>
      <c r="H807" s="44"/>
      <c r="I807" s="44"/>
      <c r="J807" s="44"/>
      <c r="K807" s="44"/>
      <c r="L807" s="44"/>
      <c r="M807" s="44"/>
      <c r="N807" s="44"/>
      <c r="O807" s="44"/>
    </row>
    <row r="808" spans="1:15" ht="17.25" customHeight="1">
      <c r="A808" s="44"/>
      <c r="B808" s="44"/>
      <c r="C808" s="44"/>
      <c r="D808" s="44"/>
      <c r="E808" s="44"/>
      <c r="F808" s="44"/>
      <c r="G808" s="44"/>
      <c r="H808" s="44"/>
      <c r="I808" s="44"/>
      <c r="J808" s="44"/>
      <c r="K808" s="44"/>
      <c r="L808" s="44"/>
      <c r="M808" s="44"/>
      <c r="N808" s="44"/>
      <c r="O808" s="44"/>
    </row>
    <row r="809" spans="1:15" ht="17.25" customHeight="1">
      <c r="A809" s="44"/>
      <c r="B809" s="44"/>
      <c r="C809" s="44"/>
      <c r="D809" s="44"/>
      <c r="E809" s="44"/>
      <c r="F809" s="44"/>
      <c r="G809" s="44"/>
      <c r="H809" s="44"/>
      <c r="I809" s="44"/>
      <c r="J809" s="44"/>
      <c r="K809" s="44"/>
      <c r="L809" s="44"/>
      <c r="M809" s="44"/>
      <c r="N809" s="44"/>
      <c r="O809" s="44"/>
    </row>
    <row r="810" spans="1:15" ht="17.25" customHeight="1">
      <c r="A810" s="44"/>
      <c r="B810" s="44"/>
      <c r="C810" s="44"/>
      <c r="D810" s="44"/>
      <c r="E810" s="44"/>
      <c r="F810" s="44"/>
      <c r="G810" s="44"/>
      <c r="H810" s="44"/>
      <c r="I810" s="44"/>
      <c r="J810" s="44"/>
      <c r="K810" s="44"/>
      <c r="L810" s="44"/>
      <c r="M810" s="44"/>
      <c r="N810" s="44"/>
      <c r="O810" s="44"/>
    </row>
    <row r="811" spans="1:15" ht="17.25" customHeight="1">
      <c r="A811" s="44"/>
      <c r="B811" s="44"/>
      <c r="C811" s="44"/>
      <c r="D811" s="44"/>
      <c r="E811" s="44"/>
      <c r="F811" s="44"/>
      <c r="G811" s="44"/>
      <c r="H811" s="44"/>
      <c r="I811" s="44"/>
      <c r="J811" s="44"/>
      <c r="K811" s="44"/>
      <c r="L811" s="44"/>
      <c r="M811" s="44"/>
      <c r="N811" s="44"/>
      <c r="O811" s="44"/>
    </row>
    <row r="812" spans="1:15" ht="17.25" customHeight="1">
      <c r="A812" s="44"/>
      <c r="B812" s="44"/>
      <c r="C812" s="44"/>
      <c r="D812" s="44"/>
      <c r="E812" s="44"/>
      <c r="F812" s="44"/>
      <c r="G812" s="44"/>
      <c r="H812" s="44"/>
      <c r="I812" s="44"/>
      <c r="J812" s="44"/>
      <c r="K812" s="44"/>
      <c r="L812" s="44"/>
      <c r="M812" s="44"/>
      <c r="N812" s="44"/>
      <c r="O812" s="44"/>
    </row>
    <row r="813" spans="1:15" ht="17.25" customHeight="1">
      <c r="A813" s="44"/>
      <c r="B813" s="44"/>
      <c r="C813" s="44"/>
      <c r="D813" s="44"/>
      <c r="E813" s="44"/>
      <c r="F813" s="44"/>
      <c r="G813" s="44"/>
      <c r="H813" s="44"/>
      <c r="I813" s="44"/>
      <c r="J813" s="44"/>
      <c r="K813" s="44"/>
      <c r="L813" s="44"/>
      <c r="M813" s="44"/>
      <c r="N813" s="44"/>
      <c r="O813" s="44"/>
    </row>
    <row r="814" spans="1:15" ht="17.25" customHeight="1">
      <c r="A814" s="44"/>
      <c r="B814" s="44"/>
      <c r="C814" s="44"/>
      <c r="D814" s="44"/>
      <c r="E814" s="44"/>
      <c r="F814" s="44"/>
      <c r="G814" s="44"/>
      <c r="H814" s="44"/>
      <c r="I814" s="44"/>
      <c r="J814" s="44"/>
      <c r="K814" s="44"/>
      <c r="L814" s="44"/>
      <c r="M814" s="44"/>
      <c r="N814" s="44"/>
      <c r="O814" s="44"/>
    </row>
    <row r="815" spans="1:15" ht="17.25" customHeight="1">
      <c r="A815" s="44"/>
      <c r="B815" s="44"/>
      <c r="C815" s="44"/>
      <c r="D815" s="44"/>
      <c r="E815" s="44"/>
      <c r="F815" s="44"/>
      <c r="G815" s="44"/>
      <c r="H815" s="44"/>
      <c r="I815" s="44"/>
      <c r="J815" s="44"/>
      <c r="K815" s="44"/>
      <c r="L815" s="44"/>
      <c r="M815" s="44"/>
      <c r="N815" s="44"/>
      <c r="O815" s="44"/>
    </row>
    <row r="816" spans="1:15" ht="17.25" customHeight="1">
      <c r="A816" s="44"/>
      <c r="B816" s="44"/>
      <c r="C816" s="44"/>
      <c r="D816" s="44"/>
      <c r="E816" s="44"/>
      <c r="F816" s="44"/>
      <c r="G816" s="44"/>
      <c r="H816" s="44"/>
      <c r="I816" s="44"/>
      <c r="J816" s="44"/>
      <c r="K816" s="44"/>
      <c r="L816" s="44"/>
      <c r="M816" s="44"/>
      <c r="N816" s="44"/>
      <c r="O816" s="44"/>
    </row>
    <row r="817" spans="1:15" ht="17.25" customHeight="1">
      <c r="A817" s="44"/>
      <c r="B817" s="44"/>
      <c r="C817" s="44"/>
      <c r="D817" s="44"/>
      <c r="E817" s="44"/>
      <c r="F817" s="44"/>
      <c r="G817" s="44"/>
      <c r="H817" s="44"/>
      <c r="I817" s="44"/>
      <c r="J817" s="44"/>
      <c r="K817" s="44"/>
      <c r="L817" s="44"/>
      <c r="M817" s="44"/>
      <c r="N817" s="44"/>
      <c r="O817" s="44"/>
    </row>
    <row r="818" spans="1:15" ht="17.25" customHeight="1">
      <c r="A818" s="44"/>
      <c r="B818" s="44"/>
      <c r="C818" s="44"/>
      <c r="D818" s="44"/>
      <c r="E818" s="44"/>
      <c r="F818" s="44"/>
      <c r="G818" s="44"/>
      <c r="H818" s="44"/>
      <c r="I818" s="44"/>
      <c r="J818" s="44"/>
      <c r="K818" s="44"/>
      <c r="L818" s="44"/>
      <c r="M818" s="44"/>
      <c r="N818" s="44"/>
      <c r="O818" s="44"/>
    </row>
    <row r="819" spans="1:15" ht="17.25" customHeight="1">
      <c r="A819" s="44"/>
      <c r="B819" s="44"/>
      <c r="C819" s="44"/>
      <c r="D819" s="44"/>
      <c r="E819" s="44"/>
      <c r="F819" s="44"/>
      <c r="G819" s="44"/>
      <c r="H819" s="44"/>
      <c r="I819" s="44"/>
      <c r="J819" s="44"/>
      <c r="K819" s="44"/>
      <c r="L819" s="44"/>
      <c r="M819" s="44"/>
      <c r="N819" s="44"/>
      <c r="O819" s="44"/>
    </row>
    <row r="820" spans="1:15" ht="17.25" customHeight="1">
      <c r="A820" s="44"/>
      <c r="B820" s="44"/>
      <c r="C820" s="44"/>
      <c r="D820" s="44"/>
      <c r="E820" s="44"/>
      <c r="F820" s="44"/>
      <c r="G820" s="44"/>
      <c r="H820" s="44"/>
      <c r="I820" s="44"/>
      <c r="J820" s="44"/>
      <c r="K820" s="44"/>
      <c r="L820" s="44"/>
      <c r="M820" s="44"/>
      <c r="N820" s="44"/>
      <c r="O820" s="44"/>
    </row>
    <row r="821" spans="1:15" ht="17.25" customHeight="1">
      <c r="A821" s="44"/>
      <c r="B821" s="44"/>
      <c r="C821" s="44"/>
      <c r="D821" s="44"/>
      <c r="E821" s="44"/>
      <c r="F821" s="44"/>
      <c r="G821" s="44"/>
      <c r="H821" s="44"/>
      <c r="I821" s="44"/>
      <c r="J821" s="44"/>
      <c r="K821" s="44"/>
      <c r="L821" s="44"/>
      <c r="M821" s="44"/>
      <c r="N821" s="44"/>
      <c r="O821" s="44"/>
    </row>
    <row r="822" spans="1:15" ht="17.25" customHeight="1">
      <c r="A822" s="44"/>
      <c r="B822" s="44"/>
      <c r="C822" s="44"/>
      <c r="D822" s="44"/>
      <c r="E822" s="44"/>
      <c r="F822" s="44"/>
      <c r="G822" s="44"/>
      <c r="H822" s="44"/>
      <c r="I822" s="44"/>
      <c r="J822" s="44"/>
      <c r="K822" s="44"/>
      <c r="L822" s="44"/>
      <c r="M822" s="44"/>
      <c r="N822" s="44"/>
      <c r="O822" s="44"/>
    </row>
    <row r="823" spans="1:15" ht="17.25" customHeight="1">
      <c r="A823" s="44"/>
      <c r="B823" s="44"/>
      <c r="C823" s="44"/>
      <c r="D823" s="44"/>
      <c r="E823" s="44"/>
      <c r="F823" s="44"/>
      <c r="G823" s="44"/>
      <c r="H823" s="44"/>
      <c r="I823" s="44"/>
      <c r="J823" s="44"/>
      <c r="K823" s="44"/>
      <c r="L823" s="44"/>
      <c r="M823" s="44"/>
      <c r="N823" s="44"/>
      <c r="O823" s="44"/>
    </row>
    <row r="824" spans="1:15" ht="17.25" customHeight="1">
      <c r="A824" s="44"/>
      <c r="B824" s="44"/>
      <c r="C824" s="44"/>
      <c r="D824" s="44"/>
      <c r="E824" s="44"/>
      <c r="F824" s="44"/>
      <c r="G824" s="44"/>
      <c r="H824" s="44"/>
      <c r="I824" s="44"/>
      <c r="J824" s="44"/>
      <c r="K824" s="44"/>
      <c r="L824" s="44"/>
      <c r="M824" s="44"/>
      <c r="N824" s="44"/>
      <c r="O824" s="44"/>
    </row>
    <row r="825" spans="1:15" ht="17.25" customHeight="1">
      <c r="A825" s="44"/>
      <c r="B825" s="44"/>
      <c r="C825" s="44"/>
      <c r="D825" s="44"/>
      <c r="E825" s="44"/>
      <c r="F825" s="44"/>
      <c r="G825" s="44"/>
      <c r="H825" s="44"/>
      <c r="I825" s="44"/>
      <c r="J825" s="44"/>
      <c r="K825" s="44"/>
      <c r="L825" s="44"/>
      <c r="M825" s="44"/>
      <c r="N825" s="44"/>
      <c r="O825" s="44"/>
    </row>
    <row r="826" spans="1:15" ht="17.25" customHeight="1">
      <c r="A826" s="44"/>
      <c r="B826" s="44"/>
      <c r="C826" s="44"/>
      <c r="D826" s="44"/>
      <c r="E826" s="44"/>
      <c r="F826" s="44"/>
      <c r="G826" s="44"/>
      <c r="H826" s="44"/>
      <c r="I826" s="44"/>
      <c r="J826" s="44"/>
      <c r="K826" s="44"/>
      <c r="L826" s="44"/>
      <c r="M826" s="44"/>
      <c r="N826" s="44"/>
      <c r="O826" s="44"/>
    </row>
    <row r="827" spans="1:15" ht="17.25" customHeight="1">
      <c r="A827" s="44"/>
      <c r="B827" s="44"/>
      <c r="C827" s="44"/>
      <c r="D827" s="44"/>
      <c r="E827" s="44"/>
      <c r="F827" s="44"/>
      <c r="G827" s="44"/>
      <c r="H827" s="44"/>
      <c r="I827" s="44"/>
      <c r="J827" s="44"/>
      <c r="K827" s="44"/>
      <c r="L827" s="44"/>
      <c r="M827" s="44"/>
      <c r="N827" s="44"/>
      <c r="O827" s="44"/>
    </row>
    <row r="828" spans="1:15" ht="17.25" customHeight="1">
      <c r="A828" s="44"/>
      <c r="B828" s="44"/>
      <c r="C828" s="44"/>
      <c r="D828" s="44"/>
      <c r="E828" s="44"/>
      <c r="F828" s="44"/>
      <c r="G828" s="44"/>
      <c r="H828" s="44"/>
      <c r="I828" s="44"/>
      <c r="J828" s="44"/>
      <c r="K828" s="44"/>
      <c r="L828" s="44"/>
      <c r="M828" s="44"/>
      <c r="N828" s="44"/>
      <c r="O828" s="44"/>
    </row>
    <row r="829" spans="1:15" ht="17.25" customHeight="1">
      <c r="A829" s="44"/>
      <c r="B829" s="44"/>
      <c r="C829" s="44"/>
      <c r="D829" s="44"/>
      <c r="E829" s="44"/>
      <c r="F829" s="44"/>
      <c r="G829" s="44"/>
      <c r="H829" s="44"/>
      <c r="I829" s="44"/>
      <c r="J829" s="44"/>
      <c r="K829" s="44"/>
      <c r="L829" s="44"/>
      <c r="M829" s="44"/>
      <c r="N829" s="44"/>
      <c r="O829" s="44"/>
    </row>
    <row r="830" spans="1:15" ht="17.25" customHeight="1">
      <c r="A830" s="44"/>
      <c r="B830" s="44"/>
      <c r="C830" s="44"/>
      <c r="D830" s="44"/>
      <c r="E830" s="44"/>
      <c r="F830" s="44"/>
      <c r="G830" s="44"/>
      <c r="H830" s="44"/>
      <c r="I830" s="44"/>
      <c r="J830" s="44"/>
      <c r="K830" s="44"/>
      <c r="L830" s="44"/>
      <c r="M830" s="44"/>
      <c r="N830" s="44"/>
      <c r="O830" s="44"/>
    </row>
    <row r="831" spans="1:15" ht="17.25" customHeight="1">
      <c r="A831" s="44"/>
      <c r="B831" s="44"/>
      <c r="C831" s="44"/>
      <c r="D831" s="44"/>
      <c r="E831" s="44"/>
      <c r="F831" s="44"/>
      <c r="G831" s="44"/>
      <c r="H831" s="44"/>
      <c r="I831" s="44"/>
      <c r="J831" s="44"/>
      <c r="K831" s="44"/>
      <c r="L831" s="44"/>
      <c r="M831" s="44"/>
      <c r="N831" s="44"/>
      <c r="O831" s="44"/>
    </row>
    <row r="832" spans="1:15" ht="17.25" customHeight="1">
      <c r="A832" s="44"/>
      <c r="B832" s="44"/>
      <c r="C832" s="44"/>
      <c r="D832" s="44"/>
      <c r="E832" s="44"/>
      <c r="F832" s="44"/>
      <c r="G832" s="44"/>
      <c r="H832" s="44"/>
      <c r="I832" s="44"/>
      <c r="J832" s="44"/>
      <c r="K832" s="44"/>
      <c r="L832" s="44"/>
      <c r="M832" s="44"/>
      <c r="N832" s="44"/>
      <c r="O832" s="44"/>
    </row>
    <row r="833" spans="1:15" ht="17.25" customHeight="1">
      <c r="A833" s="44"/>
      <c r="B833" s="44"/>
      <c r="C833" s="44"/>
      <c r="D833" s="44"/>
      <c r="E833" s="44"/>
      <c r="F833" s="44"/>
      <c r="G833" s="44"/>
      <c r="H833" s="44"/>
      <c r="I833" s="44"/>
      <c r="J833" s="44"/>
      <c r="K833" s="44"/>
      <c r="L833" s="44"/>
      <c r="M833" s="44"/>
      <c r="N833" s="44"/>
      <c r="O833" s="44"/>
    </row>
    <row r="834" spans="1:15" ht="17.25" customHeight="1">
      <c r="A834" s="44"/>
      <c r="B834" s="44"/>
      <c r="C834" s="44"/>
      <c r="D834" s="44"/>
      <c r="E834" s="44"/>
      <c r="F834" s="44"/>
      <c r="G834" s="44"/>
      <c r="H834" s="44"/>
      <c r="I834" s="44"/>
      <c r="J834" s="44"/>
      <c r="K834" s="44"/>
      <c r="L834" s="44"/>
      <c r="M834" s="44"/>
      <c r="N834" s="44"/>
      <c r="O834" s="44"/>
    </row>
    <row r="835" spans="1:15" ht="17.25" customHeight="1">
      <c r="A835" s="44"/>
      <c r="B835" s="44"/>
      <c r="C835" s="44"/>
      <c r="D835" s="44"/>
      <c r="E835" s="44"/>
      <c r="F835" s="44"/>
      <c r="G835" s="44"/>
      <c r="H835" s="44"/>
      <c r="I835" s="44"/>
      <c r="J835" s="44"/>
      <c r="K835" s="44"/>
      <c r="L835" s="44"/>
      <c r="M835" s="44"/>
      <c r="N835" s="44"/>
      <c r="O835" s="44"/>
    </row>
    <row r="836" spans="1:15" ht="17.25" customHeight="1">
      <c r="A836" s="44"/>
      <c r="B836" s="44"/>
      <c r="C836" s="44"/>
      <c r="D836" s="44"/>
      <c r="E836" s="44"/>
      <c r="F836" s="44"/>
      <c r="G836" s="44"/>
      <c r="H836" s="44"/>
      <c r="I836" s="44"/>
      <c r="J836" s="44"/>
      <c r="K836" s="44"/>
      <c r="L836" s="44"/>
      <c r="M836" s="44"/>
      <c r="N836" s="44"/>
      <c r="O836" s="44"/>
    </row>
    <row r="837" spans="1:15" ht="17.25" customHeight="1">
      <c r="A837" s="44"/>
      <c r="B837" s="44"/>
      <c r="C837" s="44"/>
      <c r="D837" s="44"/>
      <c r="E837" s="44"/>
      <c r="F837" s="44"/>
      <c r="G837" s="44"/>
      <c r="H837" s="44"/>
      <c r="I837" s="44"/>
      <c r="J837" s="44"/>
      <c r="K837" s="44"/>
      <c r="L837" s="44"/>
      <c r="M837" s="44"/>
      <c r="N837" s="44"/>
      <c r="O837" s="44"/>
    </row>
    <row r="838" spans="1:15" ht="17.25" customHeight="1">
      <c r="A838" s="44"/>
      <c r="B838" s="44"/>
      <c r="C838" s="44"/>
      <c r="D838" s="44"/>
      <c r="E838" s="44"/>
      <c r="F838" s="44"/>
      <c r="G838" s="44"/>
      <c r="H838" s="44"/>
      <c r="I838" s="44"/>
      <c r="J838" s="44"/>
      <c r="K838" s="44"/>
      <c r="L838" s="44"/>
      <c r="M838" s="44"/>
      <c r="N838" s="44"/>
      <c r="O838" s="44"/>
    </row>
    <row r="839" spans="1:15" ht="17.25" customHeight="1">
      <c r="A839" s="44"/>
      <c r="B839" s="44"/>
      <c r="C839" s="44"/>
      <c r="D839" s="44"/>
      <c r="E839" s="44"/>
      <c r="F839" s="44"/>
      <c r="G839" s="44"/>
      <c r="H839" s="44"/>
      <c r="I839" s="44"/>
      <c r="J839" s="44"/>
      <c r="K839" s="44"/>
      <c r="L839" s="44"/>
      <c r="M839" s="44"/>
      <c r="N839" s="44"/>
      <c r="O839" s="44"/>
    </row>
    <row r="840" spans="1:15" ht="17.25" customHeight="1">
      <c r="A840" s="44"/>
      <c r="B840" s="44"/>
      <c r="C840" s="44"/>
      <c r="D840" s="44"/>
      <c r="E840" s="44"/>
      <c r="F840" s="44"/>
      <c r="G840" s="44"/>
      <c r="H840" s="44"/>
      <c r="I840" s="44"/>
      <c r="J840" s="44"/>
      <c r="K840" s="44"/>
      <c r="L840" s="44"/>
      <c r="M840" s="44"/>
      <c r="N840" s="44"/>
      <c r="O840" s="44"/>
    </row>
    <row r="841" spans="1:15" ht="17.25" customHeight="1">
      <c r="A841" s="44"/>
      <c r="B841" s="44"/>
      <c r="C841" s="44"/>
      <c r="D841" s="44"/>
      <c r="E841" s="44"/>
      <c r="F841" s="44"/>
      <c r="G841" s="44"/>
      <c r="H841" s="44"/>
      <c r="I841" s="44"/>
      <c r="J841" s="44"/>
      <c r="K841" s="44"/>
      <c r="L841" s="44"/>
      <c r="M841" s="44"/>
      <c r="N841" s="44"/>
      <c r="O841" s="44"/>
    </row>
    <row r="842" spans="1:15" ht="17.25" customHeight="1">
      <c r="A842" s="44"/>
      <c r="B842" s="44"/>
      <c r="C842" s="44"/>
      <c r="D842" s="44"/>
      <c r="E842" s="44"/>
      <c r="F842" s="44"/>
      <c r="G842" s="44"/>
      <c r="H842" s="44"/>
      <c r="I842" s="44"/>
      <c r="J842" s="44"/>
      <c r="K842" s="44"/>
      <c r="L842" s="44"/>
      <c r="M842" s="44"/>
      <c r="N842" s="44"/>
      <c r="O842" s="44"/>
    </row>
    <row r="843" spans="1:15" ht="17.25" customHeight="1">
      <c r="A843" s="44"/>
      <c r="B843" s="44"/>
      <c r="C843" s="44"/>
      <c r="D843" s="44"/>
      <c r="E843" s="44"/>
      <c r="F843" s="44"/>
      <c r="G843" s="44"/>
      <c r="H843" s="44"/>
      <c r="I843" s="44"/>
      <c r="J843" s="44"/>
      <c r="K843" s="44"/>
      <c r="L843" s="44"/>
      <c r="M843" s="44"/>
      <c r="N843" s="44"/>
      <c r="O843" s="44"/>
    </row>
    <row r="844" spans="1:15" ht="17.25" customHeight="1">
      <c r="A844" s="44"/>
      <c r="B844" s="44"/>
      <c r="C844" s="44"/>
      <c r="D844" s="44"/>
      <c r="E844" s="44"/>
      <c r="F844" s="44"/>
      <c r="G844" s="44"/>
      <c r="H844" s="44"/>
      <c r="I844" s="44"/>
      <c r="J844" s="44"/>
      <c r="K844" s="44"/>
      <c r="L844" s="44"/>
      <c r="M844" s="44"/>
      <c r="N844" s="44"/>
      <c r="O844" s="44"/>
    </row>
    <row r="845" spans="1:15" ht="17.25" customHeight="1">
      <c r="A845" s="44"/>
      <c r="B845" s="44"/>
      <c r="C845" s="44"/>
      <c r="D845" s="44"/>
      <c r="E845" s="44"/>
      <c r="F845" s="44"/>
      <c r="G845" s="44"/>
      <c r="H845" s="44"/>
      <c r="I845" s="44"/>
      <c r="J845" s="44"/>
      <c r="K845" s="44"/>
      <c r="L845" s="44"/>
      <c r="M845" s="44"/>
      <c r="N845" s="44"/>
      <c r="O845" s="44"/>
    </row>
    <row r="846" spans="1:15" ht="17.25" customHeight="1">
      <c r="A846" s="44"/>
      <c r="B846" s="44"/>
      <c r="C846" s="44"/>
      <c r="D846" s="44"/>
      <c r="E846" s="44"/>
      <c r="F846" s="44"/>
      <c r="G846" s="44"/>
      <c r="H846" s="44"/>
      <c r="I846" s="44"/>
      <c r="J846" s="44"/>
      <c r="K846" s="44"/>
      <c r="L846" s="44"/>
      <c r="M846" s="44"/>
      <c r="N846" s="44"/>
      <c r="O846" s="44"/>
    </row>
    <row r="847" spans="1:15" ht="17.25" customHeight="1">
      <c r="A847" s="44"/>
      <c r="B847" s="44"/>
      <c r="C847" s="44"/>
      <c r="D847" s="44"/>
      <c r="E847" s="44"/>
      <c r="F847" s="44"/>
      <c r="G847" s="44"/>
      <c r="H847" s="44"/>
      <c r="I847" s="44"/>
      <c r="J847" s="44"/>
      <c r="K847" s="44"/>
      <c r="L847" s="44"/>
      <c r="M847" s="44"/>
      <c r="N847" s="44"/>
      <c r="O847" s="44"/>
    </row>
    <row r="848" spans="1:15" ht="17.25" customHeight="1">
      <c r="A848" s="44"/>
      <c r="B848" s="44"/>
      <c r="C848" s="44"/>
      <c r="D848" s="44"/>
      <c r="E848" s="44"/>
      <c r="F848" s="44"/>
      <c r="G848" s="44"/>
      <c r="H848" s="44"/>
      <c r="I848" s="44"/>
      <c r="J848" s="44"/>
      <c r="K848" s="44"/>
      <c r="L848" s="44"/>
      <c r="M848" s="44"/>
      <c r="N848" s="44"/>
      <c r="O848" s="44"/>
    </row>
    <row r="849" spans="1:15" ht="17.25" customHeight="1">
      <c r="A849" s="44"/>
      <c r="B849" s="44"/>
      <c r="C849" s="44"/>
      <c r="D849" s="44"/>
      <c r="E849" s="44"/>
      <c r="F849" s="44"/>
      <c r="G849" s="44"/>
      <c r="H849" s="44"/>
      <c r="I849" s="44"/>
      <c r="J849" s="44"/>
      <c r="K849" s="44"/>
      <c r="L849" s="44"/>
      <c r="M849" s="44"/>
      <c r="N849" s="44"/>
      <c r="O849" s="44"/>
    </row>
    <row r="850" spans="1:15" ht="17.25" customHeight="1">
      <c r="A850" s="44"/>
      <c r="B850" s="44"/>
      <c r="C850" s="44"/>
      <c r="D850" s="44"/>
      <c r="E850" s="44"/>
      <c r="F850" s="44"/>
      <c r="G850" s="44"/>
      <c r="H850" s="44"/>
      <c r="I850" s="44"/>
      <c r="J850" s="44"/>
      <c r="K850" s="44"/>
      <c r="L850" s="44"/>
      <c r="M850" s="44"/>
      <c r="N850" s="44"/>
      <c r="O850" s="44"/>
    </row>
    <row r="851" spans="1:15" ht="17.25" customHeight="1">
      <c r="A851" s="44"/>
      <c r="B851" s="44"/>
      <c r="C851" s="44"/>
      <c r="D851" s="44"/>
      <c r="E851" s="44"/>
      <c r="F851" s="44"/>
      <c r="G851" s="44"/>
      <c r="H851" s="44"/>
      <c r="I851" s="44"/>
      <c r="J851" s="44"/>
      <c r="K851" s="44"/>
      <c r="L851" s="44"/>
      <c r="M851" s="44"/>
      <c r="N851" s="44"/>
      <c r="O851" s="44"/>
    </row>
    <row r="852" spans="1:15" ht="17.25" customHeight="1">
      <c r="A852" s="44"/>
      <c r="B852" s="44"/>
      <c r="C852" s="44"/>
      <c r="D852" s="44"/>
      <c r="E852" s="44"/>
      <c r="F852" s="44"/>
      <c r="G852" s="44"/>
      <c r="H852" s="44"/>
      <c r="I852" s="44"/>
      <c r="J852" s="44"/>
      <c r="K852" s="44"/>
      <c r="L852" s="44"/>
      <c r="M852" s="44"/>
      <c r="N852" s="44"/>
      <c r="O852" s="44"/>
    </row>
    <row r="853" spans="1:15" ht="17.25" customHeight="1">
      <c r="A853" s="44"/>
      <c r="B853" s="44"/>
      <c r="C853" s="44"/>
      <c r="D853" s="44"/>
      <c r="E853" s="44"/>
      <c r="F853" s="44"/>
      <c r="G853" s="44"/>
      <c r="H853" s="44"/>
      <c r="I853" s="44"/>
      <c r="J853" s="44"/>
      <c r="K853" s="44"/>
      <c r="L853" s="44"/>
      <c r="M853" s="44"/>
      <c r="N853" s="44"/>
      <c r="O853" s="44"/>
    </row>
    <row r="854" spans="1:15" ht="17.25" customHeight="1">
      <c r="A854" s="44"/>
      <c r="B854" s="44"/>
      <c r="C854" s="44"/>
      <c r="D854" s="44"/>
      <c r="E854" s="44"/>
      <c r="F854" s="44"/>
      <c r="G854" s="44"/>
      <c r="H854" s="44"/>
      <c r="I854" s="44"/>
      <c r="J854" s="44"/>
      <c r="K854" s="44"/>
      <c r="L854" s="44"/>
      <c r="M854" s="44"/>
      <c r="N854" s="44"/>
      <c r="O854" s="44"/>
    </row>
    <row r="855" spans="1:15" ht="17.25" customHeight="1">
      <c r="A855" s="44"/>
      <c r="B855" s="44"/>
      <c r="C855" s="44"/>
      <c r="D855" s="44"/>
      <c r="E855" s="44"/>
      <c r="F855" s="44"/>
      <c r="G855" s="44"/>
      <c r="H855" s="44"/>
      <c r="I855" s="44"/>
      <c r="J855" s="44"/>
      <c r="K855" s="44"/>
      <c r="L855" s="44"/>
      <c r="M855" s="44"/>
      <c r="N855" s="44"/>
      <c r="O855" s="44"/>
    </row>
    <row r="856" spans="1:15" ht="17.25" customHeight="1">
      <c r="A856" s="44"/>
      <c r="B856" s="44"/>
      <c r="C856" s="44"/>
      <c r="D856" s="44"/>
      <c r="E856" s="44"/>
      <c r="F856" s="44"/>
      <c r="G856" s="44"/>
      <c r="H856" s="44"/>
      <c r="I856" s="44"/>
      <c r="J856" s="44"/>
      <c r="K856" s="44"/>
      <c r="L856" s="44"/>
      <c r="M856" s="44"/>
      <c r="N856" s="44"/>
      <c r="O856" s="44"/>
    </row>
    <row r="857" spans="1:15" ht="17.25" customHeight="1">
      <c r="A857" s="44"/>
      <c r="B857" s="44"/>
      <c r="C857" s="44"/>
      <c r="D857" s="44"/>
      <c r="E857" s="44"/>
      <c r="F857" s="44"/>
      <c r="G857" s="44"/>
      <c r="H857" s="44"/>
      <c r="I857" s="44"/>
      <c r="J857" s="44"/>
      <c r="K857" s="44"/>
      <c r="L857" s="44"/>
      <c r="M857" s="44"/>
      <c r="N857" s="44"/>
      <c r="O857" s="44"/>
    </row>
    <row r="858" spans="1:15" ht="17.25" customHeight="1">
      <c r="A858" s="44"/>
      <c r="B858" s="44"/>
      <c r="C858" s="44"/>
      <c r="D858" s="44"/>
      <c r="E858" s="44"/>
      <c r="F858" s="44"/>
      <c r="G858" s="44"/>
      <c r="H858" s="44"/>
      <c r="I858" s="44"/>
      <c r="J858" s="44"/>
      <c r="K858" s="44"/>
      <c r="L858" s="44"/>
      <c r="M858" s="44"/>
      <c r="N858" s="44"/>
      <c r="O858" s="44"/>
    </row>
    <row r="859" spans="1:15" ht="17.25" customHeight="1">
      <c r="A859" s="44"/>
      <c r="B859" s="44"/>
      <c r="C859" s="44"/>
      <c r="D859" s="44"/>
      <c r="E859" s="44"/>
      <c r="F859" s="44"/>
      <c r="G859" s="44"/>
      <c r="H859" s="44"/>
      <c r="I859" s="44"/>
      <c r="J859" s="44"/>
      <c r="K859" s="44"/>
      <c r="L859" s="44"/>
      <c r="M859" s="44"/>
      <c r="N859" s="44"/>
      <c r="O859" s="44"/>
    </row>
    <row r="860" spans="1:15" ht="17.25" customHeight="1">
      <c r="A860" s="44"/>
      <c r="B860" s="44"/>
      <c r="C860" s="44"/>
      <c r="D860" s="44"/>
      <c r="E860" s="44"/>
      <c r="F860" s="44"/>
      <c r="G860" s="44"/>
      <c r="H860" s="44"/>
      <c r="I860" s="44"/>
      <c r="J860" s="44"/>
      <c r="K860" s="44"/>
      <c r="L860" s="44"/>
      <c r="M860" s="44"/>
      <c r="N860" s="44"/>
      <c r="O860" s="44"/>
    </row>
    <row r="861" spans="1:15" ht="17.25" customHeight="1">
      <c r="A861" s="44"/>
      <c r="B861" s="44"/>
      <c r="C861" s="44"/>
      <c r="D861" s="44"/>
      <c r="E861" s="44"/>
      <c r="F861" s="44"/>
      <c r="G861" s="44"/>
      <c r="H861" s="44"/>
      <c r="I861" s="44"/>
      <c r="J861" s="44"/>
      <c r="K861" s="44"/>
      <c r="L861" s="44"/>
      <c r="M861" s="44"/>
      <c r="N861" s="44"/>
      <c r="O861" s="44"/>
    </row>
    <row r="862" spans="1:15" ht="17.25" customHeight="1">
      <c r="A862" s="44"/>
      <c r="B862" s="44"/>
      <c r="C862" s="44"/>
      <c r="D862" s="44"/>
      <c r="E862" s="44"/>
      <c r="F862" s="44"/>
      <c r="G862" s="44"/>
      <c r="H862" s="44"/>
      <c r="I862" s="44"/>
      <c r="J862" s="44"/>
      <c r="K862" s="44"/>
      <c r="L862" s="44"/>
      <c r="M862" s="44"/>
      <c r="N862" s="44"/>
      <c r="O862" s="44"/>
    </row>
    <row r="863" spans="1:15" ht="17.25" customHeight="1">
      <c r="A863" s="44"/>
      <c r="B863" s="44"/>
      <c r="C863" s="44"/>
      <c r="D863" s="44"/>
      <c r="E863" s="44"/>
      <c r="F863" s="44"/>
      <c r="G863" s="44"/>
      <c r="H863" s="44"/>
      <c r="I863" s="44"/>
      <c r="J863" s="44"/>
      <c r="K863" s="44"/>
      <c r="L863" s="44"/>
      <c r="M863" s="44"/>
      <c r="N863" s="44"/>
      <c r="O863" s="44"/>
    </row>
    <row r="864" spans="1:15" ht="17.25" customHeight="1">
      <c r="A864" s="44"/>
      <c r="B864" s="44"/>
      <c r="C864" s="44"/>
      <c r="D864" s="44"/>
      <c r="E864" s="44"/>
      <c r="F864" s="44"/>
      <c r="G864" s="44"/>
      <c r="H864" s="44"/>
      <c r="I864" s="44"/>
      <c r="J864" s="44"/>
      <c r="K864" s="44"/>
      <c r="L864" s="44"/>
      <c r="M864" s="44"/>
      <c r="N864" s="44"/>
      <c r="O864" s="44"/>
    </row>
    <row r="865" spans="1:15" ht="17.25" customHeight="1">
      <c r="A865" s="44"/>
      <c r="B865" s="44"/>
      <c r="C865" s="44"/>
      <c r="D865" s="44"/>
      <c r="E865" s="44"/>
      <c r="F865" s="44"/>
      <c r="G865" s="44"/>
      <c r="H865" s="44"/>
      <c r="I865" s="44"/>
      <c r="J865" s="44"/>
      <c r="K865" s="44"/>
      <c r="L865" s="44"/>
      <c r="M865" s="44"/>
      <c r="N865" s="44"/>
      <c r="O865" s="44"/>
    </row>
    <row r="866" spans="1:15" ht="17.25" customHeight="1">
      <c r="A866" s="44"/>
      <c r="B866" s="44"/>
      <c r="C866" s="44"/>
      <c r="D866" s="44"/>
      <c r="E866" s="44"/>
      <c r="F866" s="44"/>
      <c r="G866" s="44"/>
      <c r="H866" s="44"/>
      <c r="I866" s="44"/>
      <c r="J866" s="44"/>
      <c r="K866" s="44"/>
      <c r="L866" s="44"/>
      <c r="M866" s="44"/>
      <c r="N866" s="44"/>
      <c r="O866" s="44"/>
    </row>
    <row r="867" spans="1:15" ht="17.25" customHeight="1">
      <c r="A867" s="44"/>
      <c r="B867" s="44"/>
      <c r="C867" s="44"/>
      <c r="D867" s="44"/>
      <c r="E867" s="44"/>
      <c r="F867" s="44"/>
      <c r="G867" s="44"/>
      <c r="H867" s="44"/>
      <c r="I867" s="44"/>
      <c r="J867" s="44"/>
      <c r="K867" s="44"/>
      <c r="L867" s="44"/>
      <c r="M867" s="44"/>
      <c r="N867" s="44"/>
      <c r="O867" s="44"/>
    </row>
    <row r="868" spans="1:15" ht="17.25" customHeight="1">
      <c r="A868" s="44"/>
      <c r="B868" s="44"/>
      <c r="C868" s="44"/>
      <c r="D868" s="44"/>
      <c r="E868" s="44"/>
      <c r="F868" s="44"/>
      <c r="G868" s="44"/>
      <c r="H868" s="44"/>
      <c r="I868" s="44"/>
      <c r="J868" s="44"/>
      <c r="K868" s="44"/>
      <c r="L868" s="44"/>
      <c r="M868" s="44"/>
      <c r="N868" s="44"/>
      <c r="O868" s="44"/>
    </row>
    <row r="869" spans="1:15" ht="17.25" customHeight="1">
      <c r="A869" s="44"/>
      <c r="B869" s="44"/>
      <c r="C869" s="44"/>
      <c r="D869" s="44"/>
      <c r="E869" s="44"/>
      <c r="F869" s="44"/>
      <c r="G869" s="44"/>
      <c r="H869" s="44"/>
      <c r="I869" s="44"/>
      <c r="J869" s="44"/>
      <c r="K869" s="44"/>
      <c r="L869" s="44"/>
      <c r="M869" s="44"/>
      <c r="N869" s="44"/>
      <c r="O869" s="44"/>
    </row>
    <row r="870" spans="1:15" ht="17.25" customHeight="1">
      <c r="A870" s="44"/>
      <c r="B870" s="44"/>
      <c r="C870" s="44"/>
      <c r="D870" s="44"/>
      <c r="E870" s="44"/>
      <c r="F870" s="44"/>
      <c r="G870" s="44"/>
      <c r="H870" s="44"/>
      <c r="I870" s="44"/>
      <c r="J870" s="44"/>
      <c r="K870" s="44"/>
      <c r="L870" s="44"/>
      <c r="M870" s="44"/>
      <c r="N870" s="44"/>
      <c r="O870" s="44"/>
    </row>
    <row r="871" spans="1:15" ht="17.25" customHeight="1">
      <c r="A871" s="44"/>
      <c r="B871" s="44"/>
      <c r="C871" s="44"/>
      <c r="D871" s="44"/>
      <c r="E871" s="44"/>
      <c r="F871" s="44"/>
      <c r="G871" s="44"/>
      <c r="H871" s="44"/>
      <c r="I871" s="44"/>
      <c r="J871" s="44"/>
      <c r="K871" s="44"/>
      <c r="L871" s="44"/>
      <c r="M871" s="44"/>
      <c r="N871" s="44"/>
      <c r="O871" s="44"/>
    </row>
    <row r="872" spans="1:15" ht="17.25" customHeight="1">
      <c r="A872" s="44"/>
      <c r="B872" s="44"/>
      <c r="C872" s="44"/>
      <c r="D872" s="44"/>
      <c r="E872" s="44"/>
      <c r="F872" s="44"/>
      <c r="G872" s="44"/>
      <c r="H872" s="44"/>
      <c r="I872" s="44"/>
      <c r="J872" s="44"/>
      <c r="K872" s="44"/>
      <c r="L872" s="44"/>
      <c r="M872" s="44"/>
      <c r="N872" s="44"/>
      <c r="O872" s="44"/>
    </row>
    <row r="873" spans="1:15" ht="17.25" customHeight="1">
      <c r="A873" s="44"/>
      <c r="B873" s="44"/>
      <c r="C873" s="44"/>
      <c r="D873" s="44"/>
      <c r="E873" s="44"/>
      <c r="F873" s="44"/>
      <c r="G873" s="44"/>
      <c r="H873" s="44"/>
      <c r="I873" s="44"/>
      <c r="J873" s="44"/>
      <c r="K873" s="44"/>
      <c r="L873" s="44"/>
      <c r="M873" s="44"/>
      <c r="N873" s="44"/>
      <c r="O873" s="44"/>
    </row>
    <row r="874" spans="1:15" ht="17.25" customHeight="1">
      <c r="A874" s="44"/>
      <c r="B874" s="44"/>
      <c r="C874" s="44"/>
      <c r="D874" s="44"/>
      <c r="E874" s="44"/>
      <c r="F874" s="44"/>
      <c r="G874" s="44"/>
      <c r="H874" s="44"/>
      <c r="I874" s="44"/>
      <c r="J874" s="44"/>
      <c r="K874" s="44"/>
      <c r="L874" s="44"/>
      <c r="M874" s="44"/>
      <c r="N874" s="44"/>
      <c r="O874" s="44"/>
    </row>
    <row r="875" spans="1:15" ht="17.25" customHeight="1">
      <c r="A875" s="44"/>
      <c r="B875" s="44"/>
      <c r="C875" s="44"/>
      <c r="D875" s="44"/>
      <c r="E875" s="44"/>
      <c r="F875" s="44"/>
      <c r="G875" s="44"/>
      <c r="H875" s="44"/>
      <c r="I875" s="44"/>
      <c r="J875" s="44"/>
      <c r="K875" s="44"/>
      <c r="L875" s="44"/>
      <c r="M875" s="44"/>
      <c r="N875" s="44"/>
      <c r="O875" s="44"/>
    </row>
    <row r="876" spans="1:15" ht="17.25" customHeight="1">
      <c r="A876" s="44"/>
      <c r="B876" s="44"/>
      <c r="C876" s="44"/>
      <c r="D876" s="44"/>
      <c r="E876" s="44"/>
      <c r="F876" s="44"/>
      <c r="G876" s="44"/>
      <c r="H876" s="44"/>
      <c r="I876" s="44"/>
      <c r="J876" s="44"/>
      <c r="K876" s="44"/>
      <c r="L876" s="44"/>
      <c r="M876" s="44"/>
      <c r="N876" s="44"/>
      <c r="O876" s="44"/>
    </row>
    <row r="877" spans="1:15" ht="17.25" customHeight="1">
      <c r="A877" s="44"/>
      <c r="B877" s="44"/>
      <c r="C877" s="44"/>
      <c r="D877" s="44"/>
      <c r="E877" s="44"/>
      <c r="F877" s="44"/>
      <c r="G877" s="44"/>
      <c r="H877" s="44"/>
      <c r="I877" s="44"/>
      <c r="J877" s="44"/>
      <c r="K877" s="44"/>
      <c r="L877" s="44"/>
      <c r="M877" s="44"/>
      <c r="N877" s="44"/>
      <c r="O877" s="44"/>
    </row>
    <row r="878" spans="1:15" ht="17.25" customHeight="1">
      <c r="A878" s="44"/>
      <c r="B878" s="44"/>
      <c r="C878" s="44"/>
      <c r="D878" s="44"/>
      <c r="E878" s="44"/>
      <c r="F878" s="44"/>
      <c r="G878" s="44"/>
      <c r="H878" s="44"/>
      <c r="I878" s="44"/>
      <c r="J878" s="44"/>
      <c r="K878" s="44"/>
      <c r="L878" s="44"/>
      <c r="M878" s="44"/>
      <c r="N878" s="44"/>
      <c r="O878" s="44"/>
    </row>
    <row r="879" spans="1:15" ht="17.25" customHeight="1">
      <c r="A879" s="44"/>
      <c r="B879" s="44"/>
      <c r="C879" s="44"/>
      <c r="D879" s="44"/>
      <c r="E879" s="44"/>
      <c r="F879" s="44"/>
      <c r="G879" s="44"/>
      <c r="H879" s="44"/>
      <c r="I879" s="44"/>
      <c r="J879" s="44"/>
      <c r="K879" s="44"/>
      <c r="L879" s="44"/>
      <c r="M879" s="44"/>
      <c r="N879" s="44"/>
      <c r="O879" s="44"/>
    </row>
    <row r="880" spans="1:15" ht="17.25" customHeight="1">
      <c r="A880" s="44"/>
      <c r="B880" s="44"/>
      <c r="C880" s="44"/>
      <c r="D880" s="44"/>
      <c r="E880" s="44"/>
      <c r="F880" s="44"/>
      <c r="G880" s="44"/>
      <c r="H880" s="44"/>
      <c r="I880" s="44"/>
      <c r="J880" s="44"/>
      <c r="K880" s="44"/>
      <c r="L880" s="44"/>
      <c r="M880" s="44"/>
      <c r="N880" s="44"/>
      <c r="O880" s="44"/>
    </row>
    <row r="881" spans="1:15" ht="17.25" customHeight="1">
      <c r="A881" s="44"/>
      <c r="B881" s="44"/>
      <c r="C881" s="44"/>
      <c r="D881" s="44"/>
      <c r="E881" s="44"/>
      <c r="F881" s="44"/>
      <c r="G881" s="44"/>
      <c r="H881" s="44"/>
      <c r="I881" s="44"/>
      <c r="J881" s="44"/>
      <c r="K881" s="44"/>
      <c r="L881" s="44"/>
      <c r="M881" s="44"/>
      <c r="N881" s="44"/>
      <c r="O881" s="44"/>
    </row>
    <row r="882" spans="1:15" ht="17.25" customHeight="1">
      <c r="A882" s="44"/>
      <c r="B882" s="44"/>
      <c r="C882" s="44"/>
      <c r="D882" s="44"/>
      <c r="E882" s="44"/>
      <c r="F882" s="44"/>
      <c r="G882" s="44"/>
      <c r="H882" s="44"/>
      <c r="I882" s="44"/>
      <c r="J882" s="44"/>
      <c r="K882" s="44"/>
      <c r="L882" s="44"/>
      <c r="M882" s="44"/>
      <c r="N882" s="44"/>
      <c r="O882" s="44"/>
    </row>
    <row r="883" spans="1:15" ht="17.25" customHeight="1">
      <c r="A883" s="44"/>
      <c r="B883" s="44"/>
      <c r="C883" s="44"/>
      <c r="D883" s="44"/>
      <c r="E883" s="44"/>
      <c r="F883" s="44"/>
      <c r="G883" s="44"/>
      <c r="H883" s="44"/>
      <c r="I883" s="44"/>
      <c r="J883" s="44"/>
      <c r="K883" s="44"/>
      <c r="L883" s="44"/>
      <c r="M883" s="44"/>
      <c r="N883" s="44"/>
      <c r="O883" s="44"/>
    </row>
    <row r="884" spans="1:15" ht="17.25" customHeight="1">
      <c r="A884" s="44"/>
      <c r="B884" s="44"/>
      <c r="C884" s="44"/>
      <c r="D884" s="44"/>
      <c r="E884" s="44"/>
      <c r="F884" s="44"/>
      <c r="G884" s="44"/>
      <c r="H884" s="44"/>
      <c r="I884" s="44"/>
      <c r="J884" s="44"/>
      <c r="K884" s="44"/>
      <c r="L884" s="44"/>
      <c r="M884" s="44"/>
      <c r="N884" s="44"/>
      <c r="O884" s="44"/>
    </row>
    <row r="885" spans="1:15" ht="17.25" customHeight="1">
      <c r="A885" s="44"/>
      <c r="B885" s="44"/>
      <c r="C885" s="44"/>
      <c r="D885" s="44"/>
      <c r="E885" s="44"/>
      <c r="F885" s="44"/>
      <c r="G885" s="44"/>
      <c r="H885" s="44"/>
      <c r="I885" s="44"/>
      <c r="J885" s="44"/>
      <c r="K885" s="44"/>
      <c r="L885" s="44"/>
      <c r="M885" s="44"/>
      <c r="N885" s="44"/>
      <c r="O885" s="44"/>
    </row>
    <row r="886" spans="1:15" ht="17.25" customHeight="1">
      <c r="A886" s="44"/>
      <c r="B886" s="44"/>
      <c r="C886" s="44"/>
      <c r="D886" s="44"/>
      <c r="E886" s="44"/>
      <c r="F886" s="44"/>
      <c r="G886" s="44"/>
      <c r="H886" s="44"/>
      <c r="I886" s="44"/>
      <c r="J886" s="44"/>
      <c r="K886" s="44"/>
      <c r="L886" s="44"/>
      <c r="M886" s="44"/>
      <c r="N886" s="44"/>
      <c r="O886" s="44"/>
    </row>
    <row r="887" spans="1:15" ht="17.25" customHeight="1">
      <c r="A887" s="44"/>
      <c r="B887" s="44"/>
      <c r="C887" s="44"/>
      <c r="D887" s="44"/>
      <c r="E887" s="44"/>
      <c r="F887" s="44"/>
      <c r="G887" s="44"/>
      <c r="H887" s="44"/>
      <c r="I887" s="44"/>
      <c r="J887" s="44"/>
      <c r="K887" s="44"/>
      <c r="L887" s="44"/>
      <c r="M887" s="44"/>
      <c r="N887" s="44"/>
      <c r="O887" s="44"/>
    </row>
    <row r="888" spans="1:15" ht="17.25" customHeight="1">
      <c r="A888" s="44"/>
      <c r="B888" s="44"/>
      <c r="C888" s="44"/>
      <c r="D888" s="44"/>
      <c r="E888" s="44"/>
      <c r="F888" s="44"/>
      <c r="G888" s="44"/>
      <c r="H888" s="44"/>
      <c r="I888" s="44"/>
      <c r="J888" s="44"/>
      <c r="K888" s="44"/>
      <c r="L888" s="44"/>
      <c r="M888" s="44"/>
      <c r="N888" s="44"/>
      <c r="O888" s="44"/>
    </row>
    <row r="889" spans="1:15" ht="17.25" customHeight="1">
      <c r="A889" s="44"/>
      <c r="B889" s="44"/>
      <c r="C889" s="44"/>
      <c r="D889" s="44"/>
      <c r="E889" s="44"/>
      <c r="F889" s="44"/>
      <c r="G889" s="44"/>
      <c r="H889" s="44"/>
      <c r="I889" s="44"/>
      <c r="J889" s="44"/>
      <c r="K889" s="44"/>
      <c r="L889" s="44"/>
      <c r="M889" s="44"/>
      <c r="N889" s="44"/>
      <c r="O889" s="44"/>
    </row>
    <row r="890" spans="1:15" ht="17.25" customHeight="1">
      <c r="A890" s="44"/>
      <c r="B890" s="44"/>
      <c r="C890" s="44"/>
      <c r="D890" s="44"/>
      <c r="E890" s="44"/>
      <c r="F890" s="44"/>
      <c r="G890" s="44"/>
      <c r="H890" s="44"/>
      <c r="I890" s="44"/>
      <c r="J890" s="44"/>
      <c r="K890" s="44"/>
      <c r="L890" s="44"/>
      <c r="M890" s="44"/>
      <c r="N890" s="44"/>
      <c r="O890" s="44"/>
    </row>
    <row r="891" spans="1:15" ht="17.25" customHeight="1">
      <c r="A891" s="44"/>
      <c r="B891" s="44"/>
      <c r="C891" s="44"/>
      <c r="D891" s="44"/>
      <c r="E891" s="44"/>
      <c r="F891" s="44"/>
      <c r="G891" s="44"/>
      <c r="H891" s="44"/>
      <c r="I891" s="44"/>
      <c r="J891" s="44"/>
      <c r="K891" s="44"/>
      <c r="L891" s="44"/>
      <c r="M891" s="44"/>
      <c r="N891" s="44"/>
      <c r="O891" s="44"/>
    </row>
    <row r="892" spans="1:15" ht="17.25" customHeight="1">
      <c r="A892" s="44"/>
      <c r="B892" s="44"/>
      <c r="C892" s="44"/>
      <c r="D892" s="44"/>
      <c r="E892" s="44"/>
      <c r="F892" s="44"/>
      <c r="G892" s="44"/>
      <c r="H892" s="44"/>
      <c r="I892" s="44"/>
      <c r="J892" s="44"/>
      <c r="K892" s="44"/>
      <c r="L892" s="44"/>
      <c r="M892" s="44"/>
      <c r="N892" s="44"/>
      <c r="O892" s="44"/>
    </row>
    <row r="893" spans="1:15" ht="17.25" customHeight="1">
      <c r="A893" s="44"/>
      <c r="B893" s="44"/>
      <c r="C893" s="44"/>
      <c r="D893" s="44"/>
      <c r="E893" s="44"/>
      <c r="F893" s="44"/>
      <c r="G893" s="44"/>
      <c r="H893" s="44"/>
      <c r="I893" s="44"/>
      <c r="J893" s="44"/>
      <c r="K893" s="44"/>
      <c r="L893" s="44"/>
      <c r="M893" s="44"/>
      <c r="N893" s="44"/>
      <c r="O893" s="44"/>
    </row>
    <row r="894" spans="1:15" ht="17.25" customHeight="1">
      <c r="A894" s="44"/>
      <c r="B894" s="44"/>
      <c r="C894" s="44"/>
      <c r="D894" s="44"/>
      <c r="E894" s="44"/>
      <c r="F894" s="44"/>
      <c r="G894" s="44"/>
      <c r="H894" s="44"/>
      <c r="I894" s="44"/>
      <c r="J894" s="44"/>
      <c r="K894" s="44"/>
      <c r="L894" s="44"/>
      <c r="M894" s="44"/>
      <c r="N894" s="44"/>
      <c r="O894" s="44"/>
    </row>
    <row r="895" spans="1:15" ht="17.25" customHeight="1">
      <c r="A895" s="44"/>
      <c r="B895" s="44"/>
      <c r="C895" s="44"/>
      <c r="D895" s="44"/>
      <c r="E895" s="44"/>
      <c r="F895" s="44"/>
      <c r="G895" s="44"/>
      <c r="H895" s="44"/>
      <c r="I895" s="44"/>
      <c r="J895" s="44"/>
      <c r="K895" s="44"/>
      <c r="L895" s="44"/>
      <c r="M895" s="44"/>
      <c r="N895" s="44"/>
      <c r="O895" s="44"/>
    </row>
    <row r="896" spans="1:15" ht="17.25" customHeight="1">
      <c r="A896" s="44"/>
      <c r="B896" s="44"/>
      <c r="C896" s="44"/>
      <c r="D896" s="44"/>
      <c r="E896" s="44"/>
      <c r="F896" s="44"/>
      <c r="G896" s="44"/>
      <c r="H896" s="44"/>
      <c r="I896" s="44"/>
      <c r="J896" s="44"/>
      <c r="K896" s="44"/>
      <c r="L896" s="44"/>
      <c r="M896" s="44"/>
      <c r="N896" s="44"/>
      <c r="O896" s="44"/>
    </row>
    <row r="897" spans="1:15" ht="17.25" customHeight="1">
      <c r="A897" s="44"/>
      <c r="B897" s="44"/>
      <c r="C897" s="44"/>
      <c r="D897" s="44"/>
      <c r="E897" s="44"/>
      <c r="F897" s="44"/>
      <c r="G897" s="44"/>
      <c r="H897" s="44"/>
      <c r="I897" s="44"/>
      <c r="J897" s="44"/>
      <c r="K897" s="44"/>
      <c r="L897" s="44"/>
      <c r="M897" s="44"/>
      <c r="N897" s="44"/>
      <c r="O897" s="44"/>
    </row>
    <row r="898" spans="1:15" ht="17.25" customHeight="1">
      <c r="A898" s="44"/>
      <c r="B898" s="44"/>
      <c r="C898" s="44"/>
      <c r="D898" s="44"/>
      <c r="E898" s="44"/>
      <c r="F898" s="44"/>
      <c r="G898" s="44"/>
      <c r="H898" s="44"/>
      <c r="I898" s="44"/>
      <c r="J898" s="44"/>
      <c r="K898" s="44"/>
      <c r="L898" s="44"/>
      <c r="M898" s="44"/>
      <c r="N898" s="44"/>
      <c r="O898" s="44"/>
    </row>
    <row r="899" spans="1:15" ht="17.25" customHeight="1">
      <c r="A899" s="44"/>
      <c r="B899" s="44"/>
      <c r="C899" s="44"/>
      <c r="D899" s="44"/>
      <c r="E899" s="44"/>
      <c r="F899" s="44"/>
      <c r="G899" s="44"/>
      <c r="H899" s="44"/>
      <c r="I899" s="44"/>
      <c r="J899" s="44"/>
      <c r="K899" s="44"/>
      <c r="L899" s="44"/>
      <c r="M899" s="44"/>
      <c r="N899" s="44"/>
      <c r="O899" s="44"/>
    </row>
    <row r="900" spans="1:15" ht="17.25" customHeight="1">
      <c r="A900" s="44"/>
      <c r="B900" s="44"/>
      <c r="C900" s="44"/>
      <c r="D900" s="44"/>
      <c r="E900" s="44"/>
      <c r="F900" s="44"/>
      <c r="G900" s="44"/>
      <c r="H900" s="44"/>
      <c r="I900" s="44"/>
      <c r="J900" s="44"/>
      <c r="K900" s="44"/>
      <c r="L900" s="44"/>
      <c r="M900" s="44"/>
      <c r="N900" s="44"/>
      <c r="O900" s="44"/>
    </row>
    <row r="901" spans="1:15" ht="17.25" customHeight="1">
      <c r="A901" s="44"/>
      <c r="B901" s="44"/>
      <c r="C901" s="44"/>
      <c r="D901" s="44"/>
      <c r="E901" s="44"/>
      <c r="F901" s="44"/>
      <c r="G901" s="44"/>
      <c r="H901" s="44"/>
      <c r="I901" s="44"/>
      <c r="J901" s="44"/>
      <c r="K901" s="44"/>
      <c r="L901" s="44"/>
      <c r="M901" s="44"/>
      <c r="N901" s="44"/>
      <c r="O901" s="44"/>
    </row>
    <row r="902" spans="1:15" ht="17.25" customHeight="1">
      <c r="A902" s="44"/>
      <c r="B902" s="44"/>
      <c r="C902" s="44"/>
      <c r="D902" s="44"/>
      <c r="E902" s="44"/>
      <c r="F902" s="44"/>
      <c r="G902" s="44"/>
      <c r="H902" s="44"/>
      <c r="I902" s="44"/>
      <c r="J902" s="44"/>
      <c r="K902" s="44"/>
      <c r="L902" s="44"/>
      <c r="M902" s="44"/>
      <c r="N902" s="44"/>
      <c r="O902" s="44"/>
    </row>
    <row r="903" spans="1:15" ht="17.25" customHeight="1">
      <c r="A903" s="44"/>
      <c r="B903" s="44"/>
      <c r="C903" s="44"/>
      <c r="D903" s="44"/>
      <c r="E903" s="44"/>
      <c r="F903" s="44"/>
      <c r="G903" s="44"/>
      <c r="H903" s="44"/>
      <c r="I903" s="44"/>
      <c r="J903" s="44"/>
      <c r="K903" s="44"/>
      <c r="L903" s="44"/>
      <c r="M903" s="44"/>
      <c r="N903" s="44"/>
      <c r="O903" s="44"/>
    </row>
    <row r="904" spans="1:15" ht="17.25" customHeight="1">
      <c r="A904" s="44"/>
      <c r="B904" s="44"/>
      <c r="C904" s="44"/>
      <c r="D904" s="44"/>
      <c r="E904" s="44"/>
      <c r="F904" s="44"/>
      <c r="G904" s="44"/>
      <c r="H904" s="44"/>
      <c r="I904" s="44"/>
      <c r="J904" s="44"/>
      <c r="K904" s="44"/>
      <c r="L904" s="44"/>
      <c r="M904" s="44"/>
      <c r="N904" s="44"/>
      <c r="O904" s="44"/>
    </row>
    <row r="905" spans="1:15" ht="17.25" customHeight="1">
      <c r="A905" s="44"/>
      <c r="B905" s="44"/>
      <c r="C905" s="44"/>
      <c r="D905" s="44"/>
      <c r="E905" s="44"/>
      <c r="F905" s="44"/>
      <c r="G905" s="44"/>
      <c r="H905" s="44"/>
      <c r="I905" s="44"/>
      <c r="J905" s="44"/>
      <c r="K905" s="44"/>
      <c r="L905" s="44"/>
      <c r="M905" s="44"/>
      <c r="N905" s="44"/>
      <c r="O905" s="44"/>
    </row>
    <row r="906" spans="1:15" ht="17.25" customHeight="1">
      <c r="A906" s="44"/>
      <c r="B906" s="44"/>
      <c r="C906" s="44"/>
      <c r="D906" s="44"/>
      <c r="E906" s="44"/>
      <c r="F906" s="44"/>
      <c r="G906" s="44"/>
      <c r="H906" s="44"/>
      <c r="I906" s="44"/>
      <c r="J906" s="44"/>
      <c r="K906" s="44"/>
      <c r="L906" s="44"/>
      <c r="M906" s="44"/>
      <c r="N906" s="44"/>
      <c r="O906" s="44"/>
    </row>
    <row r="907" spans="1:15" ht="17.25" customHeight="1">
      <c r="A907" s="44"/>
      <c r="B907" s="44"/>
      <c r="C907" s="44"/>
      <c r="D907" s="44"/>
      <c r="E907" s="44"/>
      <c r="F907" s="44"/>
      <c r="G907" s="44"/>
      <c r="H907" s="44"/>
      <c r="I907" s="44"/>
      <c r="J907" s="44"/>
      <c r="K907" s="44"/>
      <c r="L907" s="44"/>
      <c r="M907" s="44"/>
      <c r="N907" s="44"/>
      <c r="O907" s="44"/>
    </row>
    <row r="908" spans="1:15" ht="17.25" customHeight="1">
      <c r="A908" s="44"/>
      <c r="B908" s="44"/>
      <c r="C908" s="44"/>
      <c r="D908" s="44"/>
      <c r="E908" s="44"/>
      <c r="F908" s="44"/>
      <c r="G908" s="44"/>
      <c r="H908" s="44"/>
      <c r="I908" s="44"/>
      <c r="J908" s="44"/>
      <c r="K908" s="44"/>
      <c r="L908" s="44"/>
      <c r="M908" s="44"/>
      <c r="N908" s="44"/>
      <c r="O908" s="44"/>
    </row>
    <row r="909" spans="1:15" ht="17.25" customHeight="1">
      <c r="A909" s="44"/>
      <c r="B909" s="44"/>
      <c r="C909" s="44"/>
      <c r="D909" s="44"/>
      <c r="E909" s="44"/>
      <c r="F909" s="44"/>
      <c r="G909" s="44"/>
      <c r="H909" s="44"/>
      <c r="I909" s="44"/>
      <c r="J909" s="44"/>
      <c r="K909" s="44"/>
      <c r="L909" s="44"/>
      <c r="M909" s="44"/>
      <c r="N909" s="44"/>
      <c r="O909" s="44"/>
    </row>
    <row r="910" spans="1:15" ht="17.25" customHeight="1">
      <c r="A910" s="44"/>
      <c r="B910" s="44"/>
      <c r="C910" s="44"/>
      <c r="D910" s="44"/>
      <c r="E910" s="44"/>
      <c r="F910" s="44"/>
      <c r="G910" s="44"/>
      <c r="H910" s="44"/>
      <c r="I910" s="44"/>
      <c r="J910" s="44"/>
      <c r="K910" s="44"/>
      <c r="L910" s="44"/>
      <c r="M910" s="44"/>
      <c r="N910" s="44"/>
      <c r="O910" s="44"/>
    </row>
    <row r="911" spans="1:15" ht="17.25" customHeight="1">
      <c r="A911" s="44"/>
      <c r="B911" s="44"/>
      <c r="C911" s="44"/>
      <c r="D911" s="44"/>
      <c r="E911" s="44"/>
      <c r="F911" s="44"/>
      <c r="G911" s="44"/>
      <c r="H911" s="44"/>
      <c r="I911" s="44"/>
      <c r="J911" s="44"/>
      <c r="K911" s="44"/>
      <c r="L911" s="44"/>
      <c r="M911" s="44"/>
      <c r="N911" s="44"/>
      <c r="O911" s="44"/>
    </row>
    <row r="912" spans="1:15" ht="17.25" customHeight="1">
      <c r="A912" s="44"/>
      <c r="B912" s="44"/>
      <c r="C912" s="44"/>
      <c r="D912" s="44"/>
      <c r="E912" s="44"/>
      <c r="F912" s="44"/>
      <c r="G912" s="44"/>
      <c r="H912" s="44"/>
      <c r="I912" s="44"/>
      <c r="J912" s="44"/>
      <c r="K912" s="44"/>
      <c r="L912" s="44"/>
      <c r="M912" s="44"/>
      <c r="N912" s="44"/>
      <c r="O912" s="44"/>
    </row>
    <row r="913" spans="1:15" ht="17.25" customHeight="1">
      <c r="A913" s="44"/>
      <c r="B913" s="44"/>
      <c r="C913" s="44"/>
      <c r="D913" s="44"/>
      <c r="E913" s="44"/>
      <c r="F913" s="44"/>
      <c r="G913" s="44"/>
      <c r="H913" s="44"/>
      <c r="I913" s="44"/>
      <c r="J913" s="44"/>
      <c r="K913" s="44"/>
      <c r="L913" s="44"/>
      <c r="M913" s="44"/>
      <c r="N913" s="44"/>
      <c r="O913" s="44"/>
    </row>
    <row r="914" spans="1:15" ht="17.25" customHeight="1">
      <c r="A914" s="44"/>
      <c r="B914" s="44"/>
      <c r="C914" s="44"/>
      <c r="D914" s="44"/>
      <c r="E914" s="44"/>
      <c r="F914" s="44"/>
      <c r="G914" s="44"/>
      <c r="H914" s="44"/>
      <c r="I914" s="44"/>
      <c r="J914" s="44"/>
      <c r="K914" s="44"/>
      <c r="L914" s="44"/>
      <c r="M914" s="44"/>
      <c r="N914" s="44"/>
      <c r="O914" s="44"/>
    </row>
    <row r="915" spans="1:15" ht="17.25" customHeight="1">
      <c r="A915" s="44"/>
      <c r="B915" s="44"/>
      <c r="C915" s="44"/>
      <c r="D915" s="44"/>
      <c r="E915" s="44"/>
      <c r="F915" s="44"/>
      <c r="G915" s="44"/>
      <c r="H915" s="44"/>
      <c r="I915" s="44"/>
      <c r="J915" s="44"/>
      <c r="K915" s="44"/>
      <c r="L915" s="44"/>
      <c r="M915" s="44"/>
      <c r="N915" s="44"/>
      <c r="O915" s="44"/>
    </row>
    <row r="916" spans="1:15" ht="17.25" customHeight="1">
      <c r="A916" s="44"/>
      <c r="B916" s="44"/>
      <c r="C916" s="44"/>
      <c r="D916" s="44"/>
      <c r="E916" s="44"/>
      <c r="F916" s="44"/>
      <c r="G916" s="44"/>
      <c r="H916" s="44"/>
      <c r="I916" s="44"/>
      <c r="J916" s="44"/>
      <c r="K916" s="44"/>
      <c r="L916" s="44"/>
      <c r="M916" s="44"/>
      <c r="N916" s="44"/>
      <c r="O916" s="44"/>
    </row>
    <row r="917" spans="1:15" ht="17.25" customHeight="1">
      <c r="A917" s="44"/>
      <c r="B917" s="44"/>
      <c r="C917" s="44"/>
      <c r="D917" s="44"/>
      <c r="E917" s="44"/>
      <c r="F917" s="44"/>
      <c r="G917" s="44"/>
      <c r="H917" s="44"/>
      <c r="I917" s="44"/>
      <c r="J917" s="44"/>
      <c r="K917" s="44"/>
      <c r="L917" s="44"/>
      <c r="M917" s="44"/>
      <c r="N917" s="44"/>
      <c r="O917" s="44"/>
    </row>
    <row r="918" spans="1:15" ht="17.25" customHeight="1">
      <c r="A918" s="44"/>
      <c r="B918" s="44"/>
      <c r="C918" s="44"/>
      <c r="D918" s="44"/>
      <c r="E918" s="44"/>
      <c r="F918" s="44"/>
      <c r="G918" s="44"/>
      <c r="H918" s="44"/>
      <c r="I918" s="44"/>
      <c r="J918" s="44"/>
      <c r="K918" s="44"/>
      <c r="L918" s="44"/>
      <c r="M918" s="44"/>
      <c r="N918" s="44"/>
      <c r="O918" s="44"/>
    </row>
    <row r="919" spans="1:15" ht="17.25" customHeight="1">
      <c r="A919" s="44"/>
      <c r="B919" s="44"/>
      <c r="C919" s="44"/>
      <c r="D919" s="44"/>
      <c r="E919" s="44"/>
      <c r="F919" s="44"/>
      <c r="G919" s="44"/>
      <c r="H919" s="44"/>
      <c r="I919" s="44"/>
      <c r="J919" s="44"/>
      <c r="K919" s="44"/>
      <c r="L919" s="44"/>
      <c r="M919" s="44"/>
      <c r="N919" s="44"/>
      <c r="O919" s="44"/>
    </row>
    <row r="920" spans="1:15" ht="17.25" customHeight="1">
      <c r="A920" s="44"/>
      <c r="B920" s="44"/>
      <c r="C920" s="44"/>
      <c r="D920" s="44"/>
      <c r="E920" s="44"/>
      <c r="F920" s="44"/>
      <c r="G920" s="44"/>
      <c r="H920" s="44"/>
      <c r="I920" s="44"/>
      <c r="J920" s="44"/>
      <c r="K920" s="44"/>
      <c r="L920" s="44"/>
      <c r="M920" s="44"/>
      <c r="N920" s="44"/>
      <c r="O920" s="44"/>
    </row>
    <row r="921" spans="1:15" ht="17.25" customHeight="1">
      <c r="A921" s="44"/>
      <c r="B921" s="44"/>
      <c r="C921" s="44"/>
      <c r="D921" s="44"/>
      <c r="E921" s="44"/>
      <c r="F921" s="44"/>
      <c r="G921" s="44"/>
      <c r="H921" s="44"/>
      <c r="I921" s="44"/>
      <c r="J921" s="44"/>
      <c r="K921" s="44"/>
      <c r="L921" s="44"/>
      <c r="M921" s="44"/>
      <c r="N921" s="44"/>
      <c r="O921" s="44"/>
    </row>
    <row r="922" spans="1:15" ht="17.25" customHeight="1">
      <c r="A922" s="44"/>
      <c r="B922" s="44"/>
      <c r="C922" s="44"/>
      <c r="D922" s="44"/>
      <c r="E922" s="44"/>
      <c r="F922" s="44"/>
      <c r="G922" s="44"/>
      <c r="H922" s="44"/>
      <c r="I922" s="44"/>
      <c r="J922" s="44"/>
      <c r="K922" s="44"/>
      <c r="L922" s="44"/>
      <c r="M922" s="44"/>
      <c r="N922" s="44"/>
      <c r="O922" s="44"/>
    </row>
    <row r="923" spans="1:15" ht="17.25" customHeight="1">
      <c r="A923" s="44"/>
      <c r="B923" s="44"/>
      <c r="C923" s="44"/>
      <c r="D923" s="44"/>
      <c r="E923" s="44"/>
      <c r="F923" s="44"/>
      <c r="G923" s="44"/>
      <c r="H923" s="44"/>
      <c r="I923" s="44"/>
      <c r="J923" s="44"/>
      <c r="K923" s="44"/>
      <c r="L923" s="44"/>
      <c r="M923" s="44"/>
      <c r="N923" s="44"/>
      <c r="O923" s="44"/>
    </row>
    <row r="924" spans="1:15" ht="17.25" customHeight="1">
      <c r="A924" s="44"/>
      <c r="B924" s="44"/>
      <c r="C924" s="44"/>
      <c r="D924" s="44"/>
      <c r="E924" s="44"/>
      <c r="F924" s="44"/>
      <c r="G924" s="44"/>
      <c r="H924" s="44"/>
      <c r="I924" s="44"/>
      <c r="J924" s="44"/>
      <c r="K924" s="44"/>
      <c r="L924" s="44"/>
      <c r="M924" s="44"/>
      <c r="N924" s="44"/>
      <c r="O924" s="44"/>
    </row>
    <row r="925" spans="1:15" ht="17.25" customHeight="1">
      <c r="A925" s="44"/>
      <c r="B925" s="44"/>
      <c r="C925" s="44"/>
      <c r="D925" s="44"/>
      <c r="E925" s="44"/>
      <c r="F925" s="44"/>
      <c r="G925" s="44"/>
      <c r="H925" s="44"/>
      <c r="I925" s="44"/>
      <c r="J925" s="44"/>
      <c r="K925" s="44"/>
      <c r="L925" s="44"/>
      <c r="M925" s="44"/>
      <c r="N925" s="44"/>
      <c r="O925" s="44"/>
    </row>
    <row r="926" spans="1:15" ht="17.25" customHeight="1">
      <c r="A926" s="44"/>
      <c r="B926" s="44"/>
      <c r="C926" s="44"/>
      <c r="D926" s="44"/>
      <c r="E926" s="44"/>
      <c r="F926" s="44"/>
      <c r="G926" s="44"/>
      <c r="H926" s="44"/>
      <c r="I926" s="44"/>
      <c r="J926" s="44"/>
      <c r="K926" s="44"/>
      <c r="L926" s="44"/>
      <c r="M926" s="44"/>
      <c r="N926" s="44"/>
      <c r="O926" s="44"/>
    </row>
    <row r="927" spans="1:15" ht="17.25" customHeight="1">
      <c r="A927" s="44"/>
      <c r="B927" s="44"/>
      <c r="C927" s="44"/>
      <c r="D927" s="44"/>
      <c r="E927" s="44"/>
      <c r="F927" s="44"/>
      <c r="G927" s="44"/>
      <c r="H927" s="44"/>
      <c r="I927" s="44"/>
      <c r="J927" s="44"/>
      <c r="K927" s="44"/>
      <c r="L927" s="44"/>
      <c r="M927" s="44"/>
      <c r="N927" s="44"/>
      <c r="O927" s="44"/>
    </row>
    <row r="928" spans="1:15" ht="17.25" customHeight="1">
      <c r="A928" s="44"/>
      <c r="B928" s="44"/>
      <c r="C928" s="44"/>
      <c r="D928" s="44"/>
      <c r="E928" s="44"/>
      <c r="F928" s="44"/>
      <c r="G928" s="44"/>
      <c r="H928" s="44"/>
      <c r="I928" s="44"/>
      <c r="J928" s="44"/>
      <c r="K928" s="44"/>
      <c r="L928" s="44"/>
      <c r="M928" s="44"/>
      <c r="N928" s="44"/>
      <c r="O928" s="44"/>
    </row>
    <row r="929" spans="1:15" ht="17.25" customHeight="1">
      <c r="A929" s="44"/>
      <c r="B929" s="44"/>
      <c r="C929" s="44"/>
      <c r="D929" s="44"/>
      <c r="E929" s="44"/>
      <c r="F929" s="44"/>
      <c r="G929" s="44"/>
      <c r="H929" s="44"/>
      <c r="I929" s="44"/>
      <c r="J929" s="44"/>
      <c r="K929" s="44"/>
      <c r="L929" s="44"/>
      <c r="M929" s="44"/>
      <c r="N929" s="44"/>
      <c r="O929" s="44"/>
    </row>
    <row r="930" spans="1:15" ht="17.25" customHeight="1">
      <c r="A930" s="44"/>
      <c r="B930" s="44"/>
      <c r="C930" s="44"/>
      <c r="D930" s="44"/>
      <c r="E930" s="44"/>
      <c r="F930" s="44"/>
      <c r="G930" s="44"/>
      <c r="H930" s="44"/>
      <c r="I930" s="44"/>
      <c r="J930" s="44"/>
      <c r="K930" s="44"/>
      <c r="L930" s="44"/>
      <c r="M930" s="44"/>
      <c r="N930" s="44"/>
      <c r="O930" s="44"/>
    </row>
    <row r="931" spans="1:15" ht="17.25" customHeight="1">
      <c r="A931" s="44"/>
      <c r="B931" s="44"/>
      <c r="C931" s="44"/>
      <c r="D931" s="44"/>
      <c r="E931" s="44"/>
      <c r="F931" s="44"/>
      <c r="G931" s="44"/>
      <c r="H931" s="44"/>
      <c r="I931" s="44"/>
      <c r="J931" s="44"/>
      <c r="K931" s="44"/>
      <c r="L931" s="44"/>
      <c r="M931" s="44"/>
      <c r="N931" s="44"/>
      <c r="O931" s="44"/>
    </row>
    <row r="932" spans="1:15" ht="17.25" customHeight="1">
      <c r="A932" s="44"/>
      <c r="B932" s="44"/>
      <c r="C932" s="44"/>
      <c r="D932" s="44"/>
      <c r="E932" s="44"/>
      <c r="F932" s="44"/>
      <c r="G932" s="44"/>
      <c r="H932" s="44"/>
      <c r="I932" s="44"/>
      <c r="J932" s="44"/>
      <c r="K932" s="44"/>
      <c r="L932" s="44"/>
      <c r="M932" s="44"/>
      <c r="N932" s="44"/>
      <c r="O932" s="44"/>
    </row>
    <row r="933" spans="1:15" ht="17.25" customHeight="1">
      <c r="A933" s="44"/>
      <c r="B933" s="44"/>
      <c r="C933" s="44"/>
      <c r="D933" s="44"/>
      <c r="E933" s="44"/>
      <c r="F933" s="44"/>
      <c r="G933" s="44"/>
      <c r="H933" s="44"/>
      <c r="I933" s="44"/>
      <c r="J933" s="44"/>
      <c r="K933" s="44"/>
      <c r="L933" s="44"/>
      <c r="M933" s="44"/>
      <c r="N933" s="44"/>
      <c r="O933" s="44"/>
    </row>
    <row r="934" spans="1:15" ht="17.25" customHeight="1">
      <c r="A934" s="44"/>
      <c r="B934" s="44"/>
      <c r="C934" s="44"/>
      <c r="D934" s="44"/>
      <c r="E934" s="44"/>
      <c r="F934" s="44"/>
      <c r="G934" s="44"/>
      <c r="H934" s="44"/>
      <c r="I934" s="44"/>
      <c r="J934" s="44"/>
      <c r="K934" s="44"/>
      <c r="L934" s="44"/>
      <c r="M934" s="44"/>
      <c r="N934" s="44"/>
      <c r="O934" s="44"/>
    </row>
    <row r="935" spans="1:15" ht="17.25" customHeight="1">
      <c r="A935" s="44"/>
      <c r="B935" s="44"/>
      <c r="C935" s="44"/>
      <c r="D935" s="44"/>
      <c r="E935" s="44"/>
      <c r="F935" s="44"/>
      <c r="G935" s="44"/>
      <c r="H935" s="44"/>
      <c r="I935" s="44"/>
      <c r="J935" s="44"/>
      <c r="K935" s="44"/>
      <c r="L935" s="44"/>
      <c r="M935" s="44"/>
      <c r="N935" s="44"/>
      <c r="O935" s="44"/>
    </row>
    <row r="936" spans="1:15" ht="17.25" customHeight="1">
      <c r="A936" s="44"/>
      <c r="B936" s="44"/>
      <c r="C936" s="44"/>
      <c r="D936" s="44"/>
      <c r="E936" s="44"/>
      <c r="F936" s="44"/>
      <c r="G936" s="44"/>
      <c r="H936" s="44"/>
      <c r="I936" s="44"/>
      <c r="J936" s="44"/>
      <c r="K936" s="44"/>
      <c r="L936" s="44"/>
      <c r="M936" s="44"/>
      <c r="N936" s="44"/>
      <c r="O936" s="44"/>
    </row>
    <row r="937" spans="1:15" ht="17.25" customHeight="1">
      <c r="A937" s="44"/>
      <c r="B937" s="44"/>
      <c r="C937" s="44"/>
      <c r="D937" s="44"/>
      <c r="E937" s="44"/>
      <c r="F937" s="44"/>
      <c r="G937" s="44"/>
      <c r="H937" s="44"/>
      <c r="I937" s="44"/>
      <c r="J937" s="44"/>
      <c r="K937" s="44"/>
      <c r="L937" s="44"/>
      <c r="M937" s="44"/>
      <c r="N937" s="44"/>
      <c r="O937" s="44"/>
    </row>
    <row r="938" spans="1:15" ht="17.25" customHeight="1">
      <c r="A938" s="44"/>
      <c r="B938" s="44"/>
      <c r="C938" s="44"/>
      <c r="D938" s="44"/>
      <c r="E938" s="44"/>
      <c r="F938" s="44"/>
      <c r="G938" s="44"/>
      <c r="H938" s="44"/>
      <c r="I938" s="44"/>
      <c r="J938" s="44"/>
      <c r="K938" s="44"/>
      <c r="L938" s="44"/>
      <c r="M938" s="44"/>
      <c r="N938" s="44"/>
      <c r="O938" s="44"/>
    </row>
    <row r="939" spans="1:15" ht="17.25" customHeight="1">
      <c r="A939" s="44"/>
      <c r="B939" s="44"/>
      <c r="C939" s="44"/>
      <c r="D939" s="44"/>
      <c r="E939" s="44"/>
      <c r="F939" s="44"/>
      <c r="G939" s="44"/>
      <c r="H939" s="44"/>
      <c r="I939" s="44"/>
      <c r="J939" s="44"/>
      <c r="K939" s="44"/>
      <c r="L939" s="44"/>
      <c r="M939" s="44"/>
      <c r="N939" s="44"/>
      <c r="O939" s="44"/>
    </row>
    <row r="940" spans="1:15" ht="17.25" customHeight="1">
      <c r="A940" s="44"/>
      <c r="B940" s="44"/>
      <c r="C940" s="44"/>
      <c r="D940" s="44"/>
      <c r="E940" s="44"/>
      <c r="F940" s="44"/>
      <c r="G940" s="44"/>
      <c r="H940" s="44"/>
      <c r="I940" s="44"/>
      <c r="J940" s="44"/>
      <c r="K940" s="44"/>
      <c r="L940" s="44"/>
      <c r="M940" s="44"/>
      <c r="N940" s="44"/>
      <c r="O940" s="44"/>
    </row>
    <row r="941" spans="1:15" ht="17.25" customHeight="1">
      <c r="A941" s="44"/>
      <c r="B941" s="44"/>
      <c r="C941" s="44"/>
      <c r="D941" s="44"/>
      <c r="E941" s="44"/>
      <c r="F941" s="44"/>
      <c r="G941" s="44"/>
      <c r="H941" s="44"/>
      <c r="I941" s="44"/>
      <c r="J941" s="44"/>
      <c r="K941" s="44"/>
      <c r="L941" s="44"/>
      <c r="M941" s="44"/>
      <c r="N941" s="44"/>
      <c r="O941" s="44"/>
    </row>
    <row r="942" spans="1:15" ht="17.25" customHeight="1">
      <c r="A942" s="44"/>
      <c r="B942" s="44"/>
      <c r="C942" s="44"/>
      <c r="D942" s="44"/>
      <c r="E942" s="44"/>
      <c r="F942" s="44"/>
      <c r="G942" s="44"/>
      <c r="H942" s="44"/>
      <c r="I942" s="44"/>
      <c r="J942" s="44"/>
      <c r="K942" s="44"/>
      <c r="L942" s="44"/>
      <c r="M942" s="44"/>
      <c r="N942" s="44"/>
      <c r="O942" s="44"/>
    </row>
    <row r="943" spans="1:15" ht="17.25" customHeight="1">
      <c r="A943" s="44"/>
      <c r="B943" s="44"/>
      <c r="C943" s="44"/>
      <c r="D943" s="44"/>
      <c r="E943" s="44"/>
      <c r="F943" s="44"/>
      <c r="G943" s="44"/>
      <c r="H943" s="44"/>
      <c r="I943" s="44"/>
      <c r="J943" s="44"/>
      <c r="K943" s="44"/>
      <c r="L943" s="44"/>
      <c r="M943" s="44"/>
      <c r="N943" s="44"/>
      <c r="O943" s="44"/>
    </row>
    <row r="944" spans="1:15" ht="17.25" customHeight="1">
      <c r="A944" s="44"/>
      <c r="B944" s="44"/>
      <c r="C944" s="44"/>
      <c r="D944" s="44"/>
      <c r="E944" s="44"/>
      <c r="F944" s="44"/>
      <c r="G944" s="44"/>
      <c r="H944" s="44"/>
      <c r="I944" s="44"/>
      <c r="J944" s="44"/>
      <c r="K944" s="44"/>
      <c r="L944" s="44"/>
      <c r="M944" s="44"/>
      <c r="N944" s="44"/>
      <c r="O944" s="44"/>
    </row>
    <row r="945" spans="1:15" ht="17.25" customHeight="1">
      <c r="A945" s="44"/>
      <c r="B945" s="44"/>
      <c r="C945" s="44"/>
      <c r="D945" s="44"/>
      <c r="E945" s="44"/>
      <c r="F945" s="44"/>
      <c r="G945" s="44"/>
      <c r="H945" s="44"/>
      <c r="I945" s="44"/>
      <c r="J945" s="44"/>
      <c r="K945" s="44"/>
      <c r="L945" s="44"/>
      <c r="M945" s="44"/>
      <c r="N945" s="44"/>
      <c r="O945" s="44"/>
    </row>
    <row r="946" spans="1:15" ht="17.25" customHeight="1">
      <c r="A946" s="44"/>
      <c r="B946" s="44"/>
      <c r="C946" s="44"/>
      <c r="D946" s="44"/>
      <c r="E946" s="44"/>
      <c r="F946" s="44"/>
      <c r="G946" s="44"/>
      <c r="H946" s="44"/>
      <c r="I946" s="44"/>
      <c r="J946" s="44"/>
      <c r="K946" s="44"/>
      <c r="L946" s="44"/>
      <c r="M946" s="44"/>
      <c r="N946" s="44"/>
      <c r="O946" s="44"/>
    </row>
    <row r="947" spans="1:15" ht="17.25" customHeight="1">
      <c r="A947" s="44"/>
      <c r="B947" s="44"/>
      <c r="C947" s="44"/>
      <c r="D947" s="44"/>
      <c r="E947" s="44"/>
      <c r="F947" s="44"/>
      <c r="G947" s="44"/>
      <c r="H947" s="44"/>
      <c r="I947" s="44"/>
      <c r="J947" s="44"/>
      <c r="K947" s="44"/>
      <c r="L947" s="44"/>
      <c r="M947" s="44"/>
      <c r="N947" s="44"/>
      <c r="O947" s="44"/>
    </row>
    <row r="948" spans="1:15" ht="17.25" customHeight="1">
      <c r="A948" s="44"/>
      <c r="B948" s="44"/>
      <c r="C948" s="44"/>
      <c r="D948" s="44"/>
      <c r="E948" s="44"/>
      <c r="F948" s="44"/>
      <c r="G948" s="44"/>
      <c r="H948" s="44"/>
      <c r="I948" s="44"/>
      <c r="J948" s="44"/>
      <c r="K948" s="44"/>
      <c r="L948" s="44"/>
      <c r="M948" s="44"/>
      <c r="N948" s="44"/>
      <c r="O948" s="44"/>
    </row>
    <row r="949" spans="1:15" ht="17.25" customHeight="1">
      <c r="A949" s="44"/>
      <c r="B949" s="44"/>
      <c r="C949" s="44"/>
      <c r="D949" s="44"/>
      <c r="E949" s="44"/>
      <c r="F949" s="44"/>
      <c r="G949" s="44"/>
      <c r="H949" s="44"/>
      <c r="I949" s="44"/>
      <c r="J949" s="44"/>
      <c r="K949" s="44"/>
      <c r="L949" s="44"/>
      <c r="M949" s="44"/>
      <c r="N949" s="44"/>
      <c r="O949" s="44"/>
    </row>
    <row r="950" spans="1:15" ht="17.25" customHeight="1">
      <c r="A950" s="44"/>
      <c r="B950" s="44"/>
      <c r="C950" s="44"/>
      <c r="D950" s="44"/>
      <c r="E950" s="44"/>
      <c r="F950" s="44"/>
      <c r="G950" s="44"/>
      <c r="H950" s="44"/>
      <c r="I950" s="44"/>
      <c r="J950" s="44"/>
      <c r="K950" s="44"/>
      <c r="L950" s="44"/>
      <c r="M950" s="44"/>
      <c r="N950" s="44"/>
      <c r="O950" s="44"/>
    </row>
    <row r="951" spans="1:15" ht="17.25" customHeight="1">
      <c r="A951" s="44"/>
      <c r="B951" s="44"/>
      <c r="C951" s="44"/>
      <c r="D951" s="44"/>
      <c r="E951" s="44"/>
      <c r="F951" s="44"/>
      <c r="G951" s="44"/>
      <c r="H951" s="44"/>
      <c r="I951" s="44"/>
      <c r="J951" s="44"/>
      <c r="K951" s="44"/>
      <c r="L951" s="44"/>
      <c r="M951" s="44"/>
      <c r="N951" s="44"/>
      <c r="O951" s="44"/>
    </row>
    <row r="952" spans="1:15" ht="17.25" customHeight="1">
      <c r="A952" s="44"/>
      <c r="B952" s="44"/>
      <c r="C952" s="44"/>
      <c r="D952" s="44"/>
      <c r="E952" s="44"/>
      <c r="F952" s="44"/>
      <c r="G952" s="44"/>
      <c r="H952" s="44"/>
      <c r="I952" s="44"/>
      <c r="J952" s="44"/>
      <c r="K952" s="44"/>
      <c r="L952" s="44"/>
      <c r="M952" s="44"/>
      <c r="N952" s="44"/>
      <c r="O952" s="44"/>
    </row>
    <row r="953" spans="1:15" ht="17.25" customHeight="1">
      <c r="A953" s="44"/>
      <c r="B953" s="44"/>
      <c r="C953" s="44"/>
      <c r="D953" s="44"/>
      <c r="E953" s="44"/>
      <c r="F953" s="44"/>
      <c r="G953" s="44"/>
      <c r="H953" s="44"/>
      <c r="I953" s="44"/>
      <c r="J953" s="44"/>
      <c r="K953" s="44"/>
      <c r="L953" s="44"/>
      <c r="M953" s="44"/>
      <c r="N953" s="44"/>
      <c r="O953" s="44"/>
    </row>
    <row r="954" spans="1:15" ht="17.25" customHeight="1">
      <c r="A954" s="44"/>
      <c r="B954" s="44"/>
      <c r="C954" s="44"/>
      <c r="D954" s="44"/>
      <c r="E954" s="44"/>
      <c r="F954" s="44"/>
      <c r="G954" s="44"/>
      <c r="H954" s="44"/>
      <c r="I954" s="44"/>
      <c r="J954" s="44"/>
      <c r="K954" s="44"/>
      <c r="L954" s="44"/>
      <c r="M954" s="44"/>
      <c r="N954" s="44"/>
      <c r="O954" s="44"/>
    </row>
    <row r="955" spans="1:15" ht="17.25" customHeight="1">
      <c r="A955" s="44"/>
      <c r="B955" s="44"/>
      <c r="C955" s="44"/>
      <c r="D955" s="44"/>
      <c r="E955" s="44"/>
      <c r="F955" s="44"/>
      <c r="G955" s="44"/>
      <c r="H955" s="44"/>
      <c r="I955" s="44"/>
      <c r="J955" s="44"/>
      <c r="K955" s="44"/>
      <c r="L955" s="44"/>
      <c r="M955" s="44"/>
      <c r="N955" s="44"/>
      <c r="O955" s="44"/>
    </row>
    <row r="956" spans="1:15" ht="17.25" customHeight="1">
      <c r="A956" s="44"/>
      <c r="B956" s="44"/>
      <c r="C956" s="44"/>
      <c r="D956" s="44"/>
      <c r="E956" s="44"/>
      <c r="F956" s="44"/>
      <c r="G956" s="44"/>
      <c r="H956" s="44"/>
      <c r="I956" s="44"/>
      <c r="J956" s="44"/>
      <c r="K956" s="44"/>
      <c r="L956" s="44"/>
      <c r="M956" s="44"/>
      <c r="N956" s="44"/>
      <c r="O956" s="44"/>
    </row>
    <row r="957" spans="1:15" ht="17.25" customHeight="1">
      <c r="A957" s="44"/>
      <c r="B957" s="44"/>
      <c r="C957" s="44"/>
      <c r="D957" s="44"/>
      <c r="E957" s="44"/>
      <c r="F957" s="44"/>
      <c r="G957" s="44"/>
      <c r="H957" s="44"/>
      <c r="I957" s="44"/>
      <c r="J957" s="44"/>
      <c r="K957" s="44"/>
      <c r="L957" s="44"/>
      <c r="M957" s="44"/>
      <c r="N957" s="44"/>
      <c r="O957" s="44"/>
    </row>
    <row r="958" spans="1:15" ht="17.25" customHeight="1">
      <c r="A958" s="44"/>
      <c r="B958" s="44"/>
      <c r="C958" s="44"/>
      <c r="D958" s="44"/>
      <c r="E958" s="44"/>
      <c r="F958" s="44"/>
      <c r="G958" s="44"/>
      <c r="H958" s="44"/>
      <c r="I958" s="44"/>
      <c r="J958" s="44"/>
      <c r="K958" s="44"/>
      <c r="L958" s="44"/>
      <c r="M958" s="44"/>
      <c r="N958" s="44"/>
      <c r="O958" s="44"/>
    </row>
    <row r="959" spans="1:15" ht="17.25" customHeight="1">
      <c r="A959" s="44"/>
      <c r="B959" s="44"/>
      <c r="C959" s="44"/>
      <c r="D959" s="44"/>
      <c r="E959" s="44"/>
      <c r="F959" s="44"/>
      <c r="G959" s="44"/>
      <c r="H959" s="44"/>
      <c r="I959" s="44"/>
      <c r="J959" s="44"/>
      <c r="K959" s="44"/>
      <c r="L959" s="44"/>
      <c r="M959" s="44"/>
      <c r="N959" s="44"/>
      <c r="O959" s="44"/>
    </row>
    <row r="960" spans="1:15" ht="17.25" customHeight="1">
      <c r="A960" s="44"/>
      <c r="B960" s="44"/>
      <c r="C960" s="44"/>
      <c r="D960" s="44"/>
      <c r="E960" s="44"/>
      <c r="F960" s="44"/>
      <c r="G960" s="44"/>
      <c r="H960" s="44"/>
      <c r="I960" s="44"/>
      <c r="J960" s="44"/>
      <c r="K960" s="44"/>
      <c r="L960" s="44"/>
      <c r="M960" s="44"/>
      <c r="N960" s="44"/>
      <c r="O960" s="44"/>
    </row>
    <row r="961" spans="1:15" ht="17.25" customHeight="1">
      <c r="A961" s="44"/>
      <c r="B961" s="44"/>
      <c r="C961" s="44"/>
      <c r="D961" s="44"/>
      <c r="E961" s="44"/>
      <c r="F961" s="44"/>
      <c r="G961" s="44"/>
      <c r="H961" s="44"/>
      <c r="I961" s="44"/>
      <c r="J961" s="44"/>
      <c r="K961" s="44"/>
      <c r="L961" s="44"/>
      <c r="M961" s="44"/>
      <c r="N961" s="44"/>
      <c r="O961" s="44"/>
    </row>
    <row r="962" spans="1:15" ht="17.25" customHeight="1">
      <c r="A962" s="44"/>
      <c r="B962" s="44"/>
      <c r="C962" s="44"/>
      <c r="D962" s="44"/>
      <c r="E962" s="44"/>
      <c r="F962" s="44"/>
      <c r="G962" s="44"/>
      <c r="H962" s="44"/>
      <c r="I962" s="44"/>
      <c r="J962" s="44"/>
      <c r="K962" s="44"/>
      <c r="L962" s="44"/>
      <c r="M962" s="44"/>
      <c r="N962" s="44"/>
      <c r="O962" s="44"/>
    </row>
    <row r="963" spans="1:15" ht="17.25" customHeight="1">
      <c r="A963" s="44"/>
      <c r="B963" s="44"/>
      <c r="C963" s="44"/>
      <c r="D963" s="44"/>
      <c r="E963" s="44"/>
      <c r="F963" s="44"/>
      <c r="G963" s="44"/>
      <c r="H963" s="44"/>
      <c r="I963" s="44"/>
      <c r="J963" s="44"/>
      <c r="K963" s="44"/>
      <c r="L963" s="44"/>
      <c r="M963" s="44"/>
      <c r="N963" s="44"/>
      <c r="O963" s="44"/>
    </row>
    <row r="964" spans="1:15" ht="17.25" customHeight="1">
      <c r="A964" s="44"/>
      <c r="B964" s="44"/>
      <c r="C964" s="44"/>
      <c r="D964" s="44"/>
      <c r="E964" s="44"/>
      <c r="F964" s="44"/>
      <c r="G964" s="44"/>
      <c r="H964" s="44"/>
      <c r="I964" s="44"/>
      <c r="J964" s="44"/>
      <c r="K964" s="44"/>
      <c r="L964" s="44"/>
      <c r="M964" s="44"/>
      <c r="N964" s="44"/>
      <c r="O964" s="44"/>
    </row>
    <row r="965" spans="1:15" ht="17.25" customHeight="1">
      <c r="A965" s="44"/>
      <c r="B965" s="44"/>
      <c r="C965" s="44"/>
      <c r="D965" s="44"/>
      <c r="E965" s="44"/>
      <c r="F965" s="44"/>
      <c r="G965" s="44"/>
      <c r="H965" s="44"/>
      <c r="I965" s="44"/>
      <c r="J965" s="44"/>
      <c r="K965" s="44"/>
      <c r="L965" s="44"/>
      <c r="M965" s="44"/>
      <c r="N965" s="44"/>
      <c r="O965" s="44"/>
    </row>
    <row r="966" spans="1:15" ht="17.25" customHeight="1">
      <c r="A966" s="44"/>
      <c r="B966" s="44"/>
      <c r="C966" s="44"/>
      <c r="D966" s="44"/>
      <c r="E966" s="44"/>
      <c r="F966" s="44"/>
      <c r="G966" s="44"/>
      <c r="H966" s="44"/>
      <c r="I966" s="44"/>
      <c r="J966" s="44"/>
      <c r="K966" s="44"/>
      <c r="L966" s="44"/>
      <c r="M966" s="44"/>
      <c r="N966" s="44"/>
      <c r="O966" s="44"/>
    </row>
    <row r="967" spans="1:15" ht="17.25" customHeight="1">
      <c r="A967" s="44"/>
      <c r="B967" s="44"/>
      <c r="C967" s="44"/>
      <c r="D967" s="44"/>
      <c r="E967" s="44"/>
      <c r="F967" s="44"/>
      <c r="G967" s="44"/>
      <c r="H967" s="44"/>
      <c r="I967" s="44"/>
      <c r="J967" s="44"/>
      <c r="K967" s="44"/>
      <c r="L967" s="44"/>
      <c r="M967" s="44"/>
      <c r="N967" s="44"/>
      <c r="O967" s="44"/>
    </row>
    <row r="968" spans="1:15" ht="17.25" customHeight="1">
      <c r="A968" s="44"/>
      <c r="B968" s="44"/>
      <c r="C968" s="44"/>
      <c r="D968" s="44"/>
      <c r="E968" s="44"/>
      <c r="F968" s="44"/>
      <c r="G968" s="44"/>
      <c r="H968" s="44"/>
      <c r="I968" s="44"/>
      <c r="J968" s="44"/>
      <c r="K968" s="44"/>
      <c r="L968" s="44"/>
      <c r="M968" s="44"/>
      <c r="N968" s="44"/>
      <c r="O968" s="44"/>
    </row>
    <row r="969" spans="1:15" ht="17.25" customHeight="1">
      <c r="A969" s="44"/>
      <c r="B969" s="44"/>
      <c r="C969" s="44"/>
      <c r="D969" s="44"/>
      <c r="E969" s="44"/>
      <c r="F969" s="44"/>
      <c r="G969" s="44"/>
      <c r="H969" s="44"/>
      <c r="I969" s="44"/>
      <c r="J969" s="44"/>
      <c r="K969" s="44"/>
      <c r="L969" s="44"/>
      <c r="M969" s="44"/>
      <c r="N969" s="44"/>
      <c r="O969" s="44"/>
    </row>
    <row r="970" spans="1:15" ht="17.25" customHeight="1">
      <c r="A970" s="44"/>
      <c r="B970" s="44"/>
      <c r="C970" s="44"/>
      <c r="D970" s="44"/>
      <c r="E970" s="44"/>
      <c r="F970" s="44"/>
      <c r="G970" s="44"/>
      <c r="H970" s="44"/>
      <c r="I970" s="44"/>
      <c r="J970" s="44"/>
      <c r="K970" s="44"/>
      <c r="L970" s="44"/>
      <c r="M970" s="44"/>
      <c r="N970" s="44"/>
      <c r="O970" s="44"/>
    </row>
    <row r="971" spans="1:15" ht="17.25" customHeight="1">
      <c r="A971" s="44"/>
      <c r="B971" s="44"/>
      <c r="C971" s="44"/>
      <c r="D971" s="44"/>
      <c r="E971" s="44"/>
      <c r="F971" s="44"/>
      <c r="G971" s="44"/>
      <c r="H971" s="44"/>
      <c r="I971" s="44"/>
      <c r="J971" s="44"/>
      <c r="K971" s="44"/>
      <c r="L971" s="44"/>
      <c r="M971" s="44"/>
      <c r="N971" s="44"/>
      <c r="O971" s="44"/>
    </row>
    <row r="972" spans="1:15" ht="17.25" customHeight="1">
      <c r="A972" s="44"/>
      <c r="B972" s="44"/>
      <c r="C972" s="44"/>
      <c r="D972" s="44"/>
      <c r="E972" s="44"/>
      <c r="F972" s="44"/>
      <c r="G972" s="44"/>
      <c r="H972" s="44"/>
      <c r="I972" s="44"/>
      <c r="J972" s="44"/>
      <c r="K972" s="44"/>
      <c r="L972" s="44"/>
      <c r="M972" s="44"/>
      <c r="N972" s="44"/>
      <c r="O972" s="44"/>
    </row>
    <row r="973" spans="1:15" ht="17.25" customHeight="1">
      <c r="A973" s="44"/>
      <c r="B973" s="44"/>
      <c r="C973" s="44"/>
      <c r="D973" s="44"/>
      <c r="E973" s="44"/>
      <c r="F973" s="44"/>
      <c r="G973" s="44"/>
      <c r="H973" s="44"/>
      <c r="I973" s="44"/>
      <c r="J973" s="44"/>
      <c r="K973" s="44"/>
      <c r="L973" s="44"/>
      <c r="M973" s="44"/>
      <c r="N973" s="44"/>
      <c r="O973" s="44"/>
    </row>
    <row r="974" spans="1:15" ht="17.25" customHeight="1">
      <c r="A974" s="44"/>
      <c r="B974" s="44"/>
      <c r="C974" s="44"/>
      <c r="D974" s="44"/>
      <c r="E974" s="44"/>
      <c r="F974" s="44"/>
      <c r="G974" s="44"/>
      <c r="H974" s="44"/>
      <c r="I974" s="44"/>
      <c r="J974" s="44"/>
      <c r="K974" s="44"/>
      <c r="L974" s="44"/>
      <c r="M974" s="44"/>
      <c r="N974" s="44"/>
      <c r="O974" s="44"/>
    </row>
    <row r="975" spans="1:15" ht="17.25" customHeight="1">
      <c r="A975" s="44"/>
      <c r="B975" s="44"/>
      <c r="C975" s="44"/>
      <c r="D975" s="44"/>
      <c r="E975" s="44"/>
      <c r="F975" s="44"/>
      <c r="G975" s="44"/>
      <c r="H975" s="44"/>
      <c r="I975" s="44"/>
      <c r="J975" s="44"/>
      <c r="K975" s="44"/>
      <c r="L975" s="44"/>
      <c r="M975" s="44"/>
      <c r="N975" s="44"/>
      <c r="O975" s="44"/>
    </row>
    <row r="976" spans="1:15" ht="17.25" customHeight="1">
      <c r="A976" s="44"/>
      <c r="B976" s="44"/>
      <c r="C976" s="44"/>
      <c r="D976" s="44"/>
      <c r="E976" s="44"/>
      <c r="F976" s="44"/>
      <c r="G976" s="44"/>
      <c r="H976" s="44"/>
      <c r="I976" s="44"/>
      <c r="J976" s="44"/>
      <c r="K976" s="44"/>
      <c r="L976" s="44"/>
      <c r="M976" s="44"/>
      <c r="N976" s="44"/>
      <c r="O976" s="44"/>
    </row>
    <row r="977" spans="1:15" ht="17.25" customHeight="1">
      <c r="A977" s="44"/>
      <c r="B977" s="44"/>
      <c r="C977" s="44"/>
      <c r="D977" s="44"/>
      <c r="E977" s="44"/>
      <c r="F977" s="44"/>
      <c r="G977" s="44"/>
      <c r="H977" s="44"/>
      <c r="I977" s="44"/>
      <c r="J977" s="44"/>
      <c r="K977" s="44"/>
      <c r="L977" s="44"/>
      <c r="M977" s="44"/>
      <c r="N977" s="44"/>
      <c r="O977" s="44"/>
    </row>
    <row r="978" spans="1:15" ht="17.25" customHeight="1">
      <c r="A978" s="44"/>
      <c r="B978" s="44"/>
      <c r="C978" s="44"/>
      <c r="D978" s="44"/>
      <c r="E978" s="44"/>
      <c r="F978" s="44"/>
      <c r="G978" s="44"/>
      <c r="H978" s="44"/>
      <c r="I978" s="44"/>
      <c r="J978" s="44"/>
      <c r="K978" s="44"/>
      <c r="L978" s="44"/>
      <c r="M978" s="44"/>
      <c r="N978" s="44"/>
      <c r="O978" s="44"/>
    </row>
    <row r="979" spans="1:15" ht="17.25" customHeight="1">
      <c r="A979" s="44"/>
      <c r="B979" s="44"/>
      <c r="C979" s="44"/>
      <c r="D979" s="44"/>
      <c r="E979" s="44"/>
      <c r="F979" s="44"/>
      <c r="G979" s="44"/>
      <c r="H979" s="44"/>
      <c r="I979" s="44"/>
      <c r="J979" s="44"/>
      <c r="K979" s="44"/>
      <c r="L979" s="44"/>
      <c r="M979" s="44"/>
      <c r="N979" s="44"/>
      <c r="O979" s="44"/>
    </row>
    <row r="980" spans="1:15" ht="17.25" customHeight="1">
      <c r="A980" s="44"/>
      <c r="B980" s="44"/>
      <c r="C980" s="44"/>
      <c r="D980" s="44"/>
      <c r="E980" s="44"/>
      <c r="F980" s="44"/>
      <c r="G980" s="44"/>
      <c r="H980" s="44"/>
      <c r="I980" s="44"/>
      <c r="J980" s="44"/>
      <c r="K980" s="44"/>
      <c r="L980" s="44"/>
      <c r="M980" s="44"/>
      <c r="N980" s="44"/>
      <c r="O980" s="44"/>
    </row>
    <row r="981" spans="1:15" ht="17.25" customHeight="1">
      <c r="A981" s="44"/>
      <c r="B981" s="44"/>
      <c r="C981" s="44"/>
      <c r="D981" s="44"/>
      <c r="E981" s="44"/>
      <c r="F981" s="44"/>
      <c r="G981" s="44"/>
      <c r="H981" s="44"/>
      <c r="I981" s="44"/>
      <c r="J981" s="44"/>
      <c r="K981" s="44"/>
      <c r="L981" s="44"/>
      <c r="M981" s="44"/>
      <c r="N981" s="44"/>
      <c r="O981" s="44"/>
    </row>
    <row r="982" spans="1:15" ht="17.25" customHeight="1">
      <c r="A982" s="44"/>
      <c r="B982" s="44"/>
      <c r="C982" s="44"/>
      <c r="D982" s="44"/>
      <c r="E982" s="44"/>
      <c r="F982" s="44"/>
      <c r="G982" s="44"/>
      <c r="H982" s="44"/>
      <c r="I982" s="44"/>
      <c r="J982" s="44"/>
      <c r="K982" s="44"/>
      <c r="L982" s="44"/>
      <c r="M982" s="44"/>
      <c r="N982" s="44"/>
      <c r="O982" s="44"/>
    </row>
    <row r="983" spans="1:15" ht="17.25" customHeight="1">
      <c r="A983" s="44"/>
      <c r="B983" s="44"/>
      <c r="C983" s="44"/>
      <c r="D983" s="44"/>
      <c r="E983" s="44"/>
      <c r="F983" s="44"/>
      <c r="G983" s="44"/>
      <c r="H983" s="44"/>
      <c r="I983" s="44"/>
      <c r="J983" s="44"/>
      <c r="K983" s="44"/>
      <c r="L983" s="44"/>
      <c r="M983" s="44"/>
      <c r="N983" s="44"/>
      <c r="O983" s="44"/>
    </row>
    <row r="984" spans="1:15" ht="17.25" customHeight="1">
      <c r="A984" s="44"/>
      <c r="B984" s="44"/>
      <c r="C984" s="44"/>
      <c r="D984" s="44"/>
      <c r="E984" s="44"/>
      <c r="F984" s="44"/>
      <c r="G984" s="44"/>
      <c r="H984" s="44"/>
      <c r="I984" s="44"/>
      <c r="J984" s="44"/>
      <c r="K984" s="44"/>
      <c r="L984" s="44"/>
      <c r="M984" s="44"/>
      <c r="N984" s="44"/>
      <c r="O984" s="44"/>
    </row>
    <row r="985" spans="1:15" ht="17.25" customHeight="1">
      <c r="A985" s="44"/>
      <c r="B985" s="44"/>
      <c r="C985" s="44"/>
      <c r="D985" s="44"/>
      <c r="E985" s="44"/>
      <c r="F985" s="44"/>
      <c r="G985" s="44"/>
      <c r="H985" s="44"/>
      <c r="I985" s="44"/>
      <c r="J985" s="44"/>
      <c r="K985" s="44"/>
      <c r="L985" s="44"/>
      <c r="M985" s="44"/>
      <c r="N985" s="44"/>
      <c r="O985" s="44"/>
    </row>
    <row r="986" spans="1:15" ht="17.25" customHeight="1">
      <c r="A986" s="44"/>
      <c r="B986" s="44"/>
      <c r="C986" s="44"/>
      <c r="D986" s="44"/>
      <c r="E986" s="44"/>
      <c r="F986" s="44"/>
      <c r="G986" s="44"/>
      <c r="H986" s="44"/>
      <c r="I986" s="44"/>
      <c r="J986" s="44"/>
      <c r="K986" s="44"/>
      <c r="L986" s="44"/>
      <c r="M986" s="44"/>
      <c r="N986" s="44"/>
      <c r="O986" s="44"/>
    </row>
    <row r="987" spans="1:15" ht="17.25" customHeight="1">
      <c r="A987" s="44"/>
      <c r="B987" s="44"/>
      <c r="C987" s="44"/>
      <c r="D987" s="44"/>
      <c r="E987" s="44"/>
      <c r="F987" s="44"/>
      <c r="G987" s="44"/>
      <c r="H987" s="44"/>
      <c r="I987" s="44"/>
      <c r="J987" s="44"/>
      <c r="K987" s="44"/>
      <c r="L987" s="44"/>
      <c r="M987" s="44"/>
      <c r="N987" s="44"/>
      <c r="O987" s="44"/>
    </row>
    <row r="988" spans="1:15" ht="17.25" customHeight="1">
      <c r="A988" s="44"/>
      <c r="B988" s="44"/>
      <c r="C988" s="44"/>
      <c r="D988" s="44"/>
      <c r="E988" s="44"/>
      <c r="F988" s="44"/>
      <c r="G988" s="44"/>
      <c r="H988" s="44"/>
      <c r="I988" s="44"/>
      <c r="J988" s="44"/>
      <c r="K988" s="44"/>
      <c r="L988" s="44"/>
      <c r="M988" s="44"/>
      <c r="N988" s="44"/>
      <c r="O988" s="44"/>
    </row>
    <row r="989" spans="1:15" ht="17.25" customHeight="1">
      <c r="A989" s="44"/>
      <c r="B989" s="44"/>
      <c r="C989" s="44"/>
      <c r="D989" s="44"/>
      <c r="E989" s="44"/>
      <c r="F989" s="44"/>
      <c r="G989" s="44"/>
      <c r="H989" s="44"/>
      <c r="I989" s="44"/>
      <c r="J989" s="44"/>
      <c r="K989" s="44"/>
      <c r="L989" s="44"/>
      <c r="M989" s="44"/>
      <c r="N989" s="44"/>
      <c r="O989" s="44"/>
    </row>
    <row r="990" spans="1:15" ht="17.25" customHeight="1">
      <c r="A990" s="44"/>
      <c r="B990" s="44"/>
      <c r="C990" s="44"/>
      <c r="D990" s="44"/>
      <c r="E990" s="44"/>
      <c r="F990" s="44"/>
      <c r="G990" s="44"/>
      <c r="H990" s="44"/>
      <c r="I990" s="44"/>
      <c r="J990" s="44"/>
      <c r="K990" s="44"/>
      <c r="L990" s="44"/>
      <c r="M990" s="44"/>
      <c r="N990" s="44"/>
      <c r="O990" s="44"/>
    </row>
    <row r="991" spans="1:15" ht="17.25" customHeight="1">
      <c r="A991" s="44"/>
      <c r="B991" s="44"/>
      <c r="C991" s="44"/>
      <c r="D991" s="44"/>
      <c r="E991" s="44"/>
      <c r="F991" s="44"/>
      <c r="G991" s="44"/>
      <c r="H991" s="44"/>
      <c r="I991" s="44"/>
      <c r="J991" s="44"/>
      <c r="K991" s="44"/>
      <c r="L991" s="44"/>
      <c r="M991" s="44"/>
      <c r="N991" s="44"/>
      <c r="O991" s="44"/>
    </row>
    <row r="992" spans="1:15" ht="17.25" customHeight="1">
      <c r="A992" s="44"/>
      <c r="B992" s="44"/>
      <c r="C992" s="44"/>
      <c r="D992" s="44"/>
      <c r="E992" s="44"/>
      <c r="F992" s="44"/>
      <c r="G992" s="44"/>
      <c r="H992" s="44"/>
      <c r="I992" s="44"/>
      <c r="J992" s="44"/>
      <c r="K992" s="44"/>
      <c r="L992" s="44"/>
      <c r="M992" s="44"/>
      <c r="N992" s="44"/>
      <c r="O992" s="44"/>
    </row>
    <row r="993" spans="1:15" ht="17.25" customHeight="1">
      <c r="A993" s="44"/>
      <c r="B993" s="44"/>
      <c r="C993" s="44"/>
      <c r="D993" s="44"/>
      <c r="E993" s="44"/>
      <c r="F993" s="44"/>
      <c r="G993" s="44"/>
      <c r="H993" s="44"/>
      <c r="I993" s="44"/>
      <c r="J993" s="44"/>
      <c r="K993" s="44"/>
      <c r="L993" s="44"/>
      <c r="M993" s="44"/>
      <c r="N993" s="44"/>
      <c r="O993" s="44"/>
    </row>
    <row r="994" spans="1:15" ht="17.25" customHeight="1">
      <c r="A994" s="44"/>
      <c r="B994" s="44"/>
      <c r="C994" s="44"/>
      <c r="D994" s="44"/>
      <c r="E994" s="44"/>
      <c r="F994" s="44"/>
      <c r="G994" s="44"/>
      <c r="H994" s="44"/>
      <c r="I994" s="44"/>
      <c r="J994" s="44"/>
      <c r="K994" s="44"/>
      <c r="L994" s="44"/>
      <c r="M994" s="44"/>
      <c r="N994" s="44"/>
      <c r="O994" s="44"/>
    </row>
    <row r="995" spans="1:15" ht="17.25" customHeight="1">
      <c r="A995" s="44"/>
      <c r="B995" s="44"/>
      <c r="C995" s="44"/>
      <c r="D995" s="44"/>
      <c r="E995" s="44"/>
      <c r="F995" s="44"/>
      <c r="G995" s="44"/>
      <c r="H995" s="44"/>
      <c r="I995" s="44"/>
      <c r="J995" s="44"/>
      <c r="K995" s="44"/>
      <c r="L995" s="44"/>
      <c r="M995" s="44"/>
      <c r="N995" s="44"/>
      <c r="O995" s="44"/>
    </row>
    <row r="996" spans="1:15" ht="17.25" customHeight="1">
      <c r="A996" s="44"/>
      <c r="B996" s="44"/>
      <c r="C996" s="44"/>
      <c r="D996" s="44"/>
      <c r="E996" s="44"/>
      <c r="F996" s="44"/>
      <c r="G996" s="44"/>
      <c r="H996" s="44"/>
      <c r="I996" s="44"/>
      <c r="J996" s="44"/>
      <c r="K996" s="44"/>
      <c r="L996" s="44"/>
      <c r="M996" s="44"/>
      <c r="N996" s="44"/>
      <c r="O996" s="44"/>
    </row>
  </sheetData>
  <sheetProtection password="A5F4" sheet="1" objects="1" scenarios="1"/>
  <mergeCells count="2">
    <mergeCell ref="G1:J2"/>
    <mergeCell ref="B4:C4"/>
  </mergeCells>
  <pageMargins left="0.7" right="0.7" top="0.75" bottom="0.75" header="0" footer="0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98"/>
  <sheetViews>
    <sheetView showGridLines="0" workbookViewId="0">
      <selection activeCell="J14" sqref="J14"/>
    </sheetView>
  </sheetViews>
  <sheetFormatPr baseColWidth="10" defaultColWidth="14.42578125" defaultRowHeight="15" customHeight="1"/>
  <cols>
    <col min="1" max="1" width="5.28515625" style="46" customWidth="1"/>
    <col min="2" max="3" width="12.42578125" style="46" customWidth="1"/>
    <col min="4" max="4" width="6.140625" style="46" customWidth="1"/>
    <col min="5" max="5" width="4.85546875" style="46" customWidth="1"/>
    <col min="6" max="6" width="3.28515625" style="46" customWidth="1"/>
    <col min="7" max="10" width="11.42578125" style="46" customWidth="1"/>
    <col min="11" max="11" width="8.42578125" style="46" customWidth="1"/>
    <col min="12" max="12" width="11.42578125" style="46" customWidth="1"/>
    <col min="13" max="13" width="7" style="46" customWidth="1"/>
    <col min="14" max="14" width="13.85546875" style="46" customWidth="1"/>
    <col min="15" max="15" width="3.140625" style="46" customWidth="1"/>
    <col min="16" max="16" width="30.85546875" style="46" customWidth="1"/>
    <col min="17" max="16384" width="14.42578125" style="46"/>
  </cols>
  <sheetData>
    <row r="1" spans="1:22" ht="21.75" customHeight="1">
      <c r="A1" s="44"/>
      <c r="B1" s="44"/>
      <c r="C1" s="44"/>
      <c r="D1" s="45"/>
      <c r="E1" s="45"/>
      <c r="F1" s="45"/>
      <c r="G1" s="156" t="s">
        <v>68</v>
      </c>
      <c r="H1" s="157"/>
      <c r="I1" s="157"/>
      <c r="J1" s="157"/>
      <c r="K1" s="44"/>
      <c r="L1" s="44"/>
      <c r="M1" s="44"/>
      <c r="N1" s="44"/>
      <c r="O1" s="44"/>
    </row>
    <row r="2" spans="1:22" ht="25.5" customHeight="1">
      <c r="A2" s="44"/>
      <c r="B2" s="44"/>
      <c r="C2" s="44"/>
      <c r="D2" s="47"/>
      <c r="E2" s="47"/>
      <c r="F2" s="47"/>
      <c r="G2" s="157"/>
      <c r="H2" s="157"/>
      <c r="I2" s="157"/>
      <c r="J2" s="157"/>
      <c r="K2" s="44"/>
      <c r="L2" s="44"/>
      <c r="M2" s="44"/>
      <c r="N2" s="44"/>
      <c r="O2" s="44"/>
      <c r="P2" t="s">
        <v>56</v>
      </c>
      <c r="Q2"/>
      <c r="R2"/>
    </row>
    <row r="3" spans="1:22" ht="17.25" customHeight="1" thickBot="1">
      <c r="A3" s="44"/>
      <c r="B3" s="44"/>
      <c r="C3" s="44"/>
      <c r="D3" s="48"/>
      <c r="E3" s="48"/>
      <c r="F3" s="48"/>
      <c r="G3" s="44"/>
      <c r="H3" s="44"/>
      <c r="I3" s="44"/>
      <c r="J3" s="44"/>
      <c r="K3" s="44"/>
      <c r="L3" s="44"/>
      <c r="M3" s="44"/>
      <c r="N3" s="44"/>
      <c r="O3" s="44"/>
      <c r="P3"/>
      <c r="Q3"/>
      <c r="R3"/>
      <c r="T3" t="s">
        <v>106</v>
      </c>
      <c r="U3"/>
      <c r="V3"/>
    </row>
    <row r="4" spans="1:22" ht="17.25" customHeight="1" thickBot="1">
      <c r="A4" s="44"/>
      <c r="B4" s="158" t="s">
        <v>85</v>
      </c>
      <c r="C4" s="159"/>
      <c r="D4" s="48"/>
      <c r="E4" s="48"/>
      <c r="F4" s="48"/>
      <c r="G4" s="44"/>
      <c r="H4" s="44"/>
      <c r="I4" s="44"/>
      <c r="J4" s="105">
        <f>J7-J8</f>
        <v>3.239897222221394E-2</v>
      </c>
      <c r="K4" s="44"/>
      <c r="L4" s="44"/>
      <c r="M4" s="44"/>
      <c r="N4" s="44"/>
      <c r="O4" s="44"/>
      <c r="P4" s="43"/>
      <c r="Q4" s="43" t="s">
        <v>69</v>
      </c>
      <c r="R4" s="43" t="s">
        <v>70</v>
      </c>
      <c r="T4"/>
      <c r="U4"/>
      <c r="V4"/>
    </row>
    <row r="5" spans="1:22" ht="17.25" customHeight="1">
      <c r="A5" s="50" t="s">
        <v>71</v>
      </c>
      <c r="B5" s="50" t="s">
        <v>69</v>
      </c>
      <c r="C5" s="50" t="s">
        <v>70</v>
      </c>
      <c r="D5" s="48"/>
      <c r="E5" s="48"/>
      <c r="F5" s="48"/>
      <c r="G5" s="44"/>
      <c r="H5" s="44"/>
      <c r="I5" s="44"/>
      <c r="J5" s="44"/>
      <c r="K5" s="44"/>
      <c r="L5" s="44"/>
      <c r="M5" s="44"/>
      <c r="N5" s="44"/>
      <c r="O5" s="44"/>
      <c r="P5" s="41" t="s">
        <v>57</v>
      </c>
      <c r="Q5" s="41">
        <v>0.21166953124999563</v>
      </c>
      <c r="R5" s="41">
        <v>0.12046479166667128</v>
      </c>
      <c r="T5" s="43"/>
      <c r="U5" s="43" t="s">
        <v>98</v>
      </c>
      <c r="V5" s="43" t="s">
        <v>99</v>
      </c>
    </row>
    <row r="6" spans="1:22" ht="17.25" customHeight="1">
      <c r="A6" s="53">
        <v>1</v>
      </c>
      <c r="B6" s="125">
        <v>0.31516387500000997</v>
      </c>
      <c r="C6" s="125">
        <v>0.63070849999998302</v>
      </c>
      <c r="D6" s="48"/>
      <c r="E6" s="48"/>
      <c r="F6" s="48"/>
      <c r="G6" s="44" t="s">
        <v>72</v>
      </c>
      <c r="H6" s="44"/>
      <c r="I6" s="44"/>
      <c r="J6" s="44"/>
      <c r="K6" s="44"/>
      <c r="L6" s="44"/>
      <c r="M6" s="44"/>
      <c r="N6" s="44"/>
      <c r="O6" s="44"/>
      <c r="P6" s="41" t="s">
        <v>58</v>
      </c>
      <c r="Q6" s="41">
        <v>1.1935946702062853E-2</v>
      </c>
      <c r="R6" s="41">
        <v>4.012877183313183E-3</v>
      </c>
      <c r="T6" s="41" t="s">
        <v>57</v>
      </c>
      <c r="U6" s="41">
        <v>0.27942347916666416</v>
      </c>
      <c r="V6" s="41">
        <v>0.1523682500000044</v>
      </c>
    </row>
    <row r="7" spans="1:22" ht="17.25" customHeight="1">
      <c r="A7" s="53">
        <v>2</v>
      </c>
      <c r="B7" s="125">
        <v>0.248545000000021</v>
      </c>
      <c r="C7" s="125">
        <v>0.36936325000002102</v>
      </c>
      <c r="D7" s="48"/>
      <c r="E7" s="48"/>
      <c r="F7" s="48"/>
      <c r="G7" s="44"/>
      <c r="H7" s="44"/>
      <c r="I7" s="55" t="s">
        <v>73</v>
      </c>
      <c r="J7" s="56">
        <f>AVERAGE(B6:B23)</f>
        <v>0.211051895833331</v>
      </c>
      <c r="K7" s="57" t="s">
        <v>74</v>
      </c>
      <c r="L7" s="58">
        <f>COUNT(B6:B23)</f>
        <v>18</v>
      </c>
      <c r="M7" s="57" t="s">
        <v>73</v>
      </c>
      <c r="N7" s="59">
        <f>_xlfn.VAR.S(B6:B23)</f>
        <v>1.5451712188222414E-2</v>
      </c>
      <c r="O7" s="44"/>
      <c r="P7" s="41" t="s">
        <v>59</v>
      </c>
      <c r="Q7" s="41">
        <v>12</v>
      </c>
      <c r="R7" s="41">
        <v>12</v>
      </c>
      <c r="T7" s="41" t="s">
        <v>58</v>
      </c>
      <c r="U7" s="41">
        <v>1.2753919860652118E-2</v>
      </c>
      <c r="V7" s="41">
        <v>2.1737560914570743E-3</v>
      </c>
    </row>
    <row r="8" spans="1:22" ht="17.25" customHeight="1">
      <c r="A8" s="53">
        <v>3</v>
      </c>
      <c r="B8" s="125">
        <v>0.14655100000000201</v>
      </c>
      <c r="C8" s="125">
        <v>0.11482687500002001</v>
      </c>
      <c r="D8" s="48"/>
      <c r="E8" s="48"/>
      <c r="F8" s="48"/>
      <c r="G8" s="44"/>
      <c r="H8" s="44"/>
      <c r="I8" s="60" t="s">
        <v>73</v>
      </c>
      <c r="J8" s="56">
        <f>AVERAGE(C6:C23)</f>
        <v>0.17865292361111706</v>
      </c>
      <c r="K8" s="57" t="s">
        <v>75</v>
      </c>
      <c r="L8" s="58">
        <f>COUNT(C6:C23)</f>
        <v>18</v>
      </c>
      <c r="M8" s="57" t="s">
        <v>73</v>
      </c>
      <c r="N8" s="59">
        <f>_xlfn.VAR.S(C6:C23)</f>
        <v>1.9832757342622437E-2</v>
      </c>
      <c r="O8" s="44"/>
      <c r="P8" s="41" t="s">
        <v>60</v>
      </c>
      <c r="Q8" s="41">
        <v>7.9744119426880186E-3</v>
      </c>
      <c r="R8" s="41"/>
      <c r="T8" s="41" t="s">
        <v>59</v>
      </c>
      <c r="U8" s="41">
        <v>6</v>
      </c>
      <c r="V8" s="41">
        <v>6</v>
      </c>
    </row>
    <row r="9" spans="1:22" ht="17.25" customHeight="1">
      <c r="A9" s="53">
        <v>4</v>
      </c>
      <c r="B9" s="125">
        <v>7.5147000000001199E-2</v>
      </c>
      <c r="C9" s="125">
        <v>0.25890600000001002</v>
      </c>
      <c r="D9" s="48"/>
      <c r="E9" s="48"/>
      <c r="F9" s="48"/>
      <c r="G9" s="44"/>
      <c r="H9" s="44"/>
      <c r="I9" s="44"/>
      <c r="J9" s="44"/>
      <c r="K9" s="44"/>
      <c r="L9" s="44"/>
      <c r="M9" s="57" t="s">
        <v>73</v>
      </c>
      <c r="N9" s="59">
        <f>((L7-1)*N7+(L8-1)*N8)/(L7+L8-2)</f>
        <v>1.7642234765422427E-2</v>
      </c>
      <c r="O9" s="44"/>
      <c r="P9" s="41" t="s">
        <v>61</v>
      </c>
      <c r="Q9" s="41">
        <v>0</v>
      </c>
      <c r="R9" s="41"/>
      <c r="T9" s="41" t="s">
        <v>61</v>
      </c>
      <c r="U9" s="41">
        <v>0</v>
      </c>
      <c r="V9" s="41"/>
    </row>
    <row r="10" spans="1:22" ht="17.25" customHeight="1">
      <c r="A10" s="53">
        <v>5</v>
      </c>
      <c r="B10" s="125">
        <v>1.85914999999994E-2</v>
      </c>
      <c r="C10" s="125">
        <v>0.18434862499999799</v>
      </c>
      <c r="D10" s="48"/>
      <c r="E10" s="48"/>
      <c r="F10" s="48"/>
      <c r="G10" s="44"/>
      <c r="H10" s="44"/>
      <c r="I10" s="57" t="s">
        <v>76</v>
      </c>
      <c r="J10" s="61">
        <f>(J7-J8)/SQRT(N7/L7+N8/L8)</f>
        <v>0.73177183455839367</v>
      </c>
      <c r="K10" s="44"/>
      <c r="L10" s="44"/>
      <c r="M10" s="44"/>
      <c r="N10" s="44"/>
      <c r="O10" s="44"/>
      <c r="P10" s="41" t="s">
        <v>62</v>
      </c>
      <c r="Q10" s="41">
        <v>22</v>
      </c>
      <c r="R10" s="41"/>
      <c r="T10" s="41" t="s">
        <v>62</v>
      </c>
      <c r="U10" s="41">
        <v>7</v>
      </c>
      <c r="V10" s="41"/>
    </row>
    <row r="11" spans="1:22" ht="17.25" customHeight="1" thickBot="1">
      <c r="A11" s="53">
        <v>6</v>
      </c>
      <c r="B11" s="125">
        <v>0.45490137499997702</v>
      </c>
      <c r="C11" s="125">
        <v>0.21202187500001901</v>
      </c>
      <c r="D11" s="48"/>
      <c r="E11" s="48"/>
      <c r="F11" s="48"/>
      <c r="G11" s="44"/>
      <c r="H11" s="44"/>
      <c r="I11" s="44"/>
      <c r="J11" s="44"/>
      <c r="K11" s="44"/>
      <c r="L11" s="44"/>
      <c r="M11" s="62"/>
      <c r="N11" s="44">
        <f>J10</f>
        <v>0.73177183455839367</v>
      </c>
      <c r="O11" s="44"/>
      <c r="P11" s="41" t="s">
        <v>63</v>
      </c>
      <c r="Q11" s="41">
        <v>2.5017487961601348</v>
      </c>
      <c r="R11" s="41"/>
      <c r="T11" s="41" t="s">
        <v>63</v>
      </c>
      <c r="U11" s="41">
        <v>2.5472529249218758</v>
      </c>
      <c r="V11" s="41"/>
    </row>
    <row r="12" spans="1:22" ht="17.25" customHeight="1">
      <c r="A12" s="53">
        <v>1</v>
      </c>
      <c r="B12" s="30">
        <v>0.100065375</v>
      </c>
      <c r="C12" s="30">
        <v>4.8861000000002298E-2</v>
      </c>
      <c r="D12" s="48"/>
      <c r="E12" s="48"/>
      <c r="F12" s="48"/>
      <c r="G12" s="44"/>
      <c r="H12" s="44"/>
      <c r="I12" s="44"/>
      <c r="J12" s="44"/>
      <c r="K12" s="44"/>
      <c r="L12" s="44"/>
      <c r="M12" s="62"/>
      <c r="N12" s="44"/>
      <c r="O12" s="44"/>
      <c r="P12" s="41" t="s">
        <v>64</v>
      </c>
      <c r="Q12" s="41">
        <v>1.0144750186580198E-2</v>
      </c>
      <c r="R12" s="41"/>
      <c r="T12" s="41" t="s">
        <v>64</v>
      </c>
      <c r="U12" s="41">
        <v>1.9128356965490922E-2</v>
      </c>
      <c r="V12" s="41"/>
    </row>
    <row r="13" spans="1:22" ht="17.25" customHeight="1">
      <c r="A13" s="53">
        <v>2</v>
      </c>
      <c r="B13" s="125">
        <v>0.208103124999994</v>
      </c>
      <c r="C13" s="125">
        <v>3.4447625000012701E-2</v>
      </c>
      <c r="D13" s="48"/>
      <c r="E13" s="48"/>
      <c r="F13" s="48"/>
      <c r="G13" s="63" t="s">
        <v>77</v>
      </c>
      <c r="H13" s="63"/>
      <c r="I13" s="64" t="s">
        <v>78</v>
      </c>
      <c r="J13" s="65">
        <f>L7+L8-2</f>
        <v>34</v>
      </c>
      <c r="K13" s="44"/>
      <c r="L13" s="44"/>
      <c r="M13" s="62"/>
      <c r="N13" s="66"/>
      <c r="O13" s="44"/>
      <c r="P13" s="41" t="s">
        <v>65</v>
      </c>
      <c r="Q13" s="41">
        <v>1.7171443743802424</v>
      </c>
      <c r="R13" s="41"/>
      <c r="T13" s="41" t="s">
        <v>65</v>
      </c>
      <c r="U13" s="41">
        <v>1.8945786050900073</v>
      </c>
      <c r="V13" s="41"/>
    </row>
    <row r="14" spans="1:22" ht="17.25" customHeight="1">
      <c r="A14" s="53">
        <v>3</v>
      </c>
      <c r="B14" s="125">
        <v>0.160754874999995</v>
      </c>
      <c r="C14" s="125">
        <v>0.119844125</v>
      </c>
      <c r="D14" s="48"/>
      <c r="E14" s="48"/>
      <c r="F14" s="48"/>
      <c r="G14" s="63"/>
      <c r="H14" s="63"/>
      <c r="I14" s="80" t="s">
        <v>79</v>
      </c>
      <c r="J14" s="67">
        <v>0.05</v>
      </c>
      <c r="K14" s="68">
        <f>J14</f>
        <v>0.05</v>
      </c>
      <c r="L14" s="44"/>
      <c r="M14" s="44"/>
      <c r="N14" s="66"/>
      <c r="O14" s="44"/>
      <c r="P14" s="41" t="s">
        <v>66</v>
      </c>
      <c r="Q14" s="41">
        <v>2.0289500373160397E-2</v>
      </c>
      <c r="R14" s="41"/>
      <c r="T14" s="41" t="s">
        <v>66</v>
      </c>
      <c r="U14" s="41">
        <v>3.8256713930981845E-2</v>
      </c>
      <c r="V14" s="41"/>
    </row>
    <row r="15" spans="1:22" ht="17.25" customHeight="1" thickBot="1">
      <c r="A15" s="53">
        <v>4</v>
      </c>
      <c r="B15" s="125">
        <v>0.12922462499999199</v>
      </c>
      <c r="C15" s="125">
        <v>0.20359312499998339</v>
      </c>
      <c r="D15" s="48"/>
      <c r="E15" s="48"/>
      <c r="F15" s="48"/>
      <c r="G15" s="63"/>
      <c r="H15" s="63"/>
      <c r="I15" s="63"/>
      <c r="J15" s="63"/>
      <c r="K15" s="44"/>
      <c r="L15" s="44"/>
      <c r="M15" s="44"/>
      <c r="N15" s="44"/>
      <c r="O15" s="44"/>
      <c r="P15" s="42" t="s">
        <v>67</v>
      </c>
      <c r="Q15" s="42">
        <v>2.0738730679040258</v>
      </c>
      <c r="R15" s="42"/>
      <c r="T15" s="42" t="s">
        <v>67</v>
      </c>
      <c r="U15" s="42">
        <v>2.3646242515927849</v>
      </c>
      <c r="V15" s="42"/>
    </row>
    <row r="16" spans="1:22" ht="17.25" customHeight="1">
      <c r="A16" s="53">
        <v>5</v>
      </c>
      <c r="B16" s="125">
        <v>7.95522499999919E-2</v>
      </c>
      <c r="C16" s="125">
        <v>4.03405000000134E-2</v>
      </c>
      <c r="D16" s="48"/>
      <c r="E16" s="48"/>
      <c r="F16" s="48"/>
      <c r="G16" s="63"/>
      <c r="H16" s="63"/>
      <c r="I16" s="71" t="s">
        <v>73</v>
      </c>
      <c r="J16" s="72">
        <f>_xlfn.T.INV.2T(J14,J13)</f>
        <v>2.0322445093177191</v>
      </c>
      <c r="K16" s="73"/>
      <c r="L16" s="62">
        <f>-J16</f>
        <v>-2.0322445093177191</v>
      </c>
      <c r="M16" s="44"/>
      <c r="N16" s="74">
        <f>J16</f>
        <v>2.0322445093177191</v>
      </c>
      <c r="O16" s="44"/>
    </row>
    <row r="17" spans="1:19" ht="17.25" customHeight="1" thickBot="1">
      <c r="A17" s="53">
        <v>6</v>
      </c>
      <c r="B17" s="34">
        <v>0.185793249999989</v>
      </c>
      <c r="C17" s="34">
        <v>8.4281625000016902E-2</v>
      </c>
      <c r="D17" s="48"/>
      <c r="E17" s="48"/>
      <c r="F17" s="48"/>
      <c r="G17" s="63"/>
      <c r="H17" s="63"/>
      <c r="I17" s="63" t="s">
        <v>80</v>
      </c>
      <c r="J17" s="72">
        <f>_xlfn.T.DIST.2T(J10,J13)</f>
        <v>0.46932200077733011</v>
      </c>
      <c r="K17" s="44"/>
      <c r="L17" s="44"/>
      <c r="M17" s="44"/>
      <c r="N17" s="44"/>
      <c r="O17" s="44"/>
    </row>
    <row r="18" spans="1:19" ht="17.25" customHeight="1">
      <c r="A18" s="53">
        <v>1</v>
      </c>
      <c r="B18" s="30">
        <v>0.25278412500000502</v>
      </c>
      <c r="C18" s="30">
        <v>0.18031950000001001</v>
      </c>
      <c r="D18" s="48"/>
      <c r="E18" s="48"/>
      <c r="F18" s="48"/>
      <c r="G18" s="44"/>
      <c r="H18" s="75"/>
      <c r="I18" s="44"/>
      <c r="J18" s="44"/>
      <c r="K18" s="44"/>
      <c r="L18" s="44"/>
      <c r="M18" s="44"/>
      <c r="N18" s="44"/>
      <c r="O18" s="44"/>
    </row>
    <row r="19" spans="1:19" ht="17.25" customHeight="1">
      <c r="A19" s="53">
        <v>2</v>
      </c>
      <c r="B19" s="125">
        <v>0.36320687500000298</v>
      </c>
      <c r="C19" s="125">
        <v>0.21498525000001201</v>
      </c>
      <c r="D19" s="48"/>
      <c r="E19" s="48"/>
      <c r="F19" s="48"/>
      <c r="G19" s="57" t="s">
        <v>81</v>
      </c>
      <c r="H19" s="76" t="s">
        <v>116</v>
      </c>
      <c r="I19" s="44"/>
      <c r="J19" s="44"/>
      <c r="K19" s="44"/>
      <c r="L19" s="44"/>
      <c r="M19" s="44"/>
      <c r="N19" s="44"/>
      <c r="O19" s="44"/>
    </row>
    <row r="20" spans="1:19" ht="17.25" customHeight="1">
      <c r="A20" s="53">
        <v>3</v>
      </c>
      <c r="B20" s="125">
        <v>0.34248062500000698</v>
      </c>
      <c r="C20" s="125">
        <v>0.14330725000002101</v>
      </c>
      <c r="D20" s="48"/>
      <c r="E20" s="48"/>
      <c r="F20" s="48"/>
      <c r="G20" s="57"/>
      <c r="H20" s="44"/>
      <c r="I20" s="44"/>
      <c r="J20" s="44"/>
      <c r="K20" s="44"/>
      <c r="L20" s="44"/>
      <c r="M20" s="44"/>
      <c r="N20" s="44"/>
      <c r="O20" s="85"/>
      <c r="P20" s="148"/>
      <c r="Q20" s="148"/>
      <c r="R20" s="148"/>
      <c r="S20" s="149"/>
    </row>
    <row r="21" spans="1:19" ht="17.25" customHeight="1">
      <c r="A21" s="53">
        <v>4</v>
      </c>
      <c r="B21" s="125">
        <v>0.37836687499996902</v>
      </c>
      <c r="C21" s="125">
        <v>8.4050874999988395E-2</v>
      </c>
      <c r="D21" s="48"/>
      <c r="E21" s="48"/>
      <c r="F21" s="48"/>
      <c r="G21" s="77"/>
      <c r="H21" s="44"/>
      <c r="I21" s="44"/>
      <c r="J21" s="44"/>
      <c r="K21" s="44"/>
      <c r="L21" s="44"/>
      <c r="M21" s="44"/>
      <c r="N21" s="44"/>
      <c r="O21" s="85"/>
      <c r="P21" s="148"/>
      <c r="Q21" s="148"/>
      <c r="R21" s="148"/>
      <c r="S21" s="149"/>
    </row>
    <row r="22" spans="1:19" ht="17.25" customHeight="1">
      <c r="A22" s="53">
        <v>5</v>
      </c>
      <c r="B22" s="125">
        <v>7.4294624999993203E-2</v>
      </c>
      <c r="C22" s="125">
        <v>0.11998312499999</v>
      </c>
      <c r="D22" s="48"/>
      <c r="E22" s="44"/>
      <c r="F22" s="48"/>
      <c r="G22" s="44"/>
      <c r="H22" s="44"/>
      <c r="I22" s="44"/>
      <c r="J22" s="44"/>
      <c r="K22" s="44"/>
      <c r="L22" s="44"/>
      <c r="M22" s="44"/>
      <c r="N22" s="44"/>
      <c r="O22" s="85"/>
      <c r="P22" s="150"/>
      <c r="Q22" s="150"/>
      <c r="R22" s="150"/>
      <c r="S22" s="149"/>
    </row>
    <row r="23" spans="1:19" ht="17.25" customHeight="1" thickBot="1">
      <c r="A23" s="53">
        <v>6</v>
      </c>
      <c r="B23" s="34">
        <v>0.26540775000000799</v>
      </c>
      <c r="C23" s="34">
        <v>0.171563500000005</v>
      </c>
      <c r="D23" s="48"/>
      <c r="E23" s="44"/>
      <c r="F23" s="44"/>
      <c r="G23" s="44"/>
      <c r="H23" s="44"/>
      <c r="I23" s="78"/>
      <c r="J23" s="79"/>
      <c r="K23" s="44"/>
      <c r="L23" s="44"/>
      <c r="M23" s="44"/>
      <c r="N23" s="44"/>
      <c r="O23" s="85"/>
      <c r="P23" s="41"/>
      <c r="Q23" s="41"/>
      <c r="R23" s="41"/>
      <c r="S23" s="149"/>
    </row>
    <row r="24" spans="1:19" ht="17.25" customHeight="1">
      <c r="A24" s="85"/>
      <c r="B24" s="92"/>
      <c r="C24" s="92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85"/>
      <c r="P24" s="41"/>
      <c r="Q24" s="41"/>
      <c r="R24" s="41"/>
      <c r="S24" s="149"/>
    </row>
    <row r="25" spans="1:19" ht="17.25" customHeight="1">
      <c r="A25" s="44"/>
      <c r="B25" s="92"/>
      <c r="C25" s="92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85"/>
      <c r="P25" s="41"/>
      <c r="Q25" s="41"/>
      <c r="R25" s="41"/>
      <c r="S25" s="149"/>
    </row>
    <row r="26" spans="1:19" ht="17.25" customHeight="1">
      <c r="A26" s="44"/>
      <c r="B26" s="92"/>
      <c r="C26" s="92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85"/>
      <c r="P26" s="41"/>
      <c r="Q26" s="41"/>
      <c r="R26" s="41"/>
      <c r="S26" s="149"/>
    </row>
    <row r="27" spans="1:19" ht="17.25" customHeight="1">
      <c r="A27" s="44"/>
      <c r="B27" s="92"/>
      <c r="C27" s="92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85"/>
      <c r="P27" s="41"/>
      <c r="Q27" s="41"/>
      <c r="R27" s="41"/>
      <c r="S27" s="149"/>
    </row>
    <row r="28" spans="1:19" ht="17.25" customHeight="1">
      <c r="A28" s="44"/>
      <c r="B28" s="92"/>
      <c r="C28" s="92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85"/>
      <c r="P28" s="41"/>
      <c r="Q28" s="41"/>
      <c r="R28" s="41"/>
      <c r="S28" s="149"/>
    </row>
    <row r="29" spans="1:19" ht="17.25" customHeight="1">
      <c r="A29" s="44"/>
      <c r="B29" s="92"/>
      <c r="C29" s="92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85"/>
      <c r="P29" s="41"/>
      <c r="Q29" s="41"/>
      <c r="R29" s="41"/>
      <c r="S29" s="149"/>
    </row>
    <row r="30" spans="1:19" ht="17.25" customHeight="1">
      <c r="A30" s="44"/>
      <c r="B30" s="92"/>
      <c r="C30" s="92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85"/>
      <c r="P30" s="41"/>
      <c r="Q30" s="41"/>
      <c r="R30" s="41"/>
      <c r="S30" s="149"/>
    </row>
    <row r="31" spans="1:19" ht="17.25" customHeight="1">
      <c r="A31" s="44"/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85"/>
      <c r="P31" s="41"/>
      <c r="Q31" s="41"/>
      <c r="R31" s="41"/>
      <c r="S31" s="149"/>
    </row>
    <row r="32" spans="1:19" ht="17.25" customHeight="1">
      <c r="A32" s="44"/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85"/>
      <c r="P32" s="41"/>
      <c r="Q32" s="41"/>
      <c r="R32" s="41"/>
      <c r="S32" s="149"/>
    </row>
    <row r="33" spans="1:19" ht="17.25" customHeight="1">
      <c r="A33" s="44"/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85"/>
      <c r="P33" s="41"/>
      <c r="Q33" s="41"/>
      <c r="R33" s="41"/>
      <c r="S33" s="149"/>
    </row>
    <row r="34" spans="1:19" ht="17.25" customHeight="1">
      <c r="A34" s="44"/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85"/>
      <c r="P34" s="149"/>
      <c r="Q34" s="149"/>
      <c r="R34" s="149"/>
      <c r="S34" s="149"/>
    </row>
    <row r="35" spans="1:19" ht="17.25" customHeight="1">
      <c r="A35" s="44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</row>
    <row r="36" spans="1:19" ht="17.25" customHeight="1">
      <c r="A36" s="44"/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</row>
    <row r="37" spans="1:19" ht="17.25" customHeight="1">
      <c r="A37" s="44"/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</row>
    <row r="38" spans="1:19" ht="17.25" customHeight="1">
      <c r="A38" s="44"/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</row>
    <row r="39" spans="1:19" ht="17.25" customHeight="1">
      <c r="A39" s="44"/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</row>
    <row r="40" spans="1:19" ht="17.25" customHeight="1">
      <c r="A40" s="44"/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</row>
    <row r="41" spans="1:19" ht="17.25" customHeight="1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</row>
    <row r="42" spans="1:19" ht="17.25" customHeight="1">
      <c r="A42" s="44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</row>
    <row r="43" spans="1:19" ht="17.25" customHeight="1">
      <c r="A43" s="44"/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</row>
    <row r="44" spans="1:19" ht="17.25" customHeight="1">
      <c r="A44" s="44"/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</row>
    <row r="45" spans="1:19" ht="17.25" customHeight="1">
      <c r="A45" s="44"/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</row>
    <row r="46" spans="1:19" ht="17.25" customHeight="1">
      <c r="A46" s="44"/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</row>
    <row r="47" spans="1:19" ht="17.25" customHeight="1">
      <c r="A47" s="44"/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</row>
    <row r="48" spans="1:19" ht="17.25" customHeight="1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</row>
    <row r="49" spans="1:15" ht="17.25" customHeight="1">
      <c r="A49" s="44"/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</row>
    <row r="50" spans="1:15" ht="17.25" customHeight="1">
      <c r="A50" s="44"/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</row>
    <row r="51" spans="1:15" ht="17.25" customHeight="1">
      <c r="A51" s="44"/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</row>
    <row r="52" spans="1:15" ht="17.25" customHeight="1">
      <c r="A52" s="44"/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</row>
    <row r="53" spans="1:15" ht="17.25" customHeight="1">
      <c r="A53" s="44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</row>
    <row r="54" spans="1:15" ht="17.25" customHeight="1">
      <c r="A54" s="44"/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</row>
    <row r="55" spans="1:15" ht="17.25" customHeight="1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</row>
    <row r="56" spans="1:15" ht="17.25" customHeight="1">
      <c r="A56" s="44"/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</row>
    <row r="57" spans="1:15" ht="17.25" customHeight="1">
      <c r="A57" s="44"/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</row>
    <row r="58" spans="1:15" ht="17.25" customHeight="1">
      <c r="A58" s="44"/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</row>
    <row r="59" spans="1:15" ht="17.25" customHeight="1">
      <c r="A59" s="44"/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</row>
    <row r="60" spans="1:15" ht="17.25" customHeight="1">
      <c r="A60" s="44"/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</row>
    <row r="61" spans="1:15" ht="17.25" customHeight="1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</row>
    <row r="62" spans="1:15" ht="17.25" customHeight="1">
      <c r="A62" s="44"/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</row>
    <row r="63" spans="1:15" ht="17.25" customHeight="1">
      <c r="A63" s="44"/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</row>
    <row r="64" spans="1:15" ht="17.25" customHeight="1">
      <c r="A64" s="44"/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</row>
    <row r="65" spans="1:15" ht="17.25" customHeight="1">
      <c r="A65" s="44"/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</row>
    <row r="66" spans="1:15" ht="17.25" customHeight="1">
      <c r="A66" s="44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</row>
    <row r="67" spans="1:15" ht="17.25" customHeight="1">
      <c r="A67" s="44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</row>
    <row r="68" spans="1:15" ht="17.25" customHeight="1">
      <c r="A68" s="44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</row>
    <row r="69" spans="1:15" ht="17.25" customHeight="1">
      <c r="A69" s="44"/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</row>
    <row r="70" spans="1:15" ht="17.25" customHeight="1">
      <c r="A70" s="44"/>
      <c r="B70" s="44"/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</row>
    <row r="71" spans="1:15" ht="17.25" customHeight="1">
      <c r="A71" s="44"/>
      <c r="B71" s="44"/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</row>
    <row r="72" spans="1:15" ht="17.25" customHeight="1">
      <c r="A72" s="44"/>
      <c r="B72" s="44"/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</row>
    <row r="73" spans="1:15" ht="17.25" customHeight="1">
      <c r="A73" s="44"/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</row>
    <row r="74" spans="1:15" ht="17.25" customHeight="1">
      <c r="A74" s="44"/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</row>
    <row r="75" spans="1:15" ht="17.25" customHeight="1">
      <c r="A75" s="44"/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</row>
    <row r="76" spans="1:15" ht="17.25" customHeight="1">
      <c r="A76" s="44"/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</row>
    <row r="77" spans="1:15" ht="17.25" customHeight="1">
      <c r="A77" s="44"/>
      <c r="B77" s="44"/>
      <c r="C77" s="44"/>
      <c r="D77" s="44"/>
      <c r="E77" s="44"/>
      <c r="F77" s="44"/>
      <c r="G77" s="44"/>
      <c r="H77" s="44"/>
      <c r="I77" s="44"/>
      <c r="J77" s="44"/>
      <c r="K77" s="44"/>
      <c r="L77" s="44"/>
      <c r="M77" s="44"/>
      <c r="N77" s="44"/>
      <c r="O77" s="44"/>
    </row>
    <row r="78" spans="1:15" ht="17.25" customHeight="1">
      <c r="A78" s="44"/>
      <c r="B78" s="44"/>
      <c r="C78" s="44"/>
      <c r="D78" s="44"/>
      <c r="E78" s="44"/>
      <c r="F78" s="44"/>
      <c r="G78" s="44"/>
      <c r="H78" s="44"/>
      <c r="I78" s="44"/>
      <c r="J78" s="44"/>
      <c r="K78" s="44"/>
      <c r="L78" s="44"/>
      <c r="M78" s="44"/>
      <c r="N78" s="44"/>
      <c r="O78" s="44"/>
    </row>
    <row r="79" spans="1:15" ht="17.25" customHeight="1">
      <c r="A79" s="44"/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</row>
    <row r="80" spans="1:15" ht="17.25" customHeight="1">
      <c r="A80" s="44"/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</row>
    <row r="81" spans="1:15" ht="17.25" customHeight="1">
      <c r="A81" s="44"/>
      <c r="B81" s="44"/>
      <c r="C81" s="44"/>
      <c r="D81" s="44"/>
      <c r="E81" s="44"/>
      <c r="F81" s="44"/>
      <c r="G81" s="44"/>
      <c r="H81" s="44"/>
      <c r="I81" s="44"/>
      <c r="J81" s="44"/>
      <c r="K81" s="44"/>
      <c r="L81" s="44"/>
      <c r="M81" s="44"/>
      <c r="N81" s="44"/>
      <c r="O81" s="44"/>
    </row>
    <row r="82" spans="1:15" ht="17.25" customHeight="1">
      <c r="A82" s="44"/>
      <c r="B82" s="44"/>
      <c r="C82" s="44"/>
      <c r="D82" s="44"/>
      <c r="E82" s="44"/>
      <c r="F82" s="44"/>
      <c r="G82" s="44"/>
      <c r="H82" s="44"/>
      <c r="I82" s="44"/>
      <c r="J82" s="44"/>
      <c r="K82" s="44"/>
      <c r="L82" s="44"/>
      <c r="M82" s="44"/>
      <c r="N82" s="44"/>
      <c r="O82" s="44"/>
    </row>
    <row r="83" spans="1:15" ht="17.25" customHeight="1">
      <c r="A83" s="44"/>
      <c r="B83" s="44"/>
      <c r="C83" s="44"/>
      <c r="D83" s="44"/>
      <c r="E83" s="44"/>
      <c r="F83" s="44"/>
      <c r="G83" s="44"/>
      <c r="H83" s="44"/>
      <c r="I83" s="44"/>
      <c r="J83" s="44"/>
      <c r="K83" s="44"/>
      <c r="L83" s="44"/>
      <c r="M83" s="44"/>
      <c r="N83" s="44"/>
      <c r="O83" s="44"/>
    </row>
    <row r="84" spans="1:15" ht="17.25" customHeight="1">
      <c r="A84" s="44"/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M84" s="44"/>
      <c r="N84" s="44"/>
      <c r="O84" s="44"/>
    </row>
    <row r="85" spans="1:15" ht="17.25" customHeight="1">
      <c r="A85" s="44"/>
      <c r="B85" s="44"/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</row>
    <row r="86" spans="1:15" ht="17.25" customHeight="1">
      <c r="A86" s="44"/>
      <c r="B86" s="44"/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</row>
    <row r="87" spans="1:15" ht="17.25" customHeight="1">
      <c r="A87" s="44"/>
      <c r="B87" s="44"/>
      <c r="C87" s="44"/>
      <c r="D87" s="44"/>
      <c r="E87" s="44"/>
      <c r="F87" s="44"/>
      <c r="G87" s="44"/>
      <c r="H87" s="44"/>
      <c r="I87" s="44"/>
      <c r="J87" s="44"/>
      <c r="K87" s="44"/>
      <c r="L87" s="44"/>
      <c r="M87" s="44"/>
      <c r="N87" s="44"/>
      <c r="O87" s="44"/>
    </row>
    <row r="88" spans="1:15" ht="17.25" customHeight="1">
      <c r="A88" s="44"/>
      <c r="B88" s="44"/>
      <c r="C88" s="44"/>
      <c r="D88" s="44"/>
      <c r="E88" s="44"/>
      <c r="F88" s="44"/>
      <c r="G88" s="44"/>
      <c r="H88" s="44"/>
      <c r="I88" s="44"/>
      <c r="J88" s="44"/>
      <c r="K88" s="44"/>
      <c r="L88" s="44"/>
      <c r="M88" s="44"/>
      <c r="N88" s="44"/>
      <c r="O88" s="44"/>
    </row>
    <row r="89" spans="1:15" ht="17.25" customHeight="1">
      <c r="A89" s="44"/>
      <c r="B89" s="44"/>
      <c r="C89" s="44"/>
      <c r="D89" s="44"/>
      <c r="E89" s="44"/>
      <c r="F89" s="44"/>
      <c r="G89" s="44"/>
      <c r="H89" s="44"/>
      <c r="I89" s="44"/>
      <c r="J89" s="44"/>
      <c r="K89" s="44"/>
      <c r="L89" s="44"/>
      <c r="M89" s="44"/>
      <c r="N89" s="44"/>
      <c r="O89" s="44"/>
    </row>
    <row r="90" spans="1:15" ht="17.25" customHeight="1">
      <c r="A90" s="44"/>
      <c r="B90" s="44"/>
      <c r="C90" s="44"/>
      <c r="D90" s="44"/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44"/>
    </row>
    <row r="91" spans="1:15" ht="17.25" customHeight="1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</row>
    <row r="92" spans="1:15" ht="17.25" customHeight="1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</row>
    <row r="93" spans="1:15" ht="17.25" customHeight="1">
      <c r="A93" s="44"/>
      <c r="B93" s="44"/>
      <c r="C93" s="44"/>
      <c r="D93" s="44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</row>
    <row r="94" spans="1:15" ht="17.25" customHeight="1">
      <c r="A94" s="44"/>
      <c r="B94" s="44"/>
      <c r="C94" s="44"/>
      <c r="D94" s="44"/>
      <c r="E94" s="44"/>
      <c r="F94" s="44"/>
      <c r="G94" s="44"/>
      <c r="H94" s="44"/>
      <c r="I94" s="44"/>
      <c r="J94" s="44"/>
      <c r="K94" s="44"/>
      <c r="L94" s="44"/>
      <c r="M94" s="44"/>
      <c r="N94" s="44"/>
      <c r="O94" s="44"/>
    </row>
    <row r="95" spans="1:15" ht="17.25" customHeight="1">
      <c r="A95" s="44"/>
      <c r="B95" s="44"/>
      <c r="C95" s="44"/>
      <c r="D95" s="44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</row>
    <row r="96" spans="1:15" ht="17.25" customHeight="1">
      <c r="A96" s="44"/>
      <c r="B96" s="44"/>
      <c r="C96" s="44"/>
      <c r="D96" s="44"/>
      <c r="E96" s="44"/>
      <c r="F96" s="44"/>
      <c r="G96" s="44"/>
      <c r="H96" s="44"/>
      <c r="I96" s="44"/>
      <c r="J96" s="44"/>
      <c r="K96" s="44"/>
      <c r="L96" s="44"/>
      <c r="M96" s="44"/>
      <c r="N96" s="44"/>
      <c r="O96" s="44"/>
    </row>
    <row r="97" spans="1:15" ht="17.25" customHeight="1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</row>
    <row r="98" spans="1:15" ht="17.25" customHeight="1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</row>
    <row r="99" spans="1:15" ht="17.25" customHeight="1">
      <c r="A99" s="44"/>
      <c r="B99" s="44"/>
      <c r="C99" s="44"/>
      <c r="D99" s="44"/>
      <c r="E99" s="44"/>
      <c r="F99" s="44"/>
      <c r="G99" s="44"/>
      <c r="H99" s="44"/>
      <c r="I99" s="44"/>
      <c r="J99" s="44"/>
      <c r="K99" s="44"/>
      <c r="L99" s="44"/>
      <c r="M99" s="44"/>
      <c r="N99" s="44"/>
      <c r="O99" s="44"/>
    </row>
    <row r="100" spans="1:15" ht="17.25" customHeight="1">
      <c r="A100" s="44"/>
      <c r="B100" s="44"/>
      <c r="C100" s="44"/>
      <c r="D100" s="44"/>
      <c r="E100" s="44"/>
      <c r="F100" s="44"/>
      <c r="G100" s="44"/>
      <c r="H100" s="44"/>
      <c r="I100" s="44"/>
      <c r="J100" s="44"/>
      <c r="K100" s="44"/>
      <c r="L100" s="44"/>
      <c r="M100" s="44"/>
      <c r="N100" s="44"/>
      <c r="O100" s="44"/>
    </row>
    <row r="101" spans="1:15" ht="17.25" customHeight="1">
      <c r="A101" s="44"/>
      <c r="B101" s="44"/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44"/>
    </row>
    <row r="102" spans="1:15" ht="17.25" customHeight="1">
      <c r="A102" s="44"/>
      <c r="B102" s="44"/>
      <c r="C102" s="44"/>
      <c r="D102" s="44"/>
      <c r="E102" s="44"/>
      <c r="F102" s="44"/>
      <c r="G102" s="44"/>
      <c r="H102" s="44"/>
      <c r="I102" s="44"/>
      <c r="J102" s="44"/>
      <c r="K102" s="44"/>
      <c r="L102" s="44"/>
      <c r="M102" s="44"/>
      <c r="N102" s="44"/>
      <c r="O102" s="44"/>
    </row>
    <row r="103" spans="1:15" ht="17.25" customHeight="1">
      <c r="A103" s="44"/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</row>
    <row r="104" spans="1:15" ht="17.25" customHeight="1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</row>
    <row r="105" spans="1:15" ht="17.25" customHeight="1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</row>
    <row r="106" spans="1:15" ht="17.25" customHeight="1">
      <c r="A106" s="44"/>
      <c r="B106" s="44"/>
      <c r="C106" s="44"/>
      <c r="D106" s="44"/>
      <c r="E106" s="44"/>
      <c r="F106" s="44"/>
      <c r="G106" s="44"/>
      <c r="H106" s="44"/>
      <c r="I106" s="44"/>
      <c r="J106" s="44"/>
      <c r="K106" s="44"/>
      <c r="L106" s="44"/>
      <c r="M106" s="44"/>
      <c r="N106" s="44"/>
      <c r="O106" s="44"/>
    </row>
    <row r="107" spans="1:15" ht="17.25" customHeight="1">
      <c r="A107" s="44"/>
      <c r="B107" s="44"/>
      <c r="C107" s="44"/>
      <c r="D107" s="44"/>
      <c r="E107" s="44"/>
      <c r="F107" s="44"/>
      <c r="G107" s="44"/>
      <c r="H107" s="44"/>
      <c r="I107" s="44"/>
      <c r="J107" s="44"/>
      <c r="K107" s="44"/>
      <c r="L107" s="44"/>
      <c r="M107" s="44"/>
      <c r="N107" s="44"/>
      <c r="O107" s="44"/>
    </row>
    <row r="108" spans="1:15" ht="17.25" customHeight="1">
      <c r="A108" s="44"/>
      <c r="B108" s="44"/>
      <c r="C108" s="44"/>
      <c r="D108" s="44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</row>
    <row r="109" spans="1:15" ht="17.25" customHeight="1">
      <c r="A109" s="44"/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  <c r="N109" s="44"/>
      <c r="O109" s="44"/>
    </row>
    <row r="110" spans="1:15" ht="17.25" customHeight="1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</row>
    <row r="111" spans="1:15" ht="17.25" customHeight="1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</row>
    <row r="112" spans="1:15" ht="17.25" customHeight="1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</row>
    <row r="113" spans="1:15" ht="17.25" customHeight="1">
      <c r="A113" s="44"/>
      <c r="B113" s="44"/>
      <c r="C113" s="44"/>
      <c r="D113" s="44"/>
      <c r="E113" s="44"/>
      <c r="F113" s="44"/>
      <c r="G113" s="44"/>
      <c r="H113" s="44"/>
      <c r="I113" s="44"/>
      <c r="J113" s="44"/>
      <c r="K113" s="44"/>
      <c r="L113" s="44"/>
      <c r="M113" s="44"/>
      <c r="N113" s="44"/>
      <c r="O113" s="44"/>
    </row>
    <row r="114" spans="1:15" ht="17.25" customHeight="1">
      <c r="A114" s="44"/>
      <c r="B114" s="44"/>
      <c r="C114" s="44"/>
      <c r="D114" s="44"/>
      <c r="E114" s="44"/>
      <c r="F114" s="44"/>
      <c r="G114" s="44"/>
      <c r="H114" s="44"/>
      <c r="I114" s="44"/>
      <c r="J114" s="44"/>
      <c r="K114" s="44"/>
      <c r="L114" s="44"/>
      <c r="M114" s="44"/>
      <c r="N114" s="44"/>
      <c r="O114" s="44"/>
    </row>
    <row r="115" spans="1:15" ht="17.25" customHeight="1">
      <c r="A115" s="44"/>
      <c r="B115" s="44"/>
      <c r="C115" s="44"/>
      <c r="D115" s="44"/>
      <c r="E115" s="44"/>
      <c r="F115" s="44"/>
      <c r="G115" s="44"/>
      <c r="H115" s="44"/>
      <c r="I115" s="44"/>
      <c r="J115" s="44"/>
      <c r="K115" s="44"/>
      <c r="L115" s="44"/>
      <c r="M115" s="44"/>
      <c r="N115" s="44"/>
      <c r="O115" s="44"/>
    </row>
    <row r="116" spans="1:15" ht="17.25" customHeight="1">
      <c r="A116" s="44"/>
      <c r="B116" s="44"/>
      <c r="C116" s="44"/>
      <c r="D116" s="44"/>
      <c r="E116" s="44"/>
      <c r="F116" s="44"/>
      <c r="G116" s="44"/>
      <c r="H116" s="44"/>
      <c r="I116" s="44"/>
      <c r="J116" s="44"/>
      <c r="K116" s="44"/>
      <c r="L116" s="44"/>
      <c r="M116" s="44"/>
      <c r="N116" s="44"/>
      <c r="O116" s="44"/>
    </row>
    <row r="117" spans="1:15" ht="17.25" customHeight="1">
      <c r="A117" s="44"/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</row>
    <row r="118" spans="1:15" ht="17.25" customHeight="1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</row>
    <row r="119" spans="1:15" ht="17.25" customHeight="1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</row>
    <row r="120" spans="1:15" ht="17.25" customHeight="1">
      <c r="A120" s="44"/>
      <c r="B120" s="44"/>
      <c r="C120" s="44"/>
      <c r="D120" s="44"/>
      <c r="E120" s="44"/>
      <c r="F120" s="44"/>
      <c r="G120" s="44"/>
      <c r="H120" s="44"/>
      <c r="I120" s="44"/>
      <c r="J120" s="44"/>
      <c r="K120" s="44"/>
      <c r="L120" s="44"/>
      <c r="M120" s="44"/>
      <c r="N120" s="44"/>
      <c r="O120" s="44"/>
    </row>
    <row r="121" spans="1:15" ht="17.25" customHeight="1">
      <c r="A121" s="44"/>
      <c r="B121" s="44"/>
      <c r="C121" s="44"/>
      <c r="D121" s="44"/>
      <c r="E121" s="44"/>
      <c r="F121" s="44"/>
      <c r="G121" s="44"/>
      <c r="H121" s="44"/>
      <c r="I121" s="44"/>
      <c r="J121" s="44"/>
      <c r="K121" s="44"/>
      <c r="L121" s="44"/>
      <c r="M121" s="44"/>
      <c r="N121" s="44"/>
      <c r="O121" s="44"/>
    </row>
    <row r="122" spans="1:15" ht="17.25" customHeight="1">
      <c r="A122" s="44"/>
      <c r="B122" s="44"/>
      <c r="C122" s="44"/>
      <c r="D122" s="44"/>
      <c r="E122" s="44"/>
      <c r="F122" s="44"/>
      <c r="G122" s="44"/>
      <c r="H122" s="44"/>
      <c r="I122" s="44"/>
      <c r="J122" s="44"/>
      <c r="K122" s="44"/>
      <c r="L122" s="44"/>
      <c r="M122" s="44"/>
      <c r="N122" s="44"/>
      <c r="O122" s="44"/>
    </row>
    <row r="123" spans="1:15" ht="17.25" customHeight="1">
      <c r="A123" s="44"/>
      <c r="B123" s="44"/>
      <c r="C123" s="44"/>
      <c r="D123" s="44"/>
      <c r="E123" s="44"/>
      <c r="F123" s="44"/>
      <c r="G123" s="44"/>
      <c r="H123" s="44"/>
      <c r="I123" s="44"/>
      <c r="J123" s="44"/>
      <c r="K123" s="44"/>
      <c r="L123" s="44"/>
      <c r="M123" s="44"/>
      <c r="N123" s="44"/>
      <c r="O123" s="44"/>
    </row>
    <row r="124" spans="1:15" ht="17.25" customHeight="1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</row>
    <row r="125" spans="1:15" ht="17.25" customHeight="1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</row>
    <row r="126" spans="1:15" ht="17.25" customHeight="1">
      <c r="A126" s="44"/>
      <c r="B126" s="44"/>
      <c r="C126" s="44"/>
      <c r="D126" s="44"/>
      <c r="E126" s="44"/>
      <c r="F126" s="44"/>
      <c r="G126" s="44"/>
      <c r="H126" s="44"/>
      <c r="I126" s="44"/>
      <c r="J126" s="44"/>
      <c r="K126" s="44"/>
      <c r="L126" s="44"/>
      <c r="M126" s="44"/>
      <c r="N126" s="44"/>
      <c r="O126" s="44"/>
    </row>
    <row r="127" spans="1:15" ht="17.25" customHeight="1">
      <c r="A127" s="44"/>
      <c r="B127" s="44"/>
      <c r="C127" s="44"/>
      <c r="D127" s="44"/>
      <c r="E127" s="44"/>
      <c r="F127" s="44"/>
      <c r="G127" s="44"/>
      <c r="H127" s="44"/>
      <c r="I127" s="44"/>
      <c r="J127" s="44"/>
      <c r="K127" s="44"/>
      <c r="L127" s="44"/>
      <c r="M127" s="44"/>
      <c r="N127" s="44"/>
      <c r="O127" s="44"/>
    </row>
    <row r="128" spans="1:15" ht="17.25" customHeight="1">
      <c r="A128" s="44"/>
      <c r="B128" s="44"/>
      <c r="C128" s="44"/>
      <c r="D128" s="44"/>
      <c r="E128" s="44"/>
      <c r="F128" s="44"/>
      <c r="G128" s="44"/>
      <c r="H128" s="44"/>
      <c r="I128" s="44"/>
      <c r="J128" s="44"/>
      <c r="K128" s="44"/>
      <c r="L128" s="44"/>
      <c r="M128" s="44"/>
      <c r="N128" s="44"/>
      <c r="O128" s="44"/>
    </row>
    <row r="129" spans="1:15" ht="17.25" customHeight="1">
      <c r="A129" s="44"/>
      <c r="B129" s="44"/>
      <c r="C129" s="44"/>
      <c r="D129" s="44"/>
      <c r="E129" s="44"/>
      <c r="F129" s="44"/>
      <c r="G129" s="44"/>
      <c r="H129" s="44"/>
      <c r="I129" s="44"/>
      <c r="J129" s="44"/>
      <c r="K129" s="44"/>
      <c r="L129" s="44"/>
      <c r="M129" s="44"/>
      <c r="N129" s="44"/>
      <c r="O129" s="44"/>
    </row>
    <row r="130" spans="1:15" ht="17.25" customHeight="1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</row>
    <row r="131" spans="1:15" ht="17.25" customHeight="1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</row>
    <row r="132" spans="1:15" ht="17.25" customHeight="1">
      <c r="A132" s="44"/>
      <c r="B132" s="44"/>
      <c r="C132" s="44"/>
      <c r="D132" s="44"/>
      <c r="E132" s="44"/>
      <c r="F132" s="44"/>
      <c r="G132" s="44"/>
      <c r="H132" s="44"/>
      <c r="I132" s="44"/>
      <c r="J132" s="44"/>
      <c r="K132" s="44"/>
      <c r="L132" s="44"/>
      <c r="M132" s="44"/>
      <c r="N132" s="44"/>
      <c r="O132" s="44"/>
    </row>
    <row r="133" spans="1:15" ht="17.25" customHeight="1">
      <c r="A133" s="44"/>
      <c r="B133" s="44"/>
      <c r="C133" s="44"/>
      <c r="D133" s="44"/>
      <c r="E133" s="44"/>
      <c r="F133" s="44"/>
      <c r="G133" s="44"/>
      <c r="H133" s="44"/>
      <c r="I133" s="44"/>
      <c r="J133" s="44"/>
      <c r="K133" s="44"/>
      <c r="L133" s="44"/>
      <c r="M133" s="44"/>
      <c r="N133" s="44"/>
      <c r="O133" s="44"/>
    </row>
    <row r="134" spans="1:15" ht="17.25" customHeight="1">
      <c r="A134" s="44"/>
      <c r="B134" s="44"/>
      <c r="C134" s="44"/>
      <c r="D134" s="44"/>
      <c r="E134" s="44"/>
      <c r="F134" s="44"/>
      <c r="G134" s="44"/>
      <c r="H134" s="44"/>
      <c r="I134" s="44"/>
      <c r="J134" s="44"/>
      <c r="K134" s="44"/>
      <c r="L134" s="44"/>
      <c r="M134" s="44"/>
      <c r="N134" s="44"/>
      <c r="O134" s="44"/>
    </row>
    <row r="135" spans="1:15" ht="17.25" customHeight="1">
      <c r="A135" s="44"/>
      <c r="B135" s="44"/>
      <c r="C135" s="44"/>
      <c r="D135" s="44"/>
      <c r="E135" s="44"/>
      <c r="F135" s="44"/>
      <c r="G135" s="44"/>
      <c r="H135" s="44"/>
      <c r="I135" s="44"/>
      <c r="J135" s="44"/>
      <c r="K135" s="44"/>
      <c r="L135" s="44"/>
      <c r="M135" s="44"/>
      <c r="N135" s="44"/>
      <c r="O135" s="44"/>
    </row>
    <row r="136" spans="1:15" ht="17.25" customHeight="1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</row>
    <row r="137" spans="1:15" ht="17.25" customHeight="1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</row>
    <row r="138" spans="1:15" ht="17.25" customHeight="1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</row>
    <row r="139" spans="1:15" ht="17.25" customHeight="1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</row>
    <row r="140" spans="1:15" ht="17.25" customHeight="1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</row>
    <row r="141" spans="1:15" ht="17.25" customHeight="1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</row>
    <row r="142" spans="1:15" ht="17.25" customHeight="1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</row>
    <row r="143" spans="1:15" ht="17.25" customHeight="1">
      <c r="A143" s="44"/>
      <c r="B143" s="44"/>
      <c r="C143" s="44"/>
      <c r="D143" s="44"/>
      <c r="E143" s="44"/>
      <c r="F143" s="44"/>
      <c r="G143" s="44"/>
      <c r="H143" s="44"/>
      <c r="I143" s="44"/>
      <c r="J143" s="44"/>
      <c r="K143" s="44"/>
      <c r="L143" s="44"/>
      <c r="M143" s="44"/>
      <c r="N143" s="44"/>
      <c r="O143" s="44"/>
    </row>
    <row r="144" spans="1:15" ht="17.25" customHeight="1">
      <c r="A144" s="44"/>
      <c r="B144" s="44"/>
      <c r="C144" s="44"/>
      <c r="D144" s="44"/>
      <c r="E144" s="44"/>
      <c r="F144" s="44"/>
      <c r="G144" s="44"/>
      <c r="H144" s="44"/>
      <c r="I144" s="44"/>
      <c r="J144" s="44"/>
      <c r="K144" s="44"/>
      <c r="L144" s="44"/>
      <c r="M144" s="44"/>
      <c r="N144" s="44"/>
      <c r="O144" s="44"/>
    </row>
    <row r="145" spans="1:15" ht="17.25" customHeight="1">
      <c r="A145" s="44"/>
      <c r="B145" s="44"/>
      <c r="C145" s="44"/>
      <c r="D145" s="44"/>
      <c r="E145" s="44"/>
      <c r="F145" s="44"/>
      <c r="G145" s="44"/>
      <c r="H145" s="44"/>
      <c r="I145" s="44"/>
      <c r="J145" s="44"/>
      <c r="K145" s="44"/>
      <c r="L145" s="44"/>
      <c r="M145" s="44"/>
      <c r="N145" s="44"/>
      <c r="O145" s="44"/>
    </row>
    <row r="146" spans="1:15" ht="17.25" customHeight="1">
      <c r="A146" s="44"/>
      <c r="B146" s="44"/>
      <c r="C146" s="44"/>
      <c r="D146" s="44"/>
      <c r="E146" s="44"/>
      <c r="F146" s="44"/>
      <c r="G146" s="44"/>
      <c r="H146" s="44"/>
      <c r="I146" s="44"/>
      <c r="J146" s="44"/>
      <c r="K146" s="44"/>
      <c r="L146" s="44"/>
      <c r="M146" s="44"/>
      <c r="N146" s="44"/>
      <c r="O146" s="44"/>
    </row>
    <row r="147" spans="1:15" ht="17.25" customHeight="1">
      <c r="A147" s="44"/>
      <c r="B147" s="44"/>
      <c r="C147" s="44"/>
      <c r="D147" s="44"/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44"/>
    </row>
    <row r="148" spans="1:15" ht="17.25" customHeight="1">
      <c r="A148" s="44"/>
      <c r="B148" s="44"/>
      <c r="C148" s="44"/>
      <c r="D148" s="44"/>
      <c r="E148" s="44"/>
      <c r="F148" s="44"/>
      <c r="G148" s="44"/>
      <c r="H148" s="44"/>
      <c r="I148" s="44"/>
      <c r="J148" s="44"/>
      <c r="K148" s="44"/>
      <c r="L148" s="44"/>
      <c r="M148" s="44"/>
      <c r="N148" s="44"/>
      <c r="O148" s="44"/>
    </row>
    <row r="149" spans="1:15" ht="17.25" customHeight="1">
      <c r="A149" s="44"/>
      <c r="B149" s="44"/>
      <c r="C149" s="44"/>
      <c r="D149" s="44"/>
      <c r="E149" s="44"/>
      <c r="F149" s="44"/>
      <c r="G149" s="44"/>
      <c r="H149" s="44"/>
      <c r="I149" s="44"/>
      <c r="J149" s="44"/>
      <c r="K149" s="44"/>
      <c r="L149" s="44"/>
      <c r="M149" s="44"/>
      <c r="N149" s="44"/>
      <c r="O149" s="44"/>
    </row>
    <row r="150" spans="1:15" ht="17.25" customHeight="1">
      <c r="A150" s="44"/>
      <c r="B150" s="44"/>
      <c r="C150" s="44"/>
      <c r="D150" s="44"/>
      <c r="E150" s="44"/>
      <c r="F150" s="44"/>
      <c r="G150" s="44"/>
      <c r="H150" s="44"/>
      <c r="I150" s="44"/>
      <c r="J150" s="44"/>
      <c r="K150" s="44"/>
      <c r="L150" s="44"/>
      <c r="M150" s="44"/>
      <c r="N150" s="44"/>
      <c r="O150" s="44"/>
    </row>
    <row r="151" spans="1:15" ht="17.25" customHeight="1">
      <c r="A151" s="44"/>
      <c r="B151" s="44"/>
      <c r="C151" s="44"/>
      <c r="D151" s="44"/>
      <c r="E151" s="44"/>
      <c r="F151" s="44"/>
      <c r="G151" s="44"/>
      <c r="H151" s="44"/>
      <c r="I151" s="44"/>
      <c r="J151" s="44"/>
      <c r="K151" s="44"/>
      <c r="L151" s="44"/>
      <c r="M151" s="44"/>
      <c r="N151" s="44"/>
      <c r="O151" s="44"/>
    </row>
    <row r="152" spans="1:15" ht="17.25" customHeight="1">
      <c r="A152" s="44"/>
      <c r="B152" s="44"/>
      <c r="C152" s="44"/>
      <c r="D152" s="44"/>
      <c r="E152" s="44"/>
      <c r="F152" s="44"/>
      <c r="G152" s="44"/>
      <c r="H152" s="44"/>
      <c r="I152" s="44"/>
      <c r="J152" s="44"/>
      <c r="K152" s="44"/>
      <c r="L152" s="44"/>
      <c r="M152" s="44"/>
      <c r="N152" s="44"/>
      <c r="O152" s="44"/>
    </row>
    <row r="153" spans="1:15" ht="17.25" customHeight="1">
      <c r="A153" s="44"/>
      <c r="B153" s="44"/>
      <c r="C153" s="44"/>
      <c r="D153" s="44"/>
      <c r="E153" s="44"/>
      <c r="F153" s="44"/>
      <c r="G153" s="44"/>
      <c r="H153" s="44"/>
      <c r="I153" s="44"/>
      <c r="J153" s="44"/>
      <c r="K153" s="44"/>
      <c r="L153" s="44"/>
      <c r="M153" s="44"/>
      <c r="N153" s="44"/>
      <c r="O153" s="44"/>
    </row>
    <row r="154" spans="1:15" ht="17.25" customHeight="1">
      <c r="A154" s="44"/>
      <c r="B154" s="44"/>
      <c r="C154" s="44"/>
      <c r="D154" s="44"/>
      <c r="E154" s="44"/>
      <c r="F154" s="44"/>
      <c r="G154" s="44"/>
      <c r="H154" s="44"/>
      <c r="I154" s="44"/>
      <c r="J154" s="44"/>
      <c r="K154" s="44"/>
      <c r="L154" s="44"/>
      <c r="M154" s="44"/>
      <c r="N154" s="44"/>
      <c r="O154" s="44"/>
    </row>
    <row r="155" spans="1:15" ht="17.25" customHeight="1">
      <c r="A155" s="44"/>
      <c r="B155" s="44"/>
      <c r="C155" s="44"/>
      <c r="D155" s="44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</row>
    <row r="156" spans="1:15" ht="17.25" customHeight="1">
      <c r="A156" s="44"/>
      <c r="B156" s="44"/>
      <c r="C156" s="44"/>
      <c r="D156" s="44"/>
      <c r="E156" s="44"/>
      <c r="F156" s="44"/>
      <c r="G156" s="44"/>
      <c r="H156" s="44"/>
      <c r="I156" s="44"/>
      <c r="J156" s="44"/>
      <c r="K156" s="44"/>
      <c r="L156" s="44"/>
      <c r="M156" s="44"/>
      <c r="N156" s="44"/>
      <c r="O156" s="44"/>
    </row>
    <row r="157" spans="1:15" ht="17.25" customHeight="1">
      <c r="A157" s="44"/>
      <c r="B157" s="44"/>
      <c r="C157" s="44"/>
      <c r="D157" s="44"/>
      <c r="E157" s="44"/>
      <c r="F157" s="44"/>
      <c r="G157" s="44"/>
      <c r="H157" s="44"/>
      <c r="I157" s="44"/>
      <c r="J157" s="44"/>
      <c r="K157" s="44"/>
      <c r="L157" s="44"/>
      <c r="M157" s="44"/>
      <c r="N157" s="44"/>
      <c r="O157" s="44"/>
    </row>
    <row r="158" spans="1:15" ht="17.25" customHeight="1">
      <c r="A158" s="44"/>
      <c r="B158" s="44"/>
      <c r="C158" s="44"/>
      <c r="D158" s="44"/>
      <c r="E158" s="44"/>
      <c r="F158" s="44"/>
      <c r="G158" s="44"/>
      <c r="H158" s="44"/>
      <c r="I158" s="44"/>
      <c r="J158" s="44"/>
      <c r="K158" s="44"/>
      <c r="L158" s="44"/>
      <c r="M158" s="44"/>
      <c r="N158" s="44"/>
      <c r="O158" s="44"/>
    </row>
    <row r="159" spans="1:15" ht="17.25" customHeight="1">
      <c r="A159" s="44"/>
      <c r="B159" s="44"/>
      <c r="C159" s="44"/>
      <c r="D159" s="44"/>
      <c r="E159" s="44"/>
      <c r="F159" s="44"/>
      <c r="G159" s="44"/>
      <c r="H159" s="44"/>
      <c r="I159" s="44"/>
      <c r="J159" s="44"/>
      <c r="K159" s="44"/>
      <c r="L159" s="44"/>
      <c r="M159" s="44"/>
      <c r="N159" s="44"/>
      <c r="O159" s="44"/>
    </row>
    <row r="160" spans="1:15" ht="17.25" customHeight="1">
      <c r="A160" s="44"/>
      <c r="B160" s="44"/>
      <c r="C160" s="44"/>
      <c r="D160" s="44"/>
      <c r="E160" s="44"/>
      <c r="F160" s="44"/>
      <c r="G160" s="44"/>
      <c r="H160" s="44"/>
      <c r="I160" s="44"/>
      <c r="J160" s="44"/>
      <c r="K160" s="44"/>
      <c r="L160" s="44"/>
      <c r="M160" s="44"/>
      <c r="N160" s="44"/>
      <c r="O160" s="44"/>
    </row>
    <row r="161" spans="1:15" ht="17.25" customHeight="1">
      <c r="A161" s="44"/>
      <c r="B161" s="44"/>
      <c r="C161" s="44"/>
      <c r="D161" s="44"/>
      <c r="E161" s="44"/>
      <c r="F161" s="44"/>
      <c r="G161" s="44"/>
      <c r="H161" s="44"/>
      <c r="I161" s="44"/>
      <c r="J161" s="44"/>
      <c r="K161" s="44"/>
      <c r="L161" s="44"/>
      <c r="M161" s="44"/>
      <c r="N161" s="44"/>
      <c r="O161" s="44"/>
    </row>
    <row r="162" spans="1:15" ht="17.25" customHeight="1">
      <c r="A162" s="44"/>
      <c r="B162" s="44"/>
      <c r="C162" s="44"/>
      <c r="D162" s="44"/>
      <c r="E162" s="44"/>
      <c r="F162" s="44"/>
      <c r="G162" s="44"/>
      <c r="H162" s="44"/>
      <c r="I162" s="44"/>
      <c r="J162" s="44"/>
      <c r="K162" s="44"/>
      <c r="L162" s="44"/>
      <c r="M162" s="44"/>
      <c r="N162" s="44"/>
      <c r="O162" s="44"/>
    </row>
    <row r="163" spans="1:15" ht="17.25" customHeight="1">
      <c r="A163" s="44"/>
      <c r="B163" s="44"/>
      <c r="C163" s="44"/>
      <c r="D163" s="44"/>
      <c r="E163" s="44"/>
      <c r="F163" s="44"/>
      <c r="G163" s="44"/>
      <c r="H163" s="44"/>
      <c r="I163" s="44"/>
      <c r="J163" s="44"/>
      <c r="K163" s="44"/>
      <c r="L163" s="44"/>
      <c r="M163" s="44"/>
      <c r="N163" s="44"/>
      <c r="O163" s="44"/>
    </row>
    <row r="164" spans="1:15" ht="17.25" customHeight="1">
      <c r="A164" s="44"/>
      <c r="B164" s="44"/>
      <c r="C164" s="44"/>
      <c r="D164" s="44"/>
      <c r="E164" s="44"/>
      <c r="F164" s="44"/>
      <c r="G164" s="44"/>
      <c r="H164" s="44"/>
      <c r="I164" s="44"/>
      <c r="J164" s="44"/>
      <c r="K164" s="44"/>
      <c r="L164" s="44"/>
      <c r="M164" s="44"/>
      <c r="N164" s="44"/>
      <c r="O164" s="44"/>
    </row>
    <row r="165" spans="1:15" ht="17.25" customHeight="1">
      <c r="A165" s="44"/>
      <c r="B165" s="44"/>
      <c r="C165" s="44"/>
      <c r="D165" s="44"/>
      <c r="E165" s="44"/>
      <c r="F165" s="44"/>
      <c r="G165" s="44"/>
      <c r="H165" s="44"/>
      <c r="I165" s="44"/>
      <c r="J165" s="44"/>
      <c r="K165" s="44"/>
      <c r="L165" s="44"/>
      <c r="M165" s="44"/>
      <c r="N165" s="44"/>
      <c r="O165" s="44"/>
    </row>
    <row r="166" spans="1:15" ht="17.25" customHeight="1">
      <c r="A166" s="44"/>
      <c r="B166" s="44"/>
      <c r="C166" s="44"/>
      <c r="D166" s="44"/>
      <c r="E166" s="44"/>
      <c r="F166" s="44"/>
      <c r="G166" s="44"/>
      <c r="H166" s="44"/>
      <c r="I166" s="44"/>
      <c r="J166" s="44"/>
      <c r="K166" s="44"/>
      <c r="L166" s="44"/>
      <c r="M166" s="44"/>
      <c r="N166" s="44"/>
      <c r="O166" s="44"/>
    </row>
    <row r="167" spans="1:15" ht="17.25" customHeight="1">
      <c r="A167" s="44"/>
      <c r="B167" s="44"/>
      <c r="C167" s="44"/>
      <c r="D167" s="44"/>
      <c r="E167" s="44"/>
      <c r="F167" s="44"/>
      <c r="G167" s="44"/>
      <c r="H167" s="44"/>
      <c r="I167" s="44"/>
      <c r="J167" s="44"/>
      <c r="K167" s="44"/>
      <c r="L167" s="44"/>
      <c r="M167" s="44"/>
      <c r="N167" s="44"/>
      <c r="O167" s="44"/>
    </row>
    <row r="168" spans="1:15" ht="17.25" customHeight="1">
      <c r="A168" s="44"/>
      <c r="B168" s="44"/>
      <c r="C168" s="44"/>
      <c r="D168" s="44"/>
      <c r="E168" s="44"/>
      <c r="F168" s="44"/>
      <c r="G168" s="44"/>
      <c r="H168" s="44"/>
      <c r="I168" s="44"/>
      <c r="J168" s="44"/>
      <c r="K168" s="44"/>
      <c r="L168" s="44"/>
      <c r="M168" s="44"/>
      <c r="N168" s="44"/>
      <c r="O168" s="44"/>
    </row>
    <row r="169" spans="1:15" ht="17.25" customHeight="1">
      <c r="A169" s="44"/>
      <c r="B169" s="44"/>
      <c r="C169" s="44"/>
      <c r="D169" s="44"/>
      <c r="E169" s="44"/>
      <c r="F169" s="44"/>
      <c r="G169" s="44"/>
      <c r="H169" s="44"/>
      <c r="I169" s="44"/>
      <c r="J169" s="44"/>
      <c r="K169" s="44"/>
      <c r="L169" s="44"/>
      <c r="M169" s="44"/>
      <c r="N169" s="44"/>
      <c r="O169" s="44"/>
    </row>
    <row r="170" spans="1:15" ht="17.25" customHeight="1">
      <c r="A170" s="44"/>
      <c r="B170" s="44"/>
      <c r="C170" s="44"/>
      <c r="D170" s="44"/>
      <c r="E170" s="44"/>
      <c r="F170" s="44"/>
      <c r="G170" s="44"/>
      <c r="H170" s="44"/>
      <c r="I170" s="44"/>
      <c r="J170" s="44"/>
      <c r="K170" s="44"/>
      <c r="L170" s="44"/>
      <c r="M170" s="44"/>
      <c r="N170" s="44"/>
      <c r="O170" s="44"/>
    </row>
    <row r="171" spans="1:15" ht="17.25" customHeight="1">
      <c r="A171" s="44"/>
      <c r="B171" s="44"/>
      <c r="C171" s="44"/>
      <c r="D171" s="44"/>
      <c r="E171" s="44"/>
      <c r="F171" s="44"/>
      <c r="G171" s="44"/>
      <c r="H171" s="44"/>
      <c r="I171" s="44"/>
      <c r="J171" s="44"/>
      <c r="K171" s="44"/>
      <c r="L171" s="44"/>
      <c r="M171" s="44"/>
      <c r="N171" s="44"/>
      <c r="O171" s="44"/>
    </row>
    <row r="172" spans="1:15" ht="17.25" customHeight="1">
      <c r="A172" s="44"/>
      <c r="B172" s="44"/>
      <c r="C172" s="44"/>
      <c r="D172" s="44"/>
      <c r="E172" s="44"/>
      <c r="F172" s="44"/>
      <c r="G172" s="44"/>
      <c r="H172" s="44"/>
      <c r="I172" s="44"/>
      <c r="J172" s="44"/>
      <c r="K172" s="44"/>
      <c r="L172" s="44"/>
      <c r="M172" s="44"/>
      <c r="N172" s="44"/>
      <c r="O172" s="44"/>
    </row>
    <row r="173" spans="1:15" ht="17.25" customHeight="1">
      <c r="A173" s="44"/>
      <c r="B173" s="44"/>
      <c r="C173" s="44"/>
      <c r="D173" s="44"/>
      <c r="E173" s="44"/>
      <c r="F173" s="44"/>
      <c r="G173" s="44"/>
      <c r="H173" s="44"/>
      <c r="I173" s="44"/>
      <c r="J173" s="44"/>
      <c r="K173" s="44"/>
      <c r="L173" s="44"/>
      <c r="M173" s="44"/>
      <c r="N173" s="44"/>
      <c r="O173" s="44"/>
    </row>
    <row r="174" spans="1:15" ht="17.25" customHeight="1">
      <c r="A174" s="44"/>
      <c r="B174" s="44"/>
      <c r="C174" s="44"/>
      <c r="D174" s="44"/>
      <c r="E174" s="44"/>
      <c r="F174" s="44"/>
      <c r="G174" s="44"/>
      <c r="H174" s="44"/>
      <c r="I174" s="44"/>
      <c r="J174" s="44"/>
      <c r="K174" s="44"/>
      <c r="L174" s="44"/>
      <c r="M174" s="44"/>
      <c r="N174" s="44"/>
      <c r="O174" s="44"/>
    </row>
    <row r="175" spans="1:15" ht="17.25" customHeight="1">
      <c r="A175" s="44"/>
      <c r="B175" s="44"/>
      <c r="C175" s="44"/>
      <c r="D175" s="44"/>
      <c r="E175" s="44"/>
      <c r="F175" s="44"/>
      <c r="G175" s="44"/>
      <c r="H175" s="44"/>
      <c r="I175" s="44"/>
      <c r="J175" s="44"/>
      <c r="K175" s="44"/>
      <c r="L175" s="44"/>
      <c r="M175" s="44"/>
      <c r="N175" s="44"/>
      <c r="O175" s="44"/>
    </row>
    <row r="176" spans="1:15" ht="17.25" customHeight="1">
      <c r="A176" s="44"/>
      <c r="B176" s="44"/>
      <c r="C176" s="44"/>
      <c r="D176" s="44"/>
      <c r="E176" s="44"/>
      <c r="F176" s="44"/>
      <c r="G176" s="44"/>
      <c r="H176" s="44"/>
      <c r="I176" s="44"/>
      <c r="J176" s="44"/>
      <c r="K176" s="44"/>
      <c r="L176" s="44"/>
      <c r="M176" s="44"/>
      <c r="N176" s="44"/>
      <c r="O176" s="44"/>
    </row>
    <row r="177" spans="1:15" ht="17.25" customHeight="1">
      <c r="A177" s="44"/>
      <c r="B177" s="44"/>
      <c r="C177" s="44"/>
      <c r="D177" s="44"/>
      <c r="E177" s="44"/>
      <c r="F177" s="44"/>
      <c r="G177" s="44"/>
      <c r="H177" s="44"/>
      <c r="I177" s="44"/>
      <c r="J177" s="44"/>
      <c r="K177" s="44"/>
      <c r="L177" s="44"/>
      <c r="M177" s="44"/>
      <c r="N177" s="44"/>
      <c r="O177" s="44"/>
    </row>
    <row r="178" spans="1:15" ht="17.25" customHeight="1">
      <c r="A178" s="44"/>
      <c r="B178" s="44"/>
      <c r="C178" s="44"/>
      <c r="D178" s="44"/>
      <c r="E178" s="44"/>
      <c r="F178" s="44"/>
      <c r="G178" s="44"/>
      <c r="H178" s="44"/>
      <c r="I178" s="44"/>
      <c r="J178" s="44"/>
      <c r="K178" s="44"/>
      <c r="L178" s="44"/>
      <c r="M178" s="44"/>
      <c r="N178" s="44"/>
      <c r="O178" s="44"/>
    </row>
    <row r="179" spans="1:15" ht="17.25" customHeight="1">
      <c r="A179" s="44"/>
      <c r="B179" s="44"/>
      <c r="C179" s="44"/>
      <c r="D179" s="44"/>
      <c r="E179" s="44"/>
      <c r="F179" s="44"/>
      <c r="G179" s="44"/>
      <c r="H179" s="44"/>
      <c r="I179" s="44"/>
      <c r="J179" s="44"/>
      <c r="K179" s="44"/>
      <c r="L179" s="44"/>
      <c r="M179" s="44"/>
      <c r="N179" s="44"/>
      <c r="O179" s="44"/>
    </row>
    <row r="180" spans="1:15" ht="17.25" customHeight="1">
      <c r="A180" s="44"/>
      <c r="B180" s="44"/>
      <c r="C180" s="44"/>
      <c r="D180" s="44"/>
      <c r="E180" s="44"/>
      <c r="F180" s="44"/>
      <c r="G180" s="44"/>
      <c r="H180" s="44"/>
      <c r="I180" s="44"/>
      <c r="J180" s="44"/>
      <c r="K180" s="44"/>
      <c r="L180" s="44"/>
      <c r="M180" s="44"/>
      <c r="N180" s="44"/>
      <c r="O180" s="44"/>
    </row>
    <row r="181" spans="1:15" ht="17.25" customHeight="1">
      <c r="A181" s="44"/>
      <c r="B181" s="44"/>
      <c r="C181" s="44"/>
      <c r="D181" s="44"/>
      <c r="E181" s="44"/>
      <c r="F181" s="44"/>
      <c r="G181" s="44"/>
      <c r="H181" s="44"/>
      <c r="I181" s="44"/>
      <c r="J181" s="44"/>
      <c r="K181" s="44"/>
      <c r="L181" s="44"/>
      <c r="M181" s="44"/>
      <c r="N181" s="44"/>
      <c r="O181" s="44"/>
    </row>
    <row r="182" spans="1:15" ht="17.25" customHeight="1">
      <c r="A182" s="44"/>
      <c r="B182" s="44"/>
      <c r="C182" s="44"/>
      <c r="D182" s="44"/>
      <c r="E182" s="44"/>
      <c r="F182" s="44"/>
      <c r="G182" s="44"/>
      <c r="H182" s="44"/>
      <c r="I182" s="44"/>
      <c r="J182" s="44"/>
      <c r="K182" s="44"/>
      <c r="L182" s="44"/>
      <c r="M182" s="44"/>
      <c r="N182" s="44"/>
      <c r="O182" s="44"/>
    </row>
    <row r="183" spans="1:15" ht="17.25" customHeight="1">
      <c r="A183" s="44"/>
      <c r="B183" s="44"/>
      <c r="C183" s="44"/>
      <c r="D183" s="44"/>
      <c r="E183" s="44"/>
      <c r="F183" s="44"/>
      <c r="G183" s="44"/>
      <c r="H183" s="44"/>
      <c r="I183" s="44"/>
      <c r="J183" s="44"/>
      <c r="K183" s="44"/>
      <c r="L183" s="44"/>
      <c r="M183" s="44"/>
      <c r="N183" s="44"/>
      <c r="O183" s="44"/>
    </row>
    <row r="184" spans="1:15" ht="17.25" customHeight="1">
      <c r="A184" s="44"/>
      <c r="B184" s="44"/>
      <c r="C184" s="44"/>
      <c r="D184" s="44"/>
      <c r="E184" s="44"/>
      <c r="F184" s="44"/>
      <c r="G184" s="44"/>
      <c r="H184" s="44"/>
      <c r="I184" s="44"/>
      <c r="J184" s="44"/>
      <c r="K184" s="44"/>
      <c r="L184" s="44"/>
      <c r="M184" s="44"/>
      <c r="N184" s="44"/>
      <c r="O184" s="44"/>
    </row>
    <row r="185" spans="1:15" ht="17.25" customHeight="1">
      <c r="A185" s="44"/>
      <c r="B185" s="44"/>
      <c r="C185" s="44"/>
      <c r="D185" s="44"/>
      <c r="E185" s="44"/>
      <c r="F185" s="44"/>
      <c r="G185" s="44"/>
      <c r="H185" s="44"/>
      <c r="I185" s="44"/>
      <c r="J185" s="44"/>
      <c r="K185" s="44"/>
      <c r="L185" s="44"/>
      <c r="M185" s="44"/>
      <c r="N185" s="44"/>
      <c r="O185" s="44"/>
    </row>
    <row r="186" spans="1:15" ht="17.25" customHeight="1">
      <c r="A186" s="44"/>
      <c r="B186" s="44"/>
      <c r="C186" s="44"/>
      <c r="D186" s="44"/>
      <c r="E186" s="44"/>
      <c r="F186" s="44"/>
      <c r="G186" s="44"/>
      <c r="H186" s="44"/>
      <c r="I186" s="44"/>
      <c r="J186" s="44"/>
      <c r="K186" s="44"/>
      <c r="L186" s="44"/>
      <c r="M186" s="44"/>
      <c r="N186" s="44"/>
      <c r="O186" s="44"/>
    </row>
    <row r="187" spans="1:15" ht="17.25" customHeight="1">
      <c r="A187" s="44"/>
      <c r="B187" s="44"/>
      <c r="C187" s="44"/>
      <c r="D187" s="44"/>
      <c r="E187" s="44"/>
      <c r="F187" s="44"/>
      <c r="G187" s="44"/>
      <c r="H187" s="44"/>
      <c r="I187" s="44"/>
      <c r="J187" s="44"/>
      <c r="K187" s="44"/>
      <c r="L187" s="44"/>
      <c r="M187" s="44"/>
      <c r="N187" s="44"/>
      <c r="O187" s="44"/>
    </row>
    <row r="188" spans="1:15" ht="17.25" customHeight="1">
      <c r="A188" s="44"/>
      <c r="B188" s="44"/>
      <c r="C188" s="44"/>
      <c r="D188" s="44"/>
      <c r="E188" s="44"/>
      <c r="F188" s="44"/>
      <c r="G188" s="44"/>
      <c r="H188" s="44"/>
      <c r="I188" s="44"/>
      <c r="J188" s="44"/>
      <c r="K188" s="44"/>
      <c r="L188" s="44"/>
      <c r="M188" s="44"/>
      <c r="N188" s="44"/>
      <c r="O188" s="44"/>
    </row>
    <row r="189" spans="1:15" ht="17.25" customHeight="1">
      <c r="A189" s="44"/>
      <c r="B189" s="44"/>
      <c r="C189" s="44"/>
      <c r="D189" s="44"/>
      <c r="E189" s="44"/>
      <c r="F189" s="44"/>
      <c r="G189" s="44"/>
      <c r="H189" s="44"/>
      <c r="I189" s="44"/>
      <c r="J189" s="44"/>
      <c r="K189" s="44"/>
      <c r="L189" s="44"/>
      <c r="M189" s="44"/>
      <c r="N189" s="44"/>
      <c r="O189" s="44"/>
    </row>
    <row r="190" spans="1:15" ht="17.25" customHeight="1">
      <c r="A190" s="44"/>
      <c r="B190" s="44"/>
      <c r="C190" s="44"/>
      <c r="D190" s="44"/>
      <c r="E190" s="44"/>
      <c r="F190" s="44"/>
      <c r="G190" s="44"/>
      <c r="H190" s="44"/>
      <c r="I190" s="44"/>
      <c r="J190" s="44"/>
      <c r="K190" s="44"/>
      <c r="L190" s="44"/>
      <c r="M190" s="44"/>
      <c r="N190" s="44"/>
      <c r="O190" s="44"/>
    </row>
    <row r="191" spans="1:15" ht="17.25" customHeight="1">
      <c r="A191" s="44"/>
      <c r="B191" s="44"/>
      <c r="C191" s="44"/>
      <c r="D191" s="44"/>
      <c r="E191" s="44"/>
      <c r="F191" s="44"/>
      <c r="G191" s="44"/>
      <c r="H191" s="44"/>
      <c r="I191" s="44"/>
      <c r="J191" s="44"/>
      <c r="K191" s="44"/>
      <c r="L191" s="44"/>
      <c r="M191" s="44"/>
      <c r="N191" s="44"/>
      <c r="O191" s="44"/>
    </row>
    <row r="192" spans="1:15" ht="17.25" customHeight="1">
      <c r="A192" s="44"/>
      <c r="B192" s="44"/>
      <c r="C192" s="44"/>
      <c r="D192" s="44"/>
      <c r="E192" s="44"/>
      <c r="F192" s="44"/>
      <c r="G192" s="44"/>
      <c r="H192" s="44"/>
      <c r="I192" s="44"/>
      <c r="J192" s="44"/>
      <c r="K192" s="44"/>
      <c r="L192" s="44"/>
      <c r="M192" s="44"/>
      <c r="N192" s="44"/>
      <c r="O192" s="44"/>
    </row>
    <row r="193" spans="1:15" ht="17.25" customHeight="1">
      <c r="A193" s="44"/>
      <c r="B193" s="44"/>
      <c r="C193" s="44"/>
      <c r="D193" s="44"/>
      <c r="E193" s="44"/>
      <c r="F193" s="44"/>
      <c r="G193" s="44"/>
      <c r="H193" s="44"/>
      <c r="I193" s="44"/>
      <c r="J193" s="44"/>
      <c r="K193" s="44"/>
      <c r="L193" s="44"/>
      <c r="M193" s="44"/>
      <c r="N193" s="44"/>
      <c r="O193" s="44"/>
    </row>
    <row r="194" spans="1:15" ht="17.25" customHeight="1">
      <c r="A194" s="44"/>
      <c r="B194" s="44"/>
      <c r="C194" s="44"/>
      <c r="D194" s="44"/>
      <c r="E194" s="44"/>
      <c r="F194" s="44"/>
      <c r="G194" s="44"/>
      <c r="H194" s="44"/>
      <c r="I194" s="44"/>
      <c r="J194" s="44"/>
      <c r="K194" s="44"/>
      <c r="L194" s="44"/>
      <c r="M194" s="44"/>
      <c r="N194" s="44"/>
      <c r="O194" s="44"/>
    </row>
    <row r="195" spans="1:15" ht="17.25" customHeight="1">
      <c r="A195" s="44"/>
      <c r="B195" s="44"/>
      <c r="C195" s="44"/>
      <c r="D195" s="44"/>
      <c r="E195" s="44"/>
      <c r="F195" s="44"/>
      <c r="G195" s="44"/>
      <c r="H195" s="44"/>
      <c r="I195" s="44"/>
      <c r="J195" s="44"/>
      <c r="K195" s="44"/>
      <c r="L195" s="44"/>
      <c r="M195" s="44"/>
      <c r="N195" s="44"/>
      <c r="O195" s="44"/>
    </row>
    <row r="196" spans="1:15" ht="17.25" customHeight="1">
      <c r="A196" s="44"/>
      <c r="B196" s="44"/>
      <c r="C196" s="44"/>
      <c r="D196" s="44"/>
      <c r="E196" s="44"/>
      <c r="F196" s="44"/>
      <c r="G196" s="44"/>
      <c r="H196" s="44"/>
      <c r="I196" s="44"/>
      <c r="J196" s="44"/>
      <c r="K196" s="44"/>
      <c r="L196" s="44"/>
      <c r="M196" s="44"/>
      <c r="N196" s="44"/>
      <c r="O196" s="44"/>
    </row>
    <row r="197" spans="1:15" ht="17.25" customHeight="1">
      <c r="A197" s="44"/>
      <c r="B197" s="44"/>
      <c r="C197" s="44"/>
      <c r="D197" s="44"/>
      <c r="E197" s="44"/>
      <c r="F197" s="44"/>
      <c r="G197" s="44"/>
      <c r="H197" s="44"/>
      <c r="I197" s="44"/>
      <c r="J197" s="44"/>
      <c r="K197" s="44"/>
      <c r="L197" s="44"/>
      <c r="M197" s="44"/>
      <c r="N197" s="44"/>
      <c r="O197" s="44"/>
    </row>
    <row r="198" spans="1:15" ht="17.25" customHeight="1">
      <c r="A198" s="44"/>
      <c r="B198" s="44"/>
      <c r="C198" s="44"/>
      <c r="D198" s="44"/>
      <c r="E198" s="44"/>
      <c r="F198" s="44"/>
      <c r="G198" s="44"/>
      <c r="H198" s="44"/>
      <c r="I198" s="44"/>
      <c r="J198" s="44"/>
      <c r="K198" s="44"/>
      <c r="L198" s="44"/>
      <c r="M198" s="44"/>
      <c r="N198" s="44"/>
      <c r="O198" s="44"/>
    </row>
    <row r="199" spans="1:15" ht="17.25" customHeight="1">
      <c r="A199" s="44"/>
      <c r="B199" s="44"/>
      <c r="C199" s="44"/>
      <c r="D199" s="44"/>
      <c r="E199" s="44"/>
      <c r="F199" s="44"/>
      <c r="G199" s="44"/>
      <c r="H199" s="44"/>
      <c r="I199" s="44"/>
      <c r="J199" s="44"/>
      <c r="K199" s="44"/>
      <c r="L199" s="44"/>
      <c r="M199" s="44"/>
      <c r="N199" s="44"/>
      <c r="O199" s="44"/>
    </row>
    <row r="200" spans="1:15" ht="17.25" customHeight="1">
      <c r="A200" s="44"/>
      <c r="B200" s="44"/>
      <c r="C200" s="44"/>
      <c r="D200" s="44"/>
      <c r="E200" s="44"/>
      <c r="F200" s="44"/>
      <c r="G200" s="44"/>
      <c r="H200" s="44"/>
      <c r="I200" s="44"/>
      <c r="J200" s="44"/>
      <c r="K200" s="44"/>
      <c r="L200" s="44"/>
      <c r="M200" s="44"/>
      <c r="N200" s="44"/>
      <c r="O200" s="44"/>
    </row>
    <row r="201" spans="1:15" ht="17.25" customHeight="1">
      <c r="A201" s="44"/>
      <c r="B201" s="44"/>
      <c r="C201" s="44"/>
      <c r="D201" s="44"/>
      <c r="E201" s="44"/>
      <c r="F201" s="44"/>
      <c r="G201" s="44"/>
      <c r="H201" s="44"/>
      <c r="I201" s="44"/>
      <c r="J201" s="44"/>
      <c r="K201" s="44"/>
      <c r="L201" s="44"/>
      <c r="M201" s="44"/>
      <c r="N201" s="44"/>
      <c r="O201" s="44"/>
    </row>
    <row r="202" spans="1:15" ht="17.25" customHeight="1">
      <c r="A202" s="44"/>
      <c r="B202" s="44"/>
      <c r="C202" s="44"/>
      <c r="D202" s="44"/>
      <c r="E202" s="44"/>
      <c r="F202" s="44"/>
      <c r="G202" s="44"/>
      <c r="H202" s="44"/>
      <c r="I202" s="44"/>
      <c r="J202" s="44"/>
      <c r="K202" s="44"/>
      <c r="L202" s="44"/>
      <c r="M202" s="44"/>
      <c r="N202" s="44"/>
      <c r="O202" s="44"/>
    </row>
    <row r="203" spans="1:15" ht="17.25" customHeight="1">
      <c r="A203" s="44"/>
      <c r="B203" s="44"/>
      <c r="C203" s="44"/>
      <c r="D203" s="44"/>
      <c r="E203" s="44"/>
      <c r="F203" s="44"/>
      <c r="G203" s="44"/>
      <c r="H203" s="44"/>
      <c r="I203" s="44"/>
      <c r="J203" s="44"/>
      <c r="K203" s="44"/>
      <c r="L203" s="44"/>
      <c r="M203" s="44"/>
      <c r="N203" s="44"/>
      <c r="O203" s="44"/>
    </row>
    <row r="204" spans="1:15" ht="17.25" customHeight="1">
      <c r="A204" s="44"/>
      <c r="B204" s="44"/>
      <c r="C204" s="44"/>
      <c r="D204" s="44"/>
      <c r="E204" s="44"/>
      <c r="F204" s="44"/>
      <c r="G204" s="44"/>
      <c r="H204" s="44"/>
      <c r="I204" s="44"/>
      <c r="J204" s="44"/>
      <c r="K204" s="44"/>
      <c r="L204" s="44"/>
      <c r="M204" s="44"/>
      <c r="N204" s="44"/>
      <c r="O204" s="44"/>
    </row>
    <row r="205" spans="1:15" ht="17.25" customHeight="1">
      <c r="A205" s="44"/>
      <c r="B205" s="44"/>
      <c r="C205" s="44"/>
      <c r="D205" s="44"/>
      <c r="E205" s="44"/>
      <c r="F205" s="44"/>
      <c r="G205" s="44"/>
      <c r="H205" s="44"/>
      <c r="I205" s="44"/>
      <c r="J205" s="44"/>
      <c r="K205" s="44"/>
      <c r="L205" s="44"/>
      <c r="M205" s="44"/>
      <c r="N205" s="44"/>
      <c r="O205" s="44"/>
    </row>
    <row r="206" spans="1:15" ht="17.25" customHeight="1">
      <c r="A206" s="44"/>
      <c r="B206" s="44"/>
      <c r="C206" s="44"/>
      <c r="D206" s="44"/>
      <c r="E206" s="44"/>
      <c r="F206" s="44"/>
      <c r="G206" s="44"/>
      <c r="H206" s="44"/>
      <c r="I206" s="44"/>
      <c r="J206" s="44"/>
      <c r="K206" s="44"/>
      <c r="L206" s="44"/>
      <c r="M206" s="44"/>
      <c r="N206" s="44"/>
      <c r="O206" s="44"/>
    </row>
    <row r="207" spans="1:15" ht="17.25" customHeight="1">
      <c r="A207" s="44"/>
      <c r="B207" s="44"/>
      <c r="C207" s="44"/>
      <c r="D207" s="44"/>
      <c r="E207" s="44"/>
      <c r="F207" s="44"/>
      <c r="G207" s="44"/>
      <c r="H207" s="44"/>
      <c r="I207" s="44"/>
      <c r="J207" s="44"/>
      <c r="K207" s="44"/>
      <c r="L207" s="44"/>
      <c r="M207" s="44"/>
      <c r="N207" s="44"/>
      <c r="O207" s="44"/>
    </row>
    <row r="208" spans="1:15" ht="17.25" customHeight="1">
      <c r="A208" s="44"/>
      <c r="B208" s="44"/>
      <c r="C208" s="44"/>
      <c r="D208" s="44"/>
      <c r="E208" s="44"/>
      <c r="F208" s="44"/>
      <c r="G208" s="44"/>
      <c r="H208" s="44"/>
      <c r="I208" s="44"/>
      <c r="J208" s="44"/>
      <c r="K208" s="44"/>
      <c r="L208" s="44"/>
      <c r="M208" s="44"/>
      <c r="N208" s="44"/>
      <c r="O208" s="44"/>
    </row>
    <row r="209" spans="1:15" ht="17.25" customHeight="1">
      <c r="A209" s="44"/>
      <c r="B209" s="44"/>
      <c r="C209" s="44"/>
      <c r="D209" s="44"/>
      <c r="E209" s="44"/>
      <c r="F209" s="44"/>
      <c r="G209" s="44"/>
      <c r="H209" s="44"/>
      <c r="I209" s="44"/>
      <c r="J209" s="44"/>
      <c r="K209" s="44"/>
      <c r="L209" s="44"/>
      <c r="M209" s="44"/>
      <c r="N209" s="44"/>
      <c r="O209" s="44"/>
    </row>
    <row r="210" spans="1:15" ht="17.25" customHeight="1">
      <c r="A210" s="44"/>
      <c r="B210" s="44"/>
      <c r="C210" s="44"/>
      <c r="D210" s="44"/>
      <c r="E210" s="44"/>
      <c r="F210" s="44"/>
      <c r="G210" s="44"/>
      <c r="H210" s="44"/>
      <c r="I210" s="44"/>
      <c r="J210" s="44"/>
      <c r="K210" s="44"/>
      <c r="L210" s="44"/>
      <c r="M210" s="44"/>
      <c r="N210" s="44"/>
      <c r="O210" s="44"/>
    </row>
    <row r="211" spans="1:15" ht="17.25" customHeight="1">
      <c r="A211" s="44"/>
      <c r="B211" s="44"/>
      <c r="C211" s="44"/>
      <c r="D211" s="44"/>
      <c r="E211" s="44"/>
      <c r="F211" s="44"/>
      <c r="G211" s="44"/>
      <c r="H211" s="44"/>
      <c r="I211" s="44"/>
      <c r="J211" s="44"/>
      <c r="K211" s="44"/>
      <c r="L211" s="44"/>
      <c r="M211" s="44"/>
      <c r="N211" s="44"/>
      <c r="O211" s="44"/>
    </row>
    <row r="212" spans="1:15" ht="17.25" customHeight="1">
      <c r="A212" s="44"/>
      <c r="B212" s="44"/>
      <c r="C212" s="44"/>
      <c r="D212" s="44"/>
      <c r="E212" s="44"/>
      <c r="F212" s="44"/>
      <c r="G212" s="44"/>
      <c r="H212" s="44"/>
      <c r="I212" s="44"/>
      <c r="J212" s="44"/>
      <c r="K212" s="44"/>
      <c r="L212" s="44"/>
      <c r="M212" s="44"/>
      <c r="N212" s="44"/>
      <c r="O212" s="44"/>
    </row>
    <row r="213" spans="1:15" ht="17.25" customHeight="1">
      <c r="A213" s="44"/>
      <c r="B213" s="44"/>
      <c r="C213" s="44"/>
      <c r="D213" s="44"/>
      <c r="E213" s="44"/>
      <c r="F213" s="44"/>
      <c r="G213" s="44"/>
      <c r="H213" s="44"/>
      <c r="I213" s="44"/>
      <c r="J213" s="44"/>
      <c r="K213" s="44"/>
      <c r="L213" s="44"/>
      <c r="M213" s="44"/>
      <c r="N213" s="44"/>
      <c r="O213" s="44"/>
    </row>
    <row r="214" spans="1:15" ht="17.25" customHeight="1">
      <c r="A214" s="44"/>
      <c r="B214" s="44"/>
      <c r="C214" s="44"/>
      <c r="D214" s="44"/>
      <c r="E214" s="44"/>
      <c r="F214" s="44"/>
      <c r="G214" s="44"/>
      <c r="H214" s="44"/>
      <c r="I214" s="44"/>
      <c r="J214" s="44"/>
      <c r="K214" s="44"/>
      <c r="L214" s="44"/>
      <c r="M214" s="44"/>
      <c r="N214" s="44"/>
      <c r="O214" s="44"/>
    </row>
    <row r="215" spans="1:15" ht="17.25" customHeight="1">
      <c r="A215" s="44"/>
      <c r="B215" s="44"/>
      <c r="C215" s="44"/>
      <c r="D215" s="44"/>
      <c r="E215" s="44"/>
      <c r="F215" s="44"/>
      <c r="G215" s="44"/>
      <c r="H215" s="44"/>
      <c r="I215" s="44"/>
      <c r="J215" s="44"/>
      <c r="K215" s="44"/>
      <c r="L215" s="44"/>
      <c r="M215" s="44"/>
      <c r="N215" s="44"/>
      <c r="O215" s="44"/>
    </row>
    <row r="216" spans="1:15" ht="17.25" customHeight="1">
      <c r="A216" s="44"/>
      <c r="B216" s="44"/>
      <c r="C216" s="44"/>
      <c r="D216" s="44"/>
      <c r="E216" s="44"/>
      <c r="F216" s="44"/>
      <c r="G216" s="44"/>
      <c r="H216" s="44"/>
      <c r="I216" s="44"/>
      <c r="J216" s="44"/>
      <c r="K216" s="44"/>
      <c r="L216" s="44"/>
      <c r="M216" s="44"/>
      <c r="N216" s="44"/>
      <c r="O216" s="44"/>
    </row>
    <row r="217" spans="1:15" ht="17.25" customHeight="1">
      <c r="A217" s="44"/>
      <c r="B217" s="44"/>
      <c r="C217" s="44"/>
      <c r="D217" s="44"/>
      <c r="E217" s="44"/>
      <c r="F217" s="44"/>
      <c r="G217" s="44"/>
      <c r="H217" s="44"/>
      <c r="I217" s="44"/>
      <c r="J217" s="44"/>
      <c r="K217" s="44"/>
      <c r="L217" s="44"/>
      <c r="M217" s="44"/>
      <c r="N217" s="44"/>
      <c r="O217" s="44"/>
    </row>
    <row r="218" spans="1:15" ht="17.25" customHeight="1">
      <c r="A218" s="44"/>
      <c r="B218" s="44"/>
      <c r="C218" s="44"/>
      <c r="D218" s="44"/>
      <c r="E218" s="44"/>
      <c r="F218" s="44"/>
      <c r="G218" s="44"/>
      <c r="H218" s="44"/>
      <c r="I218" s="44"/>
      <c r="J218" s="44"/>
      <c r="K218" s="44"/>
      <c r="L218" s="44"/>
      <c r="M218" s="44"/>
      <c r="N218" s="44"/>
      <c r="O218" s="44"/>
    </row>
    <row r="219" spans="1:15" ht="17.25" customHeight="1">
      <c r="A219" s="44"/>
      <c r="B219" s="44"/>
      <c r="C219" s="44"/>
      <c r="D219" s="44"/>
      <c r="E219" s="44"/>
      <c r="F219" s="44"/>
      <c r="G219" s="44"/>
      <c r="H219" s="44"/>
      <c r="I219" s="44"/>
      <c r="J219" s="44"/>
      <c r="K219" s="44"/>
      <c r="L219" s="44"/>
      <c r="M219" s="44"/>
      <c r="N219" s="44"/>
      <c r="O219" s="44"/>
    </row>
    <row r="220" spans="1:15" ht="17.25" customHeight="1">
      <c r="A220" s="44"/>
      <c r="B220" s="44"/>
      <c r="C220" s="44"/>
      <c r="D220" s="44"/>
      <c r="E220" s="44"/>
      <c r="F220" s="44"/>
      <c r="G220" s="44"/>
      <c r="H220" s="44"/>
      <c r="I220" s="44"/>
      <c r="J220" s="44"/>
      <c r="K220" s="44"/>
      <c r="L220" s="44"/>
      <c r="M220" s="44"/>
      <c r="N220" s="44"/>
      <c r="O220" s="44"/>
    </row>
    <row r="221" spans="1:15" ht="17.25" customHeight="1">
      <c r="A221" s="44"/>
      <c r="B221" s="44"/>
      <c r="C221" s="44"/>
      <c r="D221" s="44"/>
      <c r="E221" s="44"/>
      <c r="F221" s="44"/>
      <c r="G221" s="44"/>
      <c r="H221" s="44"/>
      <c r="I221" s="44"/>
      <c r="J221" s="44"/>
      <c r="K221" s="44"/>
      <c r="L221" s="44"/>
      <c r="M221" s="44"/>
      <c r="N221" s="44"/>
      <c r="O221" s="44"/>
    </row>
    <row r="222" spans="1:15" ht="17.25" customHeight="1">
      <c r="A222" s="44"/>
      <c r="B222" s="44"/>
      <c r="C222" s="44"/>
      <c r="D222" s="44"/>
      <c r="E222" s="44"/>
      <c r="F222" s="44"/>
      <c r="G222" s="44"/>
      <c r="H222" s="44"/>
      <c r="I222" s="44"/>
      <c r="J222" s="44"/>
      <c r="K222" s="44"/>
      <c r="L222" s="44"/>
      <c r="M222" s="44"/>
      <c r="N222" s="44"/>
      <c r="O222" s="44"/>
    </row>
    <row r="223" spans="1:15" ht="17.25" customHeight="1">
      <c r="A223" s="44"/>
      <c r="B223" s="44"/>
      <c r="C223" s="44"/>
      <c r="D223" s="44"/>
      <c r="E223" s="44"/>
      <c r="F223" s="44"/>
      <c r="G223" s="44"/>
      <c r="H223" s="44"/>
      <c r="I223" s="44"/>
      <c r="J223" s="44"/>
      <c r="K223" s="44"/>
      <c r="L223" s="44"/>
      <c r="M223" s="44"/>
      <c r="N223" s="44"/>
      <c r="O223" s="44"/>
    </row>
    <row r="224" spans="1:15" ht="17.25" customHeight="1">
      <c r="A224" s="44"/>
      <c r="B224" s="44"/>
      <c r="C224" s="44"/>
      <c r="D224" s="44"/>
      <c r="E224" s="44"/>
      <c r="F224" s="44"/>
      <c r="G224" s="44"/>
      <c r="H224" s="44"/>
      <c r="I224" s="44"/>
      <c r="J224" s="44"/>
      <c r="K224" s="44"/>
      <c r="L224" s="44"/>
      <c r="M224" s="44"/>
      <c r="N224" s="44"/>
      <c r="O224" s="44"/>
    </row>
    <row r="225" spans="1:15" ht="17.25" customHeight="1">
      <c r="A225" s="44"/>
      <c r="B225" s="44"/>
      <c r="C225" s="44"/>
      <c r="D225" s="44"/>
      <c r="E225" s="44"/>
      <c r="F225" s="44"/>
      <c r="G225" s="44"/>
      <c r="H225" s="44"/>
      <c r="I225" s="44"/>
      <c r="J225" s="44"/>
      <c r="K225" s="44"/>
      <c r="L225" s="44"/>
      <c r="M225" s="44"/>
      <c r="N225" s="44"/>
      <c r="O225" s="44"/>
    </row>
    <row r="226" spans="1:15" ht="17.25" customHeight="1">
      <c r="A226" s="44"/>
      <c r="B226" s="44"/>
      <c r="C226" s="44"/>
      <c r="D226" s="44"/>
      <c r="E226" s="44"/>
      <c r="F226" s="44"/>
      <c r="G226" s="44"/>
      <c r="H226" s="44"/>
      <c r="I226" s="44"/>
      <c r="J226" s="44"/>
      <c r="K226" s="44"/>
      <c r="L226" s="44"/>
      <c r="M226" s="44"/>
      <c r="N226" s="44"/>
      <c r="O226" s="44"/>
    </row>
    <row r="227" spans="1:15" ht="17.25" customHeight="1">
      <c r="A227" s="44"/>
      <c r="B227" s="44"/>
      <c r="C227" s="44"/>
      <c r="D227" s="44"/>
      <c r="E227" s="44"/>
      <c r="F227" s="44"/>
      <c r="G227" s="44"/>
      <c r="H227" s="44"/>
      <c r="I227" s="44"/>
      <c r="J227" s="44"/>
      <c r="K227" s="44"/>
      <c r="L227" s="44"/>
      <c r="M227" s="44"/>
      <c r="N227" s="44"/>
      <c r="O227" s="44"/>
    </row>
    <row r="228" spans="1:15" ht="17.25" customHeight="1">
      <c r="A228" s="44"/>
      <c r="B228" s="44"/>
      <c r="C228" s="44"/>
      <c r="D228" s="44"/>
      <c r="E228" s="44"/>
      <c r="F228" s="44"/>
      <c r="G228" s="44"/>
      <c r="H228" s="44"/>
      <c r="I228" s="44"/>
      <c r="J228" s="44"/>
      <c r="K228" s="44"/>
      <c r="L228" s="44"/>
      <c r="M228" s="44"/>
      <c r="N228" s="44"/>
      <c r="O228" s="44"/>
    </row>
    <row r="229" spans="1:15" ht="17.25" customHeight="1">
      <c r="A229" s="44"/>
      <c r="B229" s="44"/>
      <c r="C229" s="44"/>
      <c r="D229" s="44"/>
      <c r="E229" s="44"/>
      <c r="F229" s="44"/>
      <c r="G229" s="44"/>
      <c r="H229" s="44"/>
      <c r="I229" s="44"/>
      <c r="J229" s="44"/>
      <c r="K229" s="44"/>
      <c r="L229" s="44"/>
      <c r="M229" s="44"/>
      <c r="N229" s="44"/>
      <c r="O229" s="44"/>
    </row>
    <row r="230" spans="1:15" ht="17.25" customHeight="1">
      <c r="A230" s="44"/>
      <c r="B230" s="44"/>
      <c r="C230" s="44"/>
      <c r="D230" s="44"/>
      <c r="E230" s="44"/>
      <c r="F230" s="44"/>
      <c r="G230" s="44"/>
      <c r="H230" s="44"/>
      <c r="I230" s="44"/>
      <c r="J230" s="44"/>
      <c r="K230" s="44"/>
      <c r="L230" s="44"/>
      <c r="M230" s="44"/>
      <c r="N230" s="44"/>
      <c r="O230" s="44"/>
    </row>
    <row r="231" spans="1:15" ht="17.25" customHeight="1">
      <c r="A231" s="44"/>
      <c r="B231" s="44"/>
      <c r="C231" s="44"/>
      <c r="D231" s="44"/>
      <c r="E231" s="44"/>
      <c r="F231" s="44"/>
      <c r="G231" s="44"/>
      <c r="H231" s="44"/>
      <c r="I231" s="44"/>
      <c r="J231" s="44"/>
      <c r="K231" s="44"/>
      <c r="L231" s="44"/>
      <c r="M231" s="44"/>
      <c r="N231" s="44"/>
      <c r="O231" s="44"/>
    </row>
    <row r="232" spans="1:15" ht="17.25" customHeight="1">
      <c r="A232" s="44"/>
      <c r="B232" s="44"/>
      <c r="C232" s="44"/>
      <c r="D232" s="44"/>
      <c r="E232" s="44"/>
      <c r="F232" s="44"/>
      <c r="G232" s="44"/>
      <c r="H232" s="44"/>
      <c r="I232" s="44"/>
      <c r="J232" s="44"/>
      <c r="K232" s="44"/>
      <c r="L232" s="44"/>
      <c r="M232" s="44"/>
      <c r="N232" s="44"/>
      <c r="O232" s="44"/>
    </row>
    <row r="233" spans="1:15" ht="17.25" customHeight="1">
      <c r="A233" s="44"/>
      <c r="B233" s="44"/>
      <c r="C233" s="44"/>
      <c r="D233" s="44"/>
      <c r="E233" s="44"/>
      <c r="F233" s="44"/>
      <c r="G233" s="44"/>
      <c r="H233" s="44"/>
      <c r="I233" s="44"/>
      <c r="J233" s="44"/>
      <c r="K233" s="44"/>
      <c r="L233" s="44"/>
      <c r="M233" s="44"/>
      <c r="N233" s="44"/>
      <c r="O233" s="44"/>
    </row>
    <row r="234" spans="1:15" ht="17.25" customHeight="1">
      <c r="A234" s="44"/>
      <c r="B234" s="44"/>
      <c r="C234" s="44"/>
      <c r="D234" s="44"/>
      <c r="E234" s="44"/>
      <c r="F234" s="44"/>
      <c r="G234" s="44"/>
      <c r="H234" s="44"/>
      <c r="I234" s="44"/>
      <c r="J234" s="44"/>
      <c r="K234" s="44"/>
      <c r="L234" s="44"/>
      <c r="M234" s="44"/>
      <c r="N234" s="44"/>
      <c r="O234" s="44"/>
    </row>
    <row r="235" spans="1:15" ht="17.25" customHeight="1">
      <c r="A235" s="44"/>
      <c r="B235" s="44"/>
      <c r="C235" s="44"/>
      <c r="D235" s="44"/>
      <c r="E235" s="44"/>
      <c r="F235" s="44"/>
      <c r="G235" s="44"/>
      <c r="H235" s="44"/>
      <c r="I235" s="44"/>
      <c r="J235" s="44"/>
      <c r="K235" s="44"/>
      <c r="L235" s="44"/>
      <c r="M235" s="44"/>
      <c r="N235" s="44"/>
      <c r="O235" s="44"/>
    </row>
    <row r="236" spans="1:15" ht="17.25" customHeight="1">
      <c r="A236" s="44"/>
      <c r="B236" s="44"/>
      <c r="C236" s="44"/>
      <c r="D236" s="44"/>
      <c r="E236" s="44"/>
      <c r="F236" s="44"/>
      <c r="G236" s="44"/>
      <c r="H236" s="44"/>
      <c r="I236" s="44"/>
      <c r="J236" s="44"/>
      <c r="K236" s="44"/>
      <c r="L236" s="44"/>
      <c r="M236" s="44"/>
      <c r="N236" s="44"/>
      <c r="O236" s="44"/>
    </row>
    <row r="237" spans="1:15" ht="17.25" customHeight="1">
      <c r="A237" s="44"/>
      <c r="B237" s="44"/>
      <c r="C237" s="44"/>
      <c r="D237" s="44"/>
      <c r="E237" s="44"/>
      <c r="F237" s="44"/>
      <c r="G237" s="44"/>
      <c r="H237" s="44"/>
      <c r="I237" s="44"/>
      <c r="J237" s="44"/>
      <c r="K237" s="44"/>
      <c r="L237" s="44"/>
      <c r="M237" s="44"/>
      <c r="N237" s="44"/>
      <c r="O237" s="44"/>
    </row>
    <row r="238" spans="1:15" ht="17.25" customHeight="1">
      <c r="A238" s="44"/>
      <c r="B238" s="44"/>
      <c r="C238" s="44"/>
      <c r="D238" s="44"/>
      <c r="E238" s="44"/>
      <c r="F238" s="44"/>
      <c r="G238" s="44"/>
      <c r="H238" s="44"/>
      <c r="I238" s="44"/>
      <c r="J238" s="44"/>
      <c r="K238" s="44"/>
      <c r="L238" s="44"/>
      <c r="M238" s="44"/>
      <c r="N238" s="44"/>
      <c r="O238" s="44"/>
    </row>
    <row r="239" spans="1:15" ht="17.25" customHeight="1">
      <c r="A239" s="44"/>
      <c r="B239" s="44"/>
      <c r="C239" s="44"/>
      <c r="D239" s="44"/>
      <c r="E239" s="44"/>
      <c r="F239" s="44"/>
      <c r="G239" s="44"/>
      <c r="H239" s="44"/>
      <c r="I239" s="44"/>
      <c r="J239" s="44"/>
      <c r="K239" s="44"/>
      <c r="L239" s="44"/>
      <c r="M239" s="44"/>
      <c r="N239" s="44"/>
      <c r="O239" s="44"/>
    </row>
    <row r="240" spans="1:15" ht="17.25" customHeight="1">
      <c r="A240" s="44"/>
      <c r="B240" s="44"/>
      <c r="C240" s="44"/>
      <c r="D240" s="44"/>
      <c r="E240" s="44"/>
      <c r="F240" s="44"/>
      <c r="G240" s="44"/>
      <c r="H240" s="44"/>
      <c r="I240" s="44"/>
      <c r="J240" s="44"/>
      <c r="K240" s="44"/>
      <c r="L240" s="44"/>
      <c r="M240" s="44"/>
      <c r="N240" s="44"/>
      <c r="O240" s="44"/>
    </row>
    <row r="241" spans="1:15" ht="17.25" customHeight="1">
      <c r="A241" s="44"/>
      <c r="B241" s="44"/>
      <c r="C241" s="44"/>
      <c r="D241" s="44"/>
      <c r="E241" s="44"/>
      <c r="F241" s="44"/>
      <c r="G241" s="44"/>
      <c r="H241" s="44"/>
      <c r="I241" s="44"/>
      <c r="J241" s="44"/>
      <c r="K241" s="44"/>
      <c r="L241" s="44"/>
      <c r="M241" s="44"/>
      <c r="N241" s="44"/>
      <c r="O241" s="44"/>
    </row>
    <row r="242" spans="1:15" ht="17.25" customHeight="1">
      <c r="A242" s="44"/>
      <c r="B242" s="44"/>
      <c r="C242" s="44"/>
      <c r="D242" s="44"/>
      <c r="E242" s="44"/>
      <c r="F242" s="44"/>
      <c r="G242" s="44"/>
      <c r="H242" s="44"/>
      <c r="I242" s="44"/>
      <c r="J242" s="44"/>
      <c r="K242" s="44"/>
      <c r="L242" s="44"/>
      <c r="M242" s="44"/>
      <c r="N242" s="44"/>
      <c r="O242" s="44"/>
    </row>
    <row r="243" spans="1:15" ht="17.25" customHeight="1">
      <c r="A243" s="44"/>
      <c r="B243" s="44"/>
      <c r="C243" s="44"/>
      <c r="D243" s="44"/>
      <c r="E243" s="44"/>
      <c r="F243" s="44"/>
      <c r="G243" s="44"/>
      <c r="H243" s="44"/>
      <c r="I243" s="44"/>
      <c r="J243" s="44"/>
      <c r="K243" s="44"/>
      <c r="L243" s="44"/>
      <c r="M243" s="44"/>
      <c r="N243" s="44"/>
      <c r="O243" s="44"/>
    </row>
    <row r="244" spans="1:15" ht="17.25" customHeight="1">
      <c r="A244" s="44"/>
      <c r="B244" s="44"/>
      <c r="C244" s="44"/>
      <c r="D244" s="44"/>
      <c r="E244" s="44"/>
      <c r="F244" s="44"/>
      <c r="G244" s="44"/>
      <c r="H244" s="44"/>
      <c r="I244" s="44"/>
      <c r="J244" s="44"/>
      <c r="K244" s="44"/>
      <c r="L244" s="44"/>
      <c r="M244" s="44"/>
      <c r="N244" s="44"/>
      <c r="O244" s="44"/>
    </row>
    <row r="245" spans="1:15" ht="17.25" customHeight="1">
      <c r="A245" s="44"/>
      <c r="B245" s="44"/>
      <c r="C245" s="44"/>
      <c r="D245" s="44"/>
      <c r="E245" s="44"/>
      <c r="F245" s="44"/>
      <c r="G245" s="44"/>
      <c r="H245" s="44"/>
      <c r="I245" s="44"/>
      <c r="J245" s="44"/>
      <c r="K245" s="44"/>
      <c r="L245" s="44"/>
      <c r="M245" s="44"/>
      <c r="N245" s="44"/>
      <c r="O245" s="44"/>
    </row>
    <row r="246" spans="1:15" ht="17.25" customHeight="1">
      <c r="A246" s="44"/>
      <c r="B246" s="44"/>
      <c r="C246" s="44"/>
      <c r="D246" s="44"/>
      <c r="E246" s="44"/>
      <c r="F246" s="44"/>
      <c r="G246" s="44"/>
      <c r="H246" s="44"/>
      <c r="I246" s="44"/>
      <c r="J246" s="44"/>
      <c r="K246" s="44"/>
      <c r="L246" s="44"/>
      <c r="M246" s="44"/>
      <c r="N246" s="44"/>
      <c r="O246" s="44"/>
    </row>
    <row r="247" spans="1:15" ht="17.25" customHeight="1">
      <c r="A247" s="44"/>
      <c r="B247" s="44"/>
      <c r="C247" s="44"/>
      <c r="D247" s="44"/>
      <c r="E247" s="44"/>
      <c r="F247" s="44"/>
      <c r="G247" s="44"/>
      <c r="H247" s="44"/>
      <c r="I247" s="44"/>
      <c r="J247" s="44"/>
      <c r="K247" s="44"/>
      <c r="L247" s="44"/>
      <c r="M247" s="44"/>
      <c r="N247" s="44"/>
      <c r="O247" s="44"/>
    </row>
    <row r="248" spans="1:15" ht="17.25" customHeight="1">
      <c r="A248" s="44"/>
      <c r="B248" s="44"/>
      <c r="C248" s="44"/>
      <c r="D248" s="44"/>
      <c r="E248" s="44"/>
      <c r="F248" s="44"/>
      <c r="G248" s="44"/>
      <c r="H248" s="44"/>
      <c r="I248" s="44"/>
      <c r="J248" s="44"/>
      <c r="K248" s="44"/>
      <c r="L248" s="44"/>
      <c r="M248" s="44"/>
      <c r="N248" s="44"/>
      <c r="O248" s="44"/>
    </row>
    <row r="249" spans="1:15" ht="17.25" customHeight="1">
      <c r="A249" s="44"/>
      <c r="B249" s="44"/>
      <c r="C249" s="44"/>
      <c r="D249" s="44"/>
      <c r="E249" s="44"/>
      <c r="F249" s="44"/>
      <c r="G249" s="44"/>
      <c r="H249" s="44"/>
      <c r="I249" s="44"/>
      <c r="J249" s="44"/>
      <c r="K249" s="44"/>
      <c r="L249" s="44"/>
      <c r="M249" s="44"/>
      <c r="N249" s="44"/>
      <c r="O249" s="44"/>
    </row>
    <row r="250" spans="1:15" ht="17.25" customHeight="1">
      <c r="A250" s="44"/>
      <c r="B250" s="44"/>
      <c r="C250" s="44"/>
      <c r="D250" s="44"/>
      <c r="E250" s="44"/>
      <c r="F250" s="44"/>
      <c r="G250" s="44"/>
      <c r="H250" s="44"/>
      <c r="I250" s="44"/>
      <c r="J250" s="44"/>
      <c r="K250" s="44"/>
      <c r="L250" s="44"/>
      <c r="M250" s="44"/>
      <c r="N250" s="44"/>
      <c r="O250" s="44"/>
    </row>
    <row r="251" spans="1:15" ht="17.25" customHeight="1">
      <c r="A251" s="44"/>
      <c r="B251" s="44"/>
      <c r="C251" s="44"/>
      <c r="D251" s="44"/>
      <c r="E251" s="44"/>
      <c r="F251" s="44"/>
      <c r="G251" s="44"/>
      <c r="H251" s="44"/>
      <c r="I251" s="44"/>
      <c r="J251" s="44"/>
      <c r="K251" s="44"/>
      <c r="L251" s="44"/>
      <c r="M251" s="44"/>
      <c r="N251" s="44"/>
      <c r="O251" s="44"/>
    </row>
    <row r="252" spans="1:15" ht="17.25" customHeight="1">
      <c r="A252" s="44"/>
      <c r="B252" s="44"/>
      <c r="C252" s="44"/>
      <c r="D252" s="44"/>
      <c r="E252" s="44"/>
      <c r="F252" s="44"/>
      <c r="G252" s="44"/>
      <c r="H252" s="44"/>
      <c r="I252" s="44"/>
      <c r="J252" s="44"/>
      <c r="K252" s="44"/>
      <c r="L252" s="44"/>
      <c r="M252" s="44"/>
      <c r="N252" s="44"/>
      <c r="O252" s="44"/>
    </row>
    <row r="253" spans="1:15" ht="17.25" customHeight="1">
      <c r="A253" s="44"/>
      <c r="B253" s="44"/>
      <c r="C253" s="44"/>
      <c r="D253" s="44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4"/>
    </row>
    <row r="254" spans="1:15" ht="17.25" customHeight="1">
      <c r="A254" s="44"/>
      <c r="B254" s="44"/>
      <c r="C254" s="44"/>
      <c r="D254" s="44"/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O254" s="44"/>
    </row>
    <row r="255" spans="1:15" ht="17.25" customHeight="1">
      <c r="A255" s="44"/>
      <c r="B255" s="44"/>
      <c r="C255" s="44"/>
      <c r="D255" s="44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</row>
    <row r="256" spans="1:15" ht="17.25" customHeight="1">
      <c r="A256" s="44"/>
      <c r="B256" s="44"/>
      <c r="C256" s="44"/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</row>
    <row r="257" spans="1:15" ht="17.25" customHeight="1">
      <c r="A257" s="44"/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</row>
    <row r="258" spans="1:15" ht="17.25" customHeight="1">
      <c r="A258" s="44"/>
      <c r="B258" s="44"/>
      <c r="C258" s="44"/>
      <c r="D258" s="44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</row>
    <row r="259" spans="1:15" ht="17.25" customHeight="1">
      <c r="A259" s="44"/>
      <c r="B259" s="44"/>
      <c r="C259" s="44"/>
      <c r="D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</row>
    <row r="260" spans="1:15" ht="17.25" customHeight="1">
      <c r="A260" s="44"/>
      <c r="B260" s="44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</row>
    <row r="261" spans="1:15" ht="17.25" customHeight="1">
      <c r="A261" s="44"/>
      <c r="B261" s="44"/>
      <c r="C261" s="44"/>
      <c r="D261" s="44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</row>
    <row r="262" spans="1:15" ht="17.25" customHeight="1">
      <c r="A262" s="44"/>
      <c r="B262" s="44"/>
      <c r="C262" s="44"/>
      <c r="D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</row>
    <row r="263" spans="1:15" ht="17.25" customHeight="1">
      <c r="A263" s="44"/>
      <c r="B263" s="44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</row>
    <row r="264" spans="1:15" ht="17.25" customHeight="1">
      <c r="A264" s="44"/>
      <c r="B264" s="44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</row>
    <row r="265" spans="1:15" ht="17.25" customHeight="1">
      <c r="A265" s="44"/>
      <c r="B265" s="44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</row>
    <row r="266" spans="1:15" ht="17.25" customHeight="1">
      <c r="A266" s="44"/>
      <c r="B266" s="44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</row>
    <row r="267" spans="1:15" ht="17.25" customHeight="1">
      <c r="A267" s="44"/>
      <c r="B267" s="44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</row>
    <row r="268" spans="1:15" ht="17.25" customHeight="1">
      <c r="A268" s="44"/>
      <c r="B268" s="44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</row>
    <row r="269" spans="1:15" ht="17.25" customHeight="1">
      <c r="A269" s="44"/>
      <c r="B269" s="44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</row>
    <row r="270" spans="1:15" ht="17.25" customHeight="1">
      <c r="A270" s="44"/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</row>
    <row r="271" spans="1:15" ht="17.25" customHeight="1">
      <c r="A271" s="44"/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</row>
    <row r="272" spans="1:15" ht="17.25" customHeight="1">
      <c r="A272" s="44"/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</row>
    <row r="273" spans="1:15" ht="17.25" customHeight="1">
      <c r="A273" s="44"/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</row>
    <row r="274" spans="1:15" ht="17.25" customHeight="1">
      <c r="A274" s="44"/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</row>
    <row r="275" spans="1:15" ht="17.25" customHeight="1">
      <c r="A275" s="44"/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</row>
    <row r="276" spans="1:15" ht="17.25" customHeight="1">
      <c r="A276" s="44"/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</row>
    <row r="277" spans="1:15" ht="17.25" customHeight="1">
      <c r="A277" s="44"/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</row>
    <row r="278" spans="1:15" ht="17.25" customHeight="1">
      <c r="A278" s="44"/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</row>
    <row r="279" spans="1:15" ht="17.25" customHeight="1">
      <c r="A279" s="44"/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</row>
    <row r="280" spans="1:15" ht="17.25" customHeight="1">
      <c r="A280" s="44"/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</row>
    <row r="281" spans="1:15" ht="17.25" customHeight="1">
      <c r="A281" s="44"/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</row>
    <row r="282" spans="1:15" ht="17.25" customHeight="1">
      <c r="A282" s="44"/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</row>
    <row r="283" spans="1:15" ht="17.25" customHeight="1">
      <c r="A283" s="44"/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</row>
    <row r="284" spans="1:15" ht="17.25" customHeight="1">
      <c r="A284" s="44"/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</row>
    <row r="285" spans="1:15" ht="17.25" customHeight="1">
      <c r="A285" s="44"/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</row>
    <row r="286" spans="1:15" ht="17.25" customHeight="1">
      <c r="A286" s="44"/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</row>
    <row r="287" spans="1:15" ht="17.25" customHeight="1">
      <c r="A287" s="44"/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</row>
    <row r="288" spans="1:15" ht="17.25" customHeight="1">
      <c r="A288" s="44"/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</row>
    <row r="289" spans="1:15" ht="17.25" customHeight="1">
      <c r="A289" s="44"/>
      <c r="B289" s="44"/>
      <c r="C289" s="44"/>
      <c r="D289" s="44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</row>
    <row r="290" spans="1:15" ht="17.25" customHeight="1">
      <c r="A290" s="44"/>
      <c r="B290" s="44"/>
      <c r="C290" s="44"/>
      <c r="D290" s="44"/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44"/>
    </row>
    <row r="291" spans="1:15" ht="17.25" customHeight="1">
      <c r="A291" s="44"/>
      <c r="B291" s="44"/>
      <c r="C291" s="44"/>
      <c r="D291" s="44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</row>
    <row r="292" spans="1:15" ht="17.25" customHeight="1">
      <c r="A292" s="44"/>
      <c r="B292" s="44"/>
      <c r="C292" s="44"/>
      <c r="D292" s="44"/>
      <c r="E292" s="44"/>
      <c r="F292" s="44"/>
      <c r="G292" s="44"/>
      <c r="H292" s="44"/>
      <c r="I292" s="44"/>
      <c r="J292" s="44"/>
      <c r="K292" s="44"/>
      <c r="L292" s="44"/>
      <c r="M292" s="44"/>
      <c r="N292" s="44"/>
      <c r="O292" s="44"/>
    </row>
    <row r="293" spans="1:15" ht="17.25" customHeight="1">
      <c r="A293" s="44"/>
      <c r="B293" s="44"/>
      <c r="C293" s="44"/>
      <c r="D293" s="44"/>
      <c r="E293" s="44"/>
      <c r="F293" s="44"/>
      <c r="G293" s="44"/>
      <c r="H293" s="44"/>
      <c r="I293" s="44"/>
      <c r="J293" s="44"/>
      <c r="K293" s="44"/>
      <c r="L293" s="44"/>
      <c r="M293" s="44"/>
      <c r="N293" s="44"/>
      <c r="O293" s="44"/>
    </row>
    <row r="294" spans="1:15" ht="17.25" customHeight="1">
      <c r="A294" s="44"/>
      <c r="B294" s="44"/>
      <c r="C294" s="44"/>
      <c r="D294" s="44"/>
      <c r="E294" s="44"/>
      <c r="F294" s="44"/>
      <c r="G294" s="44"/>
      <c r="H294" s="44"/>
      <c r="I294" s="44"/>
      <c r="J294" s="44"/>
      <c r="K294" s="44"/>
      <c r="L294" s="44"/>
      <c r="M294" s="44"/>
      <c r="N294" s="44"/>
      <c r="O294" s="44"/>
    </row>
    <row r="295" spans="1:15" ht="17.25" customHeight="1">
      <c r="A295" s="44"/>
      <c r="B295" s="44"/>
      <c r="C295" s="44"/>
      <c r="D295" s="44"/>
      <c r="E295" s="44"/>
      <c r="F295" s="44"/>
      <c r="G295" s="44"/>
      <c r="H295" s="44"/>
      <c r="I295" s="44"/>
      <c r="J295" s="44"/>
      <c r="K295" s="44"/>
      <c r="L295" s="44"/>
      <c r="M295" s="44"/>
      <c r="N295" s="44"/>
      <c r="O295" s="44"/>
    </row>
    <row r="296" spans="1:15" ht="17.25" customHeight="1">
      <c r="A296" s="44"/>
      <c r="B296" s="44"/>
      <c r="C296" s="44"/>
      <c r="D296" s="44"/>
      <c r="E296" s="44"/>
      <c r="F296" s="44"/>
      <c r="G296" s="44"/>
      <c r="H296" s="44"/>
      <c r="I296" s="44"/>
      <c r="J296" s="44"/>
      <c r="K296" s="44"/>
      <c r="L296" s="44"/>
      <c r="M296" s="44"/>
      <c r="N296" s="44"/>
      <c r="O296" s="44"/>
    </row>
    <row r="297" spans="1:15" ht="17.25" customHeight="1">
      <c r="A297" s="44"/>
      <c r="B297" s="44"/>
      <c r="C297" s="44"/>
      <c r="D297" s="44"/>
      <c r="E297" s="44"/>
      <c r="F297" s="44"/>
      <c r="G297" s="44"/>
      <c r="H297" s="44"/>
      <c r="I297" s="44"/>
      <c r="J297" s="44"/>
      <c r="K297" s="44"/>
      <c r="L297" s="44"/>
      <c r="M297" s="44"/>
      <c r="N297" s="44"/>
      <c r="O297" s="44"/>
    </row>
    <row r="298" spans="1:15" ht="17.25" customHeight="1">
      <c r="A298" s="44"/>
      <c r="B298" s="44"/>
      <c r="C298" s="44"/>
      <c r="D298" s="44"/>
      <c r="E298" s="44"/>
      <c r="F298" s="44"/>
      <c r="G298" s="44"/>
      <c r="H298" s="44"/>
      <c r="I298" s="44"/>
      <c r="J298" s="44"/>
      <c r="K298" s="44"/>
      <c r="L298" s="44"/>
      <c r="M298" s="44"/>
      <c r="N298" s="44"/>
      <c r="O298" s="44"/>
    </row>
    <row r="299" spans="1:15" ht="17.25" customHeight="1">
      <c r="A299" s="44"/>
      <c r="B299" s="44"/>
      <c r="C299" s="44"/>
      <c r="D299" s="44"/>
      <c r="E299" s="44"/>
      <c r="F299" s="44"/>
      <c r="G299" s="44"/>
      <c r="H299" s="44"/>
      <c r="I299" s="44"/>
      <c r="J299" s="44"/>
      <c r="K299" s="44"/>
      <c r="L299" s="44"/>
      <c r="M299" s="44"/>
      <c r="N299" s="44"/>
      <c r="O299" s="44"/>
    </row>
    <row r="300" spans="1:15" ht="17.25" customHeight="1">
      <c r="A300" s="44"/>
      <c r="B300" s="44"/>
      <c r="C300" s="44"/>
      <c r="D300" s="44"/>
      <c r="E300" s="44"/>
      <c r="F300" s="44"/>
      <c r="G300" s="44"/>
      <c r="H300" s="44"/>
      <c r="I300" s="44"/>
      <c r="J300" s="44"/>
      <c r="K300" s="44"/>
      <c r="L300" s="44"/>
      <c r="M300" s="44"/>
      <c r="N300" s="44"/>
      <c r="O300" s="44"/>
    </row>
    <row r="301" spans="1:15" ht="17.25" customHeight="1">
      <c r="A301" s="44"/>
      <c r="B301" s="44"/>
      <c r="C301" s="44"/>
      <c r="D301" s="44"/>
      <c r="E301" s="44"/>
      <c r="F301" s="44"/>
      <c r="G301" s="44"/>
      <c r="H301" s="44"/>
      <c r="I301" s="44"/>
      <c r="J301" s="44"/>
      <c r="K301" s="44"/>
      <c r="L301" s="44"/>
      <c r="M301" s="44"/>
      <c r="N301" s="44"/>
      <c r="O301" s="44"/>
    </row>
    <row r="302" spans="1:15" ht="17.25" customHeight="1">
      <c r="A302" s="44"/>
      <c r="B302" s="44"/>
      <c r="C302" s="44"/>
      <c r="D302" s="44"/>
      <c r="E302" s="44"/>
      <c r="F302" s="44"/>
      <c r="G302" s="44"/>
      <c r="H302" s="44"/>
      <c r="I302" s="44"/>
      <c r="J302" s="44"/>
      <c r="K302" s="44"/>
      <c r="L302" s="44"/>
      <c r="M302" s="44"/>
      <c r="N302" s="44"/>
      <c r="O302" s="44"/>
    </row>
    <row r="303" spans="1:15" ht="17.25" customHeight="1">
      <c r="A303" s="44"/>
      <c r="B303" s="44"/>
      <c r="C303" s="44"/>
      <c r="D303" s="44"/>
      <c r="E303" s="44"/>
      <c r="F303" s="44"/>
      <c r="G303" s="44"/>
      <c r="H303" s="44"/>
      <c r="I303" s="44"/>
      <c r="J303" s="44"/>
      <c r="K303" s="44"/>
      <c r="L303" s="44"/>
      <c r="M303" s="44"/>
      <c r="N303" s="44"/>
      <c r="O303" s="44"/>
    </row>
    <row r="304" spans="1:15" ht="17.25" customHeight="1">
      <c r="A304" s="44"/>
      <c r="B304" s="44"/>
      <c r="C304" s="44"/>
      <c r="D304" s="44"/>
      <c r="E304" s="44"/>
      <c r="F304" s="44"/>
      <c r="G304" s="44"/>
      <c r="H304" s="44"/>
      <c r="I304" s="44"/>
      <c r="J304" s="44"/>
      <c r="K304" s="44"/>
      <c r="L304" s="44"/>
      <c r="M304" s="44"/>
      <c r="N304" s="44"/>
      <c r="O304" s="44"/>
    </row>
    <row r="305" spans="1:15" ht="17.25" customHeight="1">
      <c r="A305" s="44"/>
      <c r="B305" s="44"/>
      <c r="C305" s="44"/>
      <c r="D305" s="44"/>
      <c r="E305" s="44"/>
      <c r="F305" s="44"/>
      <c r="G305" s="44"/>
      <c r="H305" s="44"/>
      <c r="I305" s="44"/>
      <c r="J305" s="44"/>
      <c r="K305" s="44"/>
      <c r="L305" s="44"/>
      <c r="M305" s="44"/>
      <c r="N305" s="44"/>
      <c r="O305" s="44"/>
    </row>
    <row r="306" spans="1:15" ht="17.25" customHeight="1">
      <c r="A306" s="44"/>
      <c r="B306" s="44"/>
      <c r="C306" s="44"/>
      <c r="D306" s="44"/>
      <c r="E306" s="44"/>
      <c r="F306" s="44"/>
      <c r="G306" s="44"/>
      <c r="H306" s="44"/>
      <c r="I306" s="44"/>
      <c r="J306" s="44"/>
      <c r="K306" s="44"/>
      <c r="L306" s="44"/>
      <c r="M306" s="44"/>
      <c r="N306" s="44"/>
      <c r="O306" s="44"/>
    </row>
    <row r="307" spans="1:15" ht="17.25" customHeight="1">
      <c r="A307" s="44"/>
      <c r="B307" s="44"/>
      <c r="C307" s="44"/>
      <c r="D307" s="44"/>
      <c r="E307" s="44"/>
      <c r="F307" s="44"/>
      <c r="G307" s="44"/>
      <c r="H307" s="44"/>
      <c r="I307" s="44"/>
      <c r="J307" s="44"/>
      <c r="K307" s="44"/>
      <c r="L307" s="44"/>
      <c r="M307" s="44"/>
      <c r="N307" s="44"/>
      <c r="O307" s="44"/>
    </row>
    <row r="308" spans="1:15" ht="17.25" customHeight="1">
      <c r="A308" s="44"/>
      <c r="B308" s="44"/>
      <c r="C308" s="44"/>
      <c r="D308" s="44"/>
      <c r="E308" s="44"/>
      <c r="F308" s="44"/>
      <c r="G308" s="44"/>
      <c r="H308" s="44"/>
      <c r="I308" s="44"/>
      <c r="J308" s="44"/>
      <c r="K308" s="44"/>
      <c r="L308" s="44"/>
      <c r="M308" s="44"/>
      <c r="N308" s="44"/>
      <c r="O308" s="44"/>
    </row>
    <row r="309" spans="1:15" ht="17.25" customHeight="1">
      <c r="A309" s="44"/>
      <c r="B309" s="44"/>
      <c r="C309" s="44"/>
      <c r="D309" s="44"/>
      <c r="E309" s="44"/>
      <c r="F309" s="44"/>
      <c r="G309" s="44"/>
      <c r="H309" s="44"/>
      <c r="I309" s="44"/>
      <c r="J309" s="44"/>
      <c r="K309" s="44"/>
      <c r="L309" s="44"/>
      <c r="M309" s="44"/>
      <c r="N309" s="44"/>
      <c r="O309" s="44"/>
    </row>
    <row r="310" spans="1:15" ht="17.25" customHeight="1">
      <c r="A310" s="44"/>
      <c r="B310" s="44"/>
      <c r="C310" s="44"/>
      <c r="D310" s="44"/>
      <c r="E310" s="44"/>
      <c r="F310" s="44"/>
      <c r="G310" s="44"/>
      <c r="H310" s="44"/>
      <c r="I310" s="44"/>
      <c r="J310" s="44"/>
      <c r="K310" s="44"/>
      <c r="L310" s="44"/>
      <c r="M310" s="44"/>
      <c r="N310" s="44"/>
      <c r="O310" s="44"/>
    </row>
    <row r="311" spans="1:15" ht="17.25" customHeight="1">
      <c r="A311" s="44"/>
      <c r="B311" s="44"/>
      <c r="C311" s="44"/>
      <c r="D311" s="44"/>
      <c r="E311" s="44"/>
      <c r="F311" s="44"/>
      <c r="G311" s="44"/>
      <c r="H311" s="44"/>
      <c r="I311" s="44"/>
      <c r="J311" s="44"/>
      <c r="K311" s="44"/>
      <c r="L311" s="44"/>
      <c r="M311" s="44"/>
      <c r="N311" s="44"/>
      <c r="O311" s="44"/>
    </row>
    <row r="312" spans="1:15" ht="17.25" customHeight="1">
      <c r="A312" s="44"/>
      <c r="B312" s="44"/>
      <c r="C312" s="44"/>
      <c r="D312" s="44"/>
      <c r="E312" s="44"/>
      <c r="F312" s="44"/>
      <c r="G312" s="44"/>
      <c r="H312" s="44"/>
      <c r="I312" s="44"/>
      <c r="J312" s="44"/>
      <c r="K312" s="44"/>
      <c r="L312" s="44"/>
      <c r="M312" s="44"/>
      <c r="N312" s="44"/>
      <c r="O312" s="44"/>
    </row>
    <row r="313" spans="1:15" ht="17.25" customHeight="1">
      <c r="A313" s="44"/>
      <c r="B313" s="44"/>
      <c r="C313" s="44"/>
      <c r="D313" s="44"/>
      <c r="E313" s="44"/>
      <c r="F313" s="44"/>
      <c r="G313" s="44"/>
      <c r="H313" s="44"/>
      <c r="I313" s="44"/>
      <c r="J313" s="44"/>
      <c r="K313" s="44"/>
      <c r="L313" s="44"/>
      <c r="M313" s="44"/>
      <c r="N313" s="44"/>
      <c r="O313" s="44"/>
    </row>
    <row r="314" spans="1:15" ht="17.25" customHeight="1">
      <c r="A314" s="44"/>
      <c r="B314" s="44"/>
      <c r="C314" s="44"/>
      <c r="D314" s="44"/>
      <c r="E314" s="44"/>
      <c r="F314" s="44"/>
      <c r="G314" s="44"/>
      <c r="H314" s="44"/>
      <c r="I314" s="44"/>
      <c r="J314" s="44"/>
      <c r="K314" s="44"/>
      <c r="L314" s="44"/>
      <c r="M314" s="44"/>
      <c r="N314" s="44"/>
      <c r="O314" s="44"/>
    </row>
    <row r="315" spans="1:15" ht="17.25" customHeight="1">
      <c r="A315" s="44"/>
      <c r="B315" s="44"/>
      <c r="C315" s="44"/>
      <c r="D315" s="44"/>
      <c r="E315" s="44"/>
      <c r="F315" s="44"/>
      <c r="G315" s="44"/>
      <c r="H315" s="44"/>
      <c r="I315" s="44"/>
      <c r="J315" s="44"/>
      <c r="K315" s="44"/>
      <c r="L315" s="44"/>
      <c r="M315" s="44"/>
      <c r="N315" s="44"/>
      <c r="O315" s="44"/>
    </row>
    <row r="316" spans="1:15" ht="17.25" customHeight="1">
      <c r="A316" s="44"/>
      <c r="B316" s="44"/>
      <c r="C316" s="44"/>
      <c r="D316" s="44"/>
      <c r="E316" s="44"/>
      <c r="F316" s="44"/>
      <c r="G316" s="44"/>
      <c r="H316" s="44"/>
      <c r="I316" s="44"/>
      <c r="J316" s="44"/>
      <c r="K316" s="44"/>
      <c r="L316" s="44"/>
      <c r="M316" s="44"/>
      <c r="N316" s="44"/>
      <c r="O316" s="44"/>
    </row>
    <row r="317" spans="1:15" ht="17.25" customHeight="1">
      <c r="A317" s="44"/>
      <c r="B317" s="44"/>
      <c r="C317" s="44"/>
      <c r="D317" s="44"/>
      <c r="E317" s="44"/>
      <c r="F317" s="44"/>
      <c r="G317" s="44"/>
      <c r="H317" s="44"/>
      <c r="I317" s="44"/>
      <c r="J317" s="44"/>
      <c r="K317" s="44"/>
      <c r="L317" s="44"/>
      <c r="M317" s="44"/>
      <c r="N317" s="44"/>
      <c r="O317" s="44"/>
    </row>
    <row r="318" spans="1:15" ht="17.25" customHeight="1">
      <c r="A318" s="44"/>
      <c r="B318" s="44"/>
      <c r="C318" s="44"/>
      <c r="D318" s="44"/>
      <c r="E318" s="44"/>
      <c r="F318" s="44"/>
      <c r="G318" s="44"/>
      <c r="H318" s="44"/>
      <c r="I318" s="44"/>
      <c r="J318" s="44"/>
      <c r="K318" s="44"/>
      <c r="L318" s="44"/>
      <c r="M318" s="44"/>
      <c r="N318" s="44"/>
      <c r="O318" s="44"/>
    </row>
    <row r="319" spans="1:15" ht="17.25" customHeight="1">
      <c r="A319" s="44"/>
      <c r="B319" s="44"/>
      <c r="C319" s="44"/>
      <c r="D319" s="44"/>
      <c r="E319" s="44"/>
      <c r="F319" s="44"/>
      <c r="G319" s="44"/>
      <c r="H319" s="44"/>
      <c r="I319" s="44"/>
      <c r="J319" s="44"/>
      <c r="K319" s="44"/>
      <c r="L319" s="44"/>
      <c r="M319" s="44"/>
      <c r="N319" s="44"/>
      <c r="O319" s="44"/>
    </row>
    <row r="320" spans="1:15" ht="17.25" customHeight="1">
      <c r="A320" s="44"/>
      <c r="B320" s="44"/>
      <c r="C320" s="44"/>
      <c r="D320" s="44"/>
      <c r="E320" s="44"/>
      <c r="F320" s="44"/>
      <c r="G320" s="44"/>
      <c r="H320" s="44"/>
      <c r="I320" s="44"/>
      <c r="J320" s="44"/>
      <c r="K320" s="44"/>
      <c r="L320" s="44"/>
      <c r="M320" s="44"/>
      <c r="N320" s="44"/>
      <c r="O320" s="44"/>
    </row>
    <row r="321" spans="1:15" ht="17.25" customHeight="1">
      <c r="A321" s="44"/>
      <c r="B321" s="44"/>
      <c r="C321" s="44"/>
      <c r="D321" s="44"/>
      <c r="E321" s="44"/>
      <c r="F321" s="44"/>
      <c r="G321" s="44"/>
      <c r="H321" s="44"/>
      <c r="I321" s="44"/>
      <c r="J321" s="44"/>
      <c r="K321" s="44"/>
      <c r="L321" s="44"/>
      <c r="M321" s="44"/>
      <c r="N321" s="44"/>
      <c r="O321" s="44"/>
    </row>
    <row r="322" spans="1:15" ht="17.25" customHeight="1">
      <c r="A322" s="44"/>
      <c r="B322" s="44"/>
      <c r="C322" s="44"/>
      <c r="D322" s="44"/>
      <c r="E322" s="44"/>
      <c r="F322" s="44"/>
      <c r="G322" s="44"/>
      <c r="H322" s="44"/>
      <c r="I322" s="44"/>
      <c r="J322" s="44"/>
      <c r="K322" s="44"/>
      <c r="L322" s="44"/>
      <c r="M322" s="44"/>
      <c r="N322" s="44"/>
      <c r="O322" s="44"/>
    </row>
    <row r="323" spans="1:15" ht="17.25" customHeight="1">
      <c r="A323" s="44"/>
      <c r="B323" s="44"/>
      <c r="C323" s="44"/>
      <c r="D323" s="44"/>
      <c r="E323" s="44"/>
      <c r="F323" s="44"/>
      <c r="G323" s="44"/>
      <c r="H323" s="44"/>
      <c r="I323" s="44"/>
      <c r="J323" s="44"/>
      <c r="K323" s="44"/>
      <c r="L323" s="44"/>
      <c r="M323" s="44"/>
      <c r="N323" s="44"/>
      <c r="O323" s="44"/>
    </row>
    <row r="324" spans="1:15" ht="17.25" customHeight="1">
      <c r="A324" s="44"/>
      <c r="B324" s="44"/>
      <c r="C324" s="44"/>
      <c r="D324" s="44"/>
      <c r="E324" s="44"/>
      <c r="F324" s="44"/>
      <c r="G324" s="44"/>
      <c r="H324" s="44"/>
      <c r="I324" s="44"/>
      <c r="J324" s="44"/>
      <c r="K324" s="44"/>
      <c r="L324" s="44"/>
      <c r="M324" s="44"/>
      <c r="N324" s="44"/>
      <c r="O324" s="44"/>
    </row>
    <row r="325" spans="1:15" ht="17.25" customHeight="1">
      <c r="A325" s="44"/>
      <c r="B325" s="44"/>
      <c r="C325" s="44"/>
      <c r="D325" s="44"/>
      <c r="E325" s="44"/>
      <c r="F325" s="44"/>
      <c r="G325" s="44"/>
      <c r="H325" s="44"/>
      <c r="I325" s="44"/>
      <c r="J325" s="44"/>
      <c r="K325" s="44"/>
      <c r="L325" s="44"/>
      <c r="M325" s="44"/>
      <c r="N325" s="44"/>
      <c r="O325" s="44"/>
    </row>
    <row r="326" spans="1:15" ht="17.25" customHeight="1">
      <c r="A326" s="44"/>
      <c r="B326" s="44"/>
      <c r="C326" s="44"/>
      <c r="D326" s="44"/>
      <c r="E326" s="44"/>
      <c r="F326" s="44"/>
      <c r="G326" s="44"/>
      <c r="H326" s="44"/>
      <c r="I326" s="44"/>
      <c r="J326" s="44"/>
      <c r="K326" s="44"/>
      <c r="L326" s="44"/>
      <c r="M326" s="44"/>
      <c r="N326" s="44"/>
      <c r="O326" s="44"/>
    </row>
    <row r="327" spans="1:15" ht="17.25" customHeight="1">
      <c r="A327" s="44"/>
      <c r="B327" s="44"/>
      <c r="C327" s="44"/>
      <c r="D327" s="44"/>
      <c r="E327" s="44"/>
      <c r="F327" s="44"/>
      <c r="G327" s="44"/>
      <c r="H327" s="44"/>
      <c r="I327" s="44"/>
      <c r="J327" s="44"/>
      <c r="K327" s="44"/>
      <c r="L327" s="44"/>
      <c r="M327" s="44"/>
      <c r="N327" s="44"/>
      <c r="O327" s="44"/>
    </row>
    <row r="328" spans="1:15" ht="17.25" customHeight="1">
      <c r="A328" s="44"/>
      <c r="B328" s="44"/>
      <c r="C328" s="44"/>
      <c r="D328" s="44"/>
      <c r="E328" s="44"/>
      <c r="F328" s="44"/>
      <c r="G328" s="44"/>
      <c r="H328" s="44"/>
      <c r="I328" s="44"/>
      <c r="J328" s="44"/>
      <c r="K328" s="44"/>
      <c r="L328" s="44"/>
      <c r="M328" s="44"/>
      <c r="N328" s="44"/>
      <c r="O328" s="44"/>
    </row>
    <row r="329" spans="1:15" ht="17.25" customHeight="1">
      <c r="A329" s="44"/>
      <c r="B329" s="44"/>
      <c r="C329" s="44"/>
      <c r="D329" s="44"/>
      <c r="E329" s="44"/>
      <c r="F329" s="44"/>
      <c r="G329" s="44"/>
      <c r="H329" s="44"/>
      <c r="I329" s="44"/>
      <c r="J329" s="44"/>
      <c r="K329" s="44"/>
      <c r="L329" s="44"/>
      <c r="M329" s="44"/>
      <c r="N329" s="44"/>
      <c r="O329" s="44"/>
    </row>
    <row r="330" spans="1:15" ht="17.25" customHeight="1">
      <c r="A330" s="44"/>
      <c r="B330" s="44"/>
      <c r="C330" s="44"/>
      <c r="D330" s="44"/>
      <c r="E330" s="44"/>
      <c r="F330" s="44"/>
      <c r="G330" s="44"/>
      <c r="H330" s="44"/>
      <c r="I330" s="44"/>
      <c r="J330" s="44"/>
      <c r="K330" s="44"/>
      <c r="L330" s="44"/>
      <c r="M330" s="44"/>
      <c r="N330" s="44"/>
      <c r="O330" s="44"/>
    </row>
    <row r="331" spans="1:15" ht="17.25" customHeight="1">
      <c r="A331" s="44"/>
      <c r="B331" s="44"/>
      <c r="C331" s="44"/>
      <c r="D331" s="44"/>
      <c r="E331" s="44"/>
      <c r="F331" s="44"/>
      <c r="G331" s="44"/>
      <c r="H331" s="44"/>
      <c r="I331" s="44"/>
      <c r="J331" s="44"/>
      <c r="K331" s="44"/>
      <c r="L331" s="44"/>
      <c r="M331" s="44"/>
      <c r="N331" s="44"/>
      <c r="O331" s="44"/>
    </row>
    <row r="332" spans="1:15" ht="17.25" customHeight="1">
      <c r="A332" s="44"/>
      <c r="B332" s="44"/>
      <c r="C332" s="44"/>
      <c r="D332" s="44"/>
      <c r="E332" s="44"/>
      <c r="F332" s="44"/>
      <c r="G332" s="44"/>
      <c r="H332" s="44"/>
      <c r="I332" s="44"/>
      <c r="J332" s="44"/>
      <c r="K332" s="44"/>
      <c r="L332" s="44"/>
      <c r="M332" s="44"/>
      <c r="N332" s="44"/>
      <c r="O332" s="44"/>
    </row>
    <row r="333" spans="1:15" ht="17.25" customHeight="1">
      <c r="A333" s="44"/>
      <c r="B333" s="44"/>
      <c r="C333" s="44"/>
      <c r="D333" s="44"/>
      <c r="E333" s="44"/>
      <c r="F333" s="44"/>
      <c r="G333" s="44"/>
      <c r="H333" s="44"/>
      <c r="I333" s="44"/>
      <c r="J333" s="44"/>
      <c r="K333" s="44"/>
      <c r="L333" s="44"/>
      <c r="M333" s="44"/>
      <c r="N333" s="44"/>
      <c r="O333" s="44"/>
    </row>
    <row r="334" spans="1:15" ht="17.25" customHeight="1">
      <c r="A334" s="44"/>
      <c r="B334" s="44"/>
      <c r="C334" s="44"/>
      <c r="D334" s="44"/>
      <c r="E334" s="44"/>
      <c r="F334" s="44"/>
      <c r="G334" s="44"/>
      <c r="H334" s="44"/>
      <c r="I334" s="44"/>
      <c r="J334" s="44"/>
      <c r="K334" s="44"/>
      <c r="L334" s="44"/>
      <c r="M334" s="44"/>
      <c r="N334" s="44"/>
      <c r="O334" s="44"/>
    </row>
    <row r="335" spans="1:15" ht="17.25" customHeight="1">
      <c r="A335" s="44"/>
      <c r="B335" s="44"/>
      <c r="C335" s="44"/>
      <c r="D335" s="44"/>
      <c r="E335" s="44"/>
      <c r="F335" s="44"/>
      <c r="G335" s="44"/>
      <c r="H335" s="44"/>
      <c r="I335" s="44"/>
      <c r="J335" s="44"/>
      <c r="K335" s="44"/>
      <c r="L335" s="44"/>
      <c r="M335" s="44"/>
      <c r="N335" s="44"/>
      <c r="O335" s="44"/>
    </row>
    <row r="336" spans="1:15" ht="17.25" customHeight="1">
      <c r="A336" s="44"/>
      <c r="B336" s="44"/>
      <c r="C336" s="44"/>
      <c r="D336" s="44"/>
      <c r="E336" s="44"/>
      <c r="F336" s="44"/>
      <c r="G336" s="44"/>
      <c r="H336" s="44"/>
      <c r="I336" s="44"/>
      <c r="J336" s="44"/>
      <c r="K336" s="44"/>
      <c r="L336" s="44"/>
      <c r="M336" s="44"/>
      <c r="N336" s="44"/>
      <c r="O336" s="44"/>
    </row>
    <row r="337" spans="1:15" ht="17.25" customHeight="1">
      <c r="A337" s="44"/>
      <c r="B337" s="44"/>
      <c r="C337" s="44"/>
      <c r="D337" s="44"/>
      <c r="E337" s="44"/>
      <c r="F337" s="44"/>
      <c r="G337" s="44"/>
      <c r="H337" s="44"/>
      <c r="I337" s="44"/>
      <c r="J337" s="44"/>
      <c r="K337" s="44"/>
      <c r="L337" s="44"/>
      <c r="M337" s="44"/>
      <c r="N337" s="44"/>
      <c r="O337" s="44"/>
    </row>
    <row r="338" spans="1:15" ht="17.25" customHeight="1">
      <c r="A338" s="44"/>
      <c r="B338" s="44"/>
      <c r="C338" s="44"/>
      <c r="D338" s="44"/>
      <c r="E338" s="44"/>
      <c r="F338" s="44"/>
      <c r="G338" s="44"/>
      <c r="H338" s="44"/>
      <c r="I338" s="44"/>
      <c r="J338" s="44"/>
      <c r="K338" s="44"/>
      <c r="L338" s="44"/>
      <c r="M338" s="44"/>
      <c r="N338" s="44"/>
      <c r="O338" s="44"/>
    </row>
    <row r="339" spans="1:15" ht="17.25" customHeight="1">
      <c r="A339" s="44"/>
      <c r="B339" s="44"/>
      <c r="C339" s="44"/>
      <c r="D339" s="44"/>
      <c r="E339" s="44"/>
      <c r="F339" s="44"/>
      <c r="G339" s="44"/>
      <c r="H339" s="44"/>
      <c r="I339" s="44"/>
      <c r="J339" s="44"/>
      <c r="K339" s="44"/>
      <c r="L339" s="44"/>
      <c r="M339" s="44"/>
      <c r="N339" s="44"/>
      <c r="O339" s="44"/>
    </row>
    <row r="340" spans="1:15" ht="17.25" customHeight="1">
      <c r="A340" s="44"/>
      <c r="B340" s="44"/>
      <c r="C340" s="44"/>
      <c r="D340" s="44"/>
      <c r="E340" s="44"/>
      <c r="F340" s="44"/>
      <c r="G340" s="44"/>
      <c r="H340" s="44"/>
      <c r="I340" s="44"/>
      <c r="J340" s="44"/>
      <c r="K340" s="44"/>
      <c r="L340" s="44"/>
      <c r="M340" s="44"/>
      <c r="N340" s="44"/>
      <c r="O340" s="44"/>
    </row>
    <row r="341" spans="1:15" ht="17.25" customHeight="1">
      <c r="A341" s="44"/>
      <c r="B341" s="44"/>
      <c r="C341" s="44"/>
      <c r="D341" s="44"/>
      <c r="E341" s="44"/>
      <c r="F341" s="44"/>
      <c r="G341" s="44"/>
      <c r="H341" s="44"/>
      <c r="I341" s="44"/>
      <c r="J341" s="44"/>
      <c r="K341" s="44"/>
      <c r="L341" s="44"/>
      <c r="M341" s="44"/>
      <c r="N341" s="44"/>
      <c r="O341" s="44"/>
    </row>
    <row r="342" spans="1:15" ht="17.25" customHeight="1">
      <c r="A342" s="44"/>
      <c r="B342" s="44"/>
      <c r="C342" s="44"/>
      <c r="D342" s="44"/>
      <c r="E342" s="44"/>
      <c r="F342" s="44"/>
      <c r="G342" s="44"/>
      <c r="H342" s="44"/>
      <c r="I342" s="44"/>
      <c r="J342" s="44"/>
      <c r="K342" s="44"/>
      <c r="L342" s="44"/>
      <c r="M342" s="44"/>
      <c r="N342" s="44"/>
      <c r="O342" s="44"/>
    </row>
    <row r="343" spans="1:15" ht="17.25" customHeight="1">
      <c r="A343" s="44"/>
      <c r="B343" s="44"/>
      <c r="C343" s="44"/>
      <c r="D343" s="44"/>
      <c r="E343" s="44"/>
      <c r="F343" s="44"/>
      <c r="G343" s="44"/>
      <c r="H343" s="44"/>
      <c r="I343" s="44"/>
      <c r="J343" s="44"/>
      <c r="K343" s="44"/>
      <c r="L343" s="44"/>
      <c r="M343" s="44"/>
      <c r="N343" s="44"/>
      <c r="O343" s="44"/>
    </row>
    <row r="344" spans="1:15" ht="17.25" customHeight="1">
      <c r="A344" s="44"/>
      <c r="B344" s="44"/>
      <c r="C344" s="44"/>
      <c r="D344" s="44"/>
      <c r="E344" s="44"/>
      <c r="F344" s="44"/>
      <c r="G344" s="44"/>
      <c r="H344" s="44"/>
      <c r="I344" s="44"/>
      <c r="J344" s="44"/>
      <c r="K344" s="44"/>
      <c r="L344" s="44"/>
      <c r="M344" s="44"/>
      <c r="N344" s="44"/>
      <c r="O344" s="44"/>
    </row>
    <row r="345" spans="1:15" ht="17.25" customHeight="1">
      <c r="A345" s="44"/>
      <c r="B345" s="44"/>
      <c r="C345" s="44"/>
      <c r="D345" s="44"/>
      <c r="E345" s="44"/>
      <c r="F345" s="44"/>
      <c r="G345" s="44"/>
      <c r="H345" s="44"/>
      <c r="I345" s="44"/>
      <c r="J345" s="44"/>
      <c r="K345" s="44"/>
      <c r="L345" s="44"/>
      <c r="M345" s="44"/>
      <c r="N345" s="44"/>
      <c r="O345" s="44"/>
    </row>
    <row r="346" spans="1:15" ht="17.25" customHeight="1">
      <c r="A346" s="44"/>
      <c r="B346" s="44"/>
      <c r="C346" s="44"/>
      <c r="D346" s="44"/>
      <c r="E346" s="44"/>
      <c r="F346" s="44"/>
      <c r="G346" s="44"/>
      <c r="H346" s="44"/>
      <c r="I346" s="44"/>
      <c r="J346" s="44"/>
      <c r="K346" s="44"/>
      <c r="L346" s="44"/>
      <c r="M346" s="44"/>
      <c r="N346" s="44"/>
      <c r="O346" s="44"/>
    </row>
    <row r="347" spans="1:15" ht="17.25" customHeight="1">
      <c r="A347" s="44"/>
      <c r="B347" s="44"/>
      <c r="C347" s="44"/>
      <c r="D347" s="44"/>
      <c r="E347" s="44"/>
      <c r="F347" s="44"/>
      <c r="G347" s="44"/>
      <c r="H347" s="44"/>
      <c r="I347" s="44"/>
      <c r="J347" s="44"/>
      <c r="K347" s="44"/>
      <c r="L347" s="44"/>
      <c r="M347" s="44"/>
      <c r="N347" s="44"/>
      <c r="O347" s="44"/>
    </row>
    <row r="348" spans="1:15" ht="17.25" customHeight="1">
      <c r="A348" s="44"/>
      <c r="B348" s="44"/>
      <c r="C348" s="44"/>
      <c r="D348" s="44"/>
      <c r="E348" s="44"/>
      <c r="F348" s="44"/>
      <c r="G348" s="44"/>
      <c r="H348" s="44"/>
      <c r="I348" s="44"/>
      <c r="J348" s="44"/>
      <c r="K348" s="44"/>
      <c r="L348" s="44"/>
      <c r="M348" s="44"/>
      <c r="N348" s="44"/>
      <c r="O348" s="44"/>
    </row>
    <row r="349" spans="1:15" ht="17.25" customHeight="1">
      <c r="A349" s="44"/>
      <c r="B349" s="44"/>
      <c r="C349" s="44"/>
      <c r="D349" s="44"/>
      <c r="E349" s="44"/>
      <c r="F349" s="44"/>
      <c r="G349" s="44"/>
      <c r="H349" s="44"/>
      <c r="I349" s="44"/>
      <c r="J349" s="44"/>
      <c r="K349" s="44"/>
      <c r="L349" s="44"/>
      <c r="M349" s="44"/>
      <c r="N349" s="44"/>
      <c r="O349" s="44"/>
    </row>
    <row r="350" spans="1:15" ht="17.25" customHeight="1">
      <c r="A350" s="44"/>
      <c r="B350" s="44"/>
      <c r="C350" s="44"/>
      <c r="D350" s="44"/>
      <c r="E350" s="44"/>
      <c r="F350" s="44"/>
      <c r="G350" s="44"/>
      <c r="H350" s="44"/>
      <c r="I350" s="44"/>
      <c r="J350" s="44"/>
      <c r="K350" s="44"/>
      <c r="L350" s="44"/>
      <c r="M350" s="44"/>
      <c r="N350" s="44"/>
      <c r="O350" s="44"/>
    </row>
    <row r="351" spans="1:15" ht="17.25" customHeight="1">
      <c r="A351" s="44"/>
      <c r="B351" s="44"/>
      <c r="C351" s="44"/>
      <c r="D351" s="44"/>
      <c r="E351" s="44"/>
      <c r="F351" s="44"/>
      <c r="G351" s="44"/>
      <c r="H351" s="44"/>
      <c r="I351" s="44"/>
      <c r="J351" s="44"/>
      <c r="K351" s="44"/>
      <c r="L351" s="44"/>
      <c r="M351" s="44"/>
      <c r="N351" s="44"/>
      <c r="O351" s="44"/>
    </row>
    <row r="352" spans="1:15" ht="17.25" customHeight="1">
      <c r="A352" s="44"/>
      <c r="B352" s="44"/>
      <c r="C352" s="44"/>
      <c r="D352" s="44"/>
      <c r="E352" s="44"/>
      <c r="F352" s="44"/>
      <c r="G352" s="44"/>
      <c r="H352" s="44"/>
      <c r="I352" s="44"/>
      <c r="J352" s="44"/>
      <c r="K352" s="44"/>
      <c r="L352" s="44"/>
      <c r="M352" s="44"/>
      <c r="N352" s="44"/>
      <c r="O352" s="44"/>
    </row>
    <row r="353" spans="1:15" ht="17.25" customHeight="1">
      <c r="A353" s="44"/>
      <c r="B353" s="44"/>
      <c r="C353" s="44"/>
      <c r="D353" s="44"/>
      <c r="E353" s="44"/>
      <c r="F353" s="44"/>
      <c r="G353" s="44"/>
      <c r="H353" s="44"/>
      <c r="I353" s="44"/>
      <c r="J353" s="44"/>
      <c r="K353" s="44"/>
      <c r="L353" s="44"/>
      <c r="M353" s="44"/>
      <c r="N353" s="44"/>
      <c r="O353" s="44"/>
    </row>
    <row r="354" spans="1:15" ht="17.25" customHeight="1">
      <c r="A354" s="44"/>
      <c r="B354" s="44"/>
      <c r="C354" s="44"/>
      <c r="D354" s="44"/>
      <c r="E354" s="44"/>
      <c r="F354" s="44"/>
      <c r="G354" s="44"/>
      <c r="H354" s="44"/>
      <c r="I354" s="44"/>
      <c r="J354" s="44"/>
      <c r="K354" s="44"/>
      <c r="L354" s="44"/>
      <c r="M354" s="44"/>
      <c r="N354" s="44"/>
      <c r="O354" s="44"/>
    </row>
    <row r="355" spans="1:15" ht="17.25" customHeight="1">
      <c r="A355" s="44"/>
      <c r="B355" s="44"/>
      <c r="C355" s="44"/>
      <c r="D355" s="44"/>
      <c r="E355" s="44"/>
      <c r="F355" s="44"/>
      <c r="G355" s="44"/>
      <c r="H355" s="44"/>
      <c r="I355" s="44"/>
      <c r="J355" s="44"/>
      <c r="K355" s="44"/>
      <c r="L355" s="44"/>
      <c r="M355" s="44"/>
      <c r="N355" s="44"/>
      <c r="O355" s="44"/>
    </row>
    <row r="356" spans="1:15" ht="17.25" customHeight="1">
      <c r="A356" s="44"/>
      <c r="B356" s="44"/>
      <c r="C356" s="44"/>
      <c r="D356" s="44"/>
      <c r="E356" s="44"/>
      <c r="F356" s="44"/>
      <c r="G356" s="44"/>
      <c r="H356" s="44"/>
      <c r="I356" s="44"/>
      <c r="J356" s="44"/>
      <c r="K356" s="44"/>
      <c r="L356" s="44"/>
      <c r="M356" s="44"/>
      <c r="N356" s="44"/>
      <c r="O356" s="44"/>
    </row>
    <row r="357" spans="1:15" ht="17.25" customHeight="1">
      <c r="A357" s="44"/>
      <c r="B357" s="44"/>
      <c r="C357" s="44"/>
      <c r="D357" s="44"/>
      <c r="E357" s="44"/>
      <c r="F357" s="44"/>
      <c r="G357" s="44"/>
      <c r="H357" s="44"/>
      <c r="I357" s="44"/>
      <c r="J357" s="44"/>
      <c r="K357" s="44"/>
      <c r="L357" s="44"/>
      <c r="M357" s="44"/>
      <c r="N357" s="44"/>
      <c r="O357" s="44"/>
    </row>
    <row r="358" spans="1:15" ht="17.25" customHeight="1">
      <c r="A358" s="44"/>
      <c r="B358" s="44"/>
      <c r="C358" s="44"/>
      <c r="D358" s="44"/>
      <c r="E358" s="44"/>
      <c r="F358" s="44"/>
      <c r="G358" s="44"/>
      <c r="H358" s="44"/>
      <c r="I358" s="44"/>
      <c r="J358" s="44"/>
      <c r="K358" s="44"/>
      <c r="L358" s="44"/>
      <c r="M358" s="44"/>
      <c r="N358" s="44"/>
      <c r="O358" s="44"/>
    </row>
    <row r="359" spans="1:15" ht="17.25" customHeight="1">
      <c r="A359" s="44"/>
      <c r="B359" s="44"/>
      <c r="C359" s="44"/>
      <c r="D359" s="44"/>
      <c r="E359" s="44"/>
      <c r="F359" s="44"/>
      <c r="G359" s="44"/>
      <c r="H359" s="44"/>
      <c r="I359" s="44"/>
      <c r="J359" s="44"/>
      <c r="K359" s="44"/>
      <c r="L359" s="44"/>
      <c r="M359" s="44"/>
      <c r="N359" s="44"/>
      <c r="O359" s="44"/>
    </row>
    <row r="360" spans="1:15" ht="17.25" customHeight="1">
      <c r="A360" s="44"/>
      <c r="B360" s="44"/>
      <c r="C360" s="44"/>
      <c r="D360" s="44"/>
      <c r="E360" s="44"/>
      <c r="F360" s="44"/>
      <c r="G360" s="44"/>
      <c r="H360" s="44"/>
      <c r="I360" s="44"/>
      <c r="J360" s="44"/>
      <c r="K360" s="44"/>
      <c r="L360" s="44"/>
      <c r="M360" s="44"/>
      <c r="N360" s="44"/>
      <c r="O360" s="44"/>
    </row>
    <row r="361" spans="1:15" ht="17.25" customHeight="1">
      <c r="A361" s="44"/>
      <c r="B361" s="44"/>
      <c r="C361" s="44"/>
      <c r="D361" s="44"/>
      <c r="E361" s="44"/>
      <c r="F361" s="44"/>
      <c r="G361" s="44"/>
      <c r="H361" s="44"/>
      <c r="I361" s="44"/>
      <c r="J361" s="44"/>
      <c r="K361" s="44"/>
      <c r="L361" s="44"/>
      <c r="M361" s="44"/>
      <c r="N361" s="44"/>
      <c r="O361" s="44"/>
    </row>
    <row r="362" spans="1:15" ht="17.25" customHeight="1">
      <c r="A362" s="44"/>
      <c r="B362" s="44"/>
      <c r="C362" s="44"/>
      <c r="D362" s="44"/>
      <c r="E362" s="44"/>
      <c r="F362" s="44"/>
      <c r="G362" s="44"/>
      <c r="H362" s="44"/>
      <c r="I362" s="44"/>
      <c r="J362" s="44"/>
      <c r="K362" s="44"/>
      <c r="L362" s="44"/>
      <c r="M362" s="44"/>
      <c r="N362" s="44"/>
      <c r="O362" s="44"/>
    </row>
    <row r="363" spans="1:15" ht="17.25" customHeight="1">
      <c r="A363" s="44"/>
      <c r="B363" s="44"/>
      <c r="C363" s="44"/>
      <c r="D363" s="44"/>
      <c r="E363" s="44"/>
      <c r="F363" s="44"/>
      <c r="G363" s="44"/>
      <c r="H363" s="44"/>
      <c r="I363" s="44"/>
      <c r="J363" s="44"/>
      <c r="K363" s="44"/>
      <c r="L363" s="44"/>
      <c r="M363" s="44"/>
      <c r="N363" s="44"/>
      <c r="O363" s="44"/>
    </row>
    <row r="364" spans="1:15" ht="17.25" customHeight="1">
      <c r="A364" s="44"/>
      <c r="B364" s="44"/>
      <c r="C364" s="44"/>
      <c r="D364" s="44"/>
      <c r="E364" s="44"/>
      <c r="F364" s="44"/>
      <c r="G364" s="44"/>
      <c r="H364" s="44"/>
      <c r="I364" s="44"/>
      <c r="J364" s="44"/>
      <c r="K364" s="44"/>
      <c r="L364" s="44"/>
      <c r="M364" s="44"/>
      <c r="N364" s="44"/>
      <c r="O364" s="44"/>
    </row>
    <row r="365" spans="1:15" ht="17.25" customHeight="1">
      <c r="A365" s="44"/>
      <c r="B365" s="44"/>
      <c r="C365" s="44"/>
      <c r="D365" s="44"/>
      <c r="E365" s="44"/>
      <c r="F365" s="44"/>
      <c r="G365" s="44"/>
      <c r="H365" s="44"/>
      <c r="I365" s="44"/>
      <c r="J365" s="44"/>
      <c r="K365" s="44"/>
      <c r="L365" s="44"/>
      <c r="M365" s="44"/>
      <c r="N365" s="44"/>
      <c r="O365" s="44"/>
    </row>
    <row r="366" spans="1:15" ht="17.25" customHeight="1">
      <c r="A366" s="44"/>
      <c r="B366" s="44"/>
      <c r="C366" s="44"/>
      <c r="D366" s="44"/>
      <c r="E366" s="44"/>
      <c r="F366" s="44"/>
      <c r="G366" s="44"/>
      <c r="H366" s="44"/>
      <c r="I366" s="44"/>
      <c r="J366" s="44"/>
      <c r="K366" s="44"/>
      <c r="L366" s="44"/>
      <c r="M366" s="44"/>
      <c r="N366" s="44"/>
      <c r="O366" s="44"/>
    </row>
    <row r="367" spans="1:15" ht="17.25" customHeight="1">
      <c r="A367" s="44"/>
      <c r="B367" s="44"/>
      <c r="C367" s="44"/>
      <c r="D367" s="44"/>
      <c r="E367" s="44"/>
      <c r="F367" s="44"/>
      <c r="G367" s="44"/>
      <c r="H367" s="44"/>
      <c r="I367" s="44"/>
      <c r="J367" s="44"/>
      <c r="K367" s="44"/>
      <c r="L367" s="44"/>
      <c r="M367" s="44"/>
      <c r="N367" s="44"/>
      <c r="O367" s="44"/>
    </row>
    <row r="368" spans="1:15" ht="17.25" customHeight="1">
      <c r="A368" s="44"/>
      <c r="B368" s="44"/>
      <c r="C368" s="44"/>
      <c r="D368" s="44"/>
      <c r="E368" s="44"/>
      <c r="F368" s="44"/>
      <c r="G368" s="44"/>
      <c r="H368" s="44"/>
      <c r="I368" s="44"/>
      <c r="J368" s="44"/>
      <c r="K368" s="44"/>
      <c r="L368" s="44"/>
      <c r="M368" s="44"/>
      <c r="N368" s="44"/>
      <c r="O368" s="44"/>
    </row>
    <row r="369" spans="1:15" ht="17.25" customHeight="1">
      <c r="A369" s="44"/>
      <c r="B369" s="44"/>
      <c r="C369" s="44"/>
      <c r="D369" s="44"/>
      <c r="E369" s="44"/>
      <c r="F369" s="44"/>
      <c r="G369" s="44"/>
      <c r="H369" s="44"/>
      <c r="I369" s="44"/>
      <c r="J369" s="44"/>
      <c r="K369" s="44"/>
      <c r="L369" s="44"/>
      <c r="M369" s="44"/>
      <c r="N369" s="44"/>
      <c r="O369" s="44"/>
    </row>
    <row r="370" spans="1:15" ht="17.25" customHeight="1">
      <c r="A370" s="44"/>
      <c r="B370" s="44"/>
      <c r="C370" s="44"/>
      <c r="D370" s="44"/>
      <c r="E370" s="44"/>
      <c r="F370" s="44"/>
      <c r="G370" s="44"/>
      <c r="H370" s="44"/>
      <c r="I370" s="44"/>
      <c r="J370" s="44"/>
      <c r="K370" s="44"/>
      <c r="L370" s="44"/>
      <c r="M370" s="44"/>
      <c r="N370" s="44"/>
      <c r="O370" s="44"/>
    </row>
    <row r="371" spans="1:15" ht="17.25" customHeight="1">
      <c r="A371" s="44"/>
      <c r="B371" s="44"/>
      <c r="C371" s="44"/>
      <c r="D371" s="44"/>
      <c r="E371" s="44"/>
      <c r="F371" s="44"/>
      <c r="G371" s="44"/>
      <c r="H371" s="44"/>
      <c r="I371" s="44"/>
      <c r="J371" s="44"/>
      <c r="K371" s="44"/>
      <c r="L371" s="44"/>
      <c r="M371" s="44"/>
      <c r="N371" s="44"/>
      <c r="O371" s="44"/>
    </row>
    <row r="372" spans="1:15" ht="17.25" customHeight="1">
      <c r="A372" s="44"/>
      <c r="B372" s="44"/>
      <c r="C372" s="44"/>
      <c r="D372" s="44"/>
      <c r="E372" s="44"/>
      <c r="F372" s="44"/>
      <c r="G372" s="44"/>
      <c r="H372" s="44"/>
      <c r="I372" s="44"/>
      <c r="J372" s="44"/>
      <c r="K372" s="44"/>
      <c r="L372" s="44"/>
      <c r="M372" s="44"/>
      <c r="N372" s="44"/>
      <c r="O372" s="44"/>
    </row>
    <row r="373" spans="1:15" ht="17.25" customHeight="1">
      <c r="A373" s="44"/>
      <c r="B373" s="44"/>
      <c r="C373" s="44"/>
      <c r="D373" s="44"/>
      <c r="E373" s="44"/>
      <c r="F373" s="44"/>
      <c r="G373" s="44"/>
      <c r="H373" s="44"/>
      <c r="I373" s="44"/>
      <c r="J373" s="44"/>
      <c r="K373" s="44"/>
      <c r="L373" s="44"/>
      <c r="M373" s="44"/>
      <c r="N373" s="44"/>
      <c r="O373" s="44"/>
    </row>
    <row r="374" spans="1:15" ht="17.25" customHeight="1">
      <c r="A374" s="44"/>
      <c r="B374" s="44"/>
      <c r="C374" s="44"/>
      <c r="D374" s="44"/>
      <c r="E374" s="44"/>
      <c r="F374" s="44"/>
      <c r="G374" s="44"/>
      <c r="H374" s="44"/>
      <c r="I374" s="44"/>
      <c r="J374" s="44"/>
      <c r="K374" s="44"/>
      <c r="L374" s="44"/>
      <c r="M374" s="44"/>
      <c r="N374" s="44"/>
      <c r="O374" s="44"/>
    </row>
    <row r="375" spans="1:15" ht="17.25" customHeight="1">
      <c r="A375" s="44"/>
      <c r="B375" s="44"/>
      <c r="C375" s="44"/>
      <c r="D375" s="44"/>
      <c r="E375" s="44"/>
      <c r="F375" s="44"/>
      <c r="G375" s="44"/>
      <c r="H375" s="44"/>
      <c r="I375" s="44"/>
      <c r="J375" s="44"/>
      <c r="K375" s="44"/>
      <c r="L375" s="44"/>
      <c r="M375" s="44"/>
      <c r="N375" s="44"/>
      <c r="O375" s="44"/>
    </row>
    <row r="376" spans="1:15" ht="17.25" customHeight="1">
      <c r="A376" s="44"/>
      <c r="B376" s="44"/>
      <c r="C376" s="44"/>
      <c r="D376" s="44"/>
      <c r="E376" s="44"/>
      <c r="F376" s="44"/>
      <c r="G376" s="44"/>
      <c r="H376" s="44"/>
      <c r="I376" s="44"/>
      <c r="J376" s="44"/>
      <c r="K376" s="44"/>
      <c r="L376" s="44"/>
      <c r="M376" s="44"/>
      <c r="N376" s="44"/>
      <c r="O376" s="44"/>
    </row>
    <row r="377" spans="1:15" ht="17.25" customHeight="1">
      <c r="A377" s="44"/>
      <c r="B377" s="44"/>
      <c r="C377" s="44"/>
      <c r="D377" s="44"/>
      <c r="E377" s="44"/>
      <c r="F377" s="44"/>
      <c r="G377" s="44"/>
      <c r="H377" s="44"/>
      <c r="I377" s="44"/>
      <c r="J377" s="44"/>
      <c r="K377" s="44"/>
      <c r="L377" s="44"/>
      <c r="M377" s="44"/>
      <c r="N377" s="44"/>
      <c r="O377" s="44"/>
    </row>
    <row r="378" spans="1:15" ht="17.25" customHeight="1">
      <c r="A378" s="44"/>
      <c r="B378" s="44"/>
      <c r="C378" s="44"/>
      <c r="D378" s="44"/>
      <c r="E378" s="44"/>
      <c r="F378" s="44"/>
      <c r="G378" s="44"/>
      <c r="H378" s="44"/>
      <c r="I378" s="44"/>
      <c r="J378" s="44"/>
      <c r="K378" s="44"/>
      <c r="L378" s="44"/>
      <c r="M378" s="44"/>
      <c r="N378" s="44"/>
      <c r="O378" s="44"/>
    </row>
    <row r="379" spans="1:15" ht="17.25" customHeight="1">
      <c r="A379" s="44"/>
      <c r="B379" s="44"/>
      <c r="C379" s="44"/>
      <c r="D379" s="44"/>
      <c r="E379" s="44"/>
      <c r="F379" s="44"/>
      <c r="G379" s="44"/>
      <c r="H379" s="44"/>
      <c r="I379" s="44"/>
      <c r="J379" s="44"/>
      <c r="K379" s="44"/>
      <c r="L379" s="44"/>
      <c r="M379" s="44"/>
      <c r="N379" s="44"/>
      <c r="O379" s="44"/>
    </row>
    <row r="380" spans="1:15" ht="17.25" customHeight="1">
      <c r="A380" s="44"/>
      <c r="B380" s="44"/>
      <c r="C380" s="44"/>
      <c r="D380" s="44"/>
      <c r="E380" s="44"/>
      <c r="F380" s="44"/>
      <c r="G380" s="44"/>
      <c r="H380" s="44"/>
      <c r="I380" s="44"/>
      <c r="J380" s="44"/>
      <c r="K380" s="44"/>
      <c r="L380" s="44"/>
      <c r="M380" s="44"/>
      <c r="N380" s="44"/>
      <c r="O380" s="44"/>
    </row>
    <row r="381" spans="1:15" ht="17.25" customHeight="1">
      <c r="A381" s="44"/>
      <c r="B381" s="44"/>
      <c r="C381" s="44"/>
      <c r="D381" s="44"/>
      <c r="E381" s="44"/>
      <c r="F381" s="44"/>
      <c r="G381" s="44"/>
      <c r="H381" s="44"/>
      <c r="I381" s="44"/>
      <c r="J381" s="44"/>
      <c r="K381" s="44"/>
      <c r="L381" s="44"/>
      <c r="M381" s="44"/>
      <c r="N381" s="44"/>
      <c r="O381" s="44"/>
    </row>
    <row r="382" spans="1:15" ht="17.25" customHeight="1">
      <c r="A382" s="44"/>
      <c r="B382" s="44"/>
      <c r="C382" s="44"/>
      <c r="D382" s="44"/>
      <c r="E382" s="44"/>
      <c r="F382" s="44"/>
      <c r="G382" s="44"/>
      <c r="H382" s="44"/>
      <c r="I382" s="44"/>
      <c r="J382" s="44"/>
      <c r="K382" s="44"/>
      <c r="L382" s="44"/>
      <c r="M382" s="44"/>
      <c r="N382" s="44"/>
      <c r="O382" s="44"/>
    </row>
    <row r="383" spans="1:15" ht="17.25" customHeight="1">
      <c r="A383" s="44"/>
      <c r="B383" s="44"/>
      <c r="C383" s="44"/>
      <c r="D383" s="44"/>
      <c r="E383" s="44"/>
      <c r="F383" s="44"/>
      <c r="G383" s="44"/>
      <c r="H383" s="44"/>
      <c r="I383" s="44"/>
      <c r="J383" s="44"/>
      <c r="K383" s="44"/>
      <c r="L383" s="44"/>
      <c r="M383" s="44"/>
      <c r="N383" s="44"/>
      <c r="O383" s="44"/>
    </row>
    <row r="384" spans="1:15" ht="17.25" customHeight="1">
      <c r="A384" s="44"/>
      <c r="B384" s="44"/>
      <c r="C384" s="44"/>
      <c r="D384" s="44"/>
      <c r="E384" s="44"/>
      <c r="F384" s="44"/>
      <c r="G384" s="44"/>
      <c r="H384" s="44"/>
      <c r="I384" s="44"/>
      <c r="J384" s="44"/>
      <c r="K384" s="44"/>
      <c r="L384" s="44"/>
      <c r="M384" s="44"/>
      <c r="N384" s="44"/>
      <c r="O384" s="44"/>
    </row>
    <row r="385" spans="1:15" ht="17.25" customHeight="1">
      <c r="A385" s="44"/>
      <c r="B385" s="44"/>
      <c r="C385" s="44"/>
      <c r="D385" s="44"/>
      <c r="E385" s="44"/>
      <c r="F385" s="44"/>
      <c r="G385" s="44"/>
      <c r="H385" s="44"/>
      <c r="I385" s="44"/>
      <c r="J385" s="44"/>
      <c r="K385" s="44"/>
      <c r="L385" s="44"/>
      <c r="M385" s="44"/>
      <c r="N385" s="44"/>
      <c r="O385" s="44"/>
    </row>
    <row r="386" spans="1:15" ht="17.25" customHeight="1">
      <c r="A386" s="44"/>
      <c r="B386" s="44"/>
      <c r="C386" s="44"/>
      <c r="D386" s="44"/>
      <c r="E386" s="44"/>
      <c r="F386" s="44"/>
      <c r="G386" s="44"/>
      <c r="H386" s="44"/>
      <c r="I386" s="44"/>
      <c r="J386" s="44"/>
      <c r="K386" s="44"/>
      <c r="L386" s="44"/>
      <c r="M386" s="44"/>
      <c r="N386" s="44"/>
      <c r="O386" s="44"/>
    </row>
    <row r="387" spans="1:15" ht="17.25" customHeight="1">
      <c r="A387" s="44"/>
      <c r="B387" s="44"/>
      <c r="C387" s="44"/>
      <c r="D387" s="44"/>
      <c r="E387" s="44"/>
      <c r="F387" s="44"/>
      <c r="G387" s="44"/>
      <c r="H387" s="44"/>
      <c r="I387" s="44"/>
      <c r="J387" s="44"/>
      <c r="K387" s="44"/>
      <c r="L387" s="44"/>
      <c r="M387" s="44"/>
      <c r="N387" s="44"/>
      <c r="O387" s="44"/>
    </row>
    <row r="388" spans="1:15" ht="17.25" customHeight="1">
      <c r="A388" s="44"/>
      <c r="B388" s="44"/>
      <c r="C388" s="44"/>
      <c r="D388" s="44"/>
      <c r="E388" s="44"/>
      <c r="F388" s="44"/>
      <c r="G388" s="44"/>
      <c r="H388" s="44"/>
      <c r="I388" s="44"/>
      <c r="J388" s="44"/>
      <c r="K388" s="44"/>
      <c r="L388" s="44"/>
      <c r="M388" s="44"/>
      <c r="N388" s="44"/>
      <c r="O388" s="44"/>
    </row>
    <row r="389" spans="1:15" ht="17.25" customHeight="1">
      <c r="A389" s="44"/>
      <c r="B389" s="44"/>
      <c r="C389" s="44"/>
      <c r="D389" s="44"/>
      <c r="E389" s="44"/>
      <c r="F389" s="44"/>
      <c r="G389" s="44"/>
      <c r="H389" s="44"/>
      <c r="I389" s="44"/>
      <c r="J389" s="44"/>
      <c r="K389" s="44"/>
      <c r="L389" s="44"/>
      <c r="M389" s="44"/>
      <c r="N389" s="44"/>
      <c r="O389" s="44"/>
    </row>
    <row r="390" spans="1:15" ht="17.25" customHeight="1">
      <c r="A390" s="44"/>
      <c r="B390" s="44"/>
      <c r="C390" s="44"/>
      <c r="D390" s="44"/>
      <c r="E390" s="44"/>
      <c r="F390" s="44"/>
      <c r="G390" s="44"/>
      <c r="H390" s="44"/>
      <c r="I390" s="44"/>
      <c r="J390" s="44"/>
      <c r="K390" s="44"/>
      <c r="L390" s="44"/>
      <c r="M390" s="44"/>
      <c r="N390" s="44"/>
      <c r="O390" s="44"/>
    </row>
    <row r="391" spans="1:15" ht="17.25" customHeight="1">
      <c r="A391" s="44"/>
      <c r="B391" s="44"/>
      <c r="C391" s="44"/>
      <c r="D391" s="44"/>
      <c r="E391" s="44"/>
      <c r="F391" s="44"/>
      <c r="G391" s="44"/>
      <c r="H391" s="44"/>
      <c r="I391" s="44"/>
      <c r="J391" s="44"/>
      <c r="K391" s="44"/>
      <c r="L391" s="44"/>
      <c r="M391" s="44"/>
      <c r="N391" s="44"/>
      <c r="O391" s="44"/>
    </row>
    <row r="392" spans="1:15" ht="17.25" customHeight="1">
      <c r="A392" s="44"/>
      <c r="B392" s="44"/>
      <c r="C392" s="44"/>
      <c r="D392" s="44"/>
      <c r="E392" s="44"/>
      <c r="F392" s="44"/>
      <c r="G392" s="44"/>
      <c r="H392" s="44"/>
      <c r="I392" s="44"/>
      <c r="J392" s="44"/>
      <c r="K392" s="44"/>
      <c r="L392" s="44"/>
      <c r="M392" s="44"/>
      <c r="N392" s="44"/>
      <c r="O392" s="44"/>
    </row>
    <row r="393" spans="1:15" ht="17.25" customHeight="1">
      <c r="A393" s="44"/>
      <c r="B393" s="44"/>
      <c r="C393" s="44"/>
      <c r="D393" s="44"/>
      <c r="E393" s="44"/>
      <c r="F393" s="44"/>
      <c r="G393" s="44"/>
      <c r="H393" s="44"/>
      <c r="I393" s="44"/>
      <c r="J393" s="44"/>
      <c r="K393" s="44"/>
      <c r="L393" s="44"/>
      <c r="M393" s="44"/>
      <c r="N393" s="44"/>
      <c r="O393" s="44"/>
    </row>
    <row r="394" spans="1:15" ht="17.25" customHeight="1">
      <c r="A394" s="44"/>
      <c r="B394" s="44"/>
      <c r="C394" s="44"/>
      <c r="D394" s="44"/>
      <c r="E394" s="44"/>
      <c r="F394" s="44"/>
      <c r="G394" s="44"/>
      <c r="H394" s="44"/>
      <c r="I394" s="44"/>
      <c r="J394" s="44"/>
      <c r="K394" s="44"/>
      <c r="L394" s="44"/>
      <c r="M394" s="44"/>
      <c r="N394" s="44"/>
      <c r="O394" s="44"/>
    </row>
    <row r="395" spans="1:15" ht="17.25" customHeight="1">
      <c r="A395" s="44"/>
      <c r="B395" s="44"/>
      <c r="C395" s="44"/>
      <c r="D395" s="44"/>
      <c r="E395" s="44"/>
      <c r="F395" s="44"/>
      <c r="G395" s="44"/>
      <c r="H395" s="44"/>
      <c r="I395" s="44"/>
      <c r="J395" s="44"/>
      <c r="K395" s="44"/>
      <c r="L395" s="44"/>
      <c r="M395" s="44"/>
      <c r="N395" s="44"/>
      <c r="O395" s="44"/>
    </row>
    <row r="396" spans="1:15" ht="17.25" customHeight="1">
      <c r="A396" s="44"/>
      <c r="B396" s="44"/>
      <c r="C396" s="44"/>
      <c r="D396" s="44"/>
      <c r="E396" s="44"/>
      <c r="F396" s="44"/>
      <c r="G396" s="44"/>
      <c r="H396" s="44"/>
      <c r="I396" s="44"/>
      <c r="J396" s="44"/>
      <c r="K396" s="44"/>
      <c r="L396" s="44"/>
      <c r="M396" s="44"/>
      <c r="N396" s="44"/>
      <c r="O396" s="44"/>
    </row>
    <row r="397" spans="1:15" ht="17.25" customHeight="1">
      <c r="A397" s="44"/>
      <c r="B397" s="44"/>
      <c r="C397" s="44"/>
      <c r="D397" s="44"/>
      <c r="E397" s="44"/>
      <c r="F397" s="44"/>
      <c r="G397" s="44"/>
      <c r="H397" s="44"/>
      <c r="I397" s="44"/>
      <c r="J397" s="44"/>
      <c r="K397" s="44"/>
      <c r="L397" s="44"/>
      <c r="M397" s="44"/>
      <c r="N397" s="44"/>
      <c r="O397" s="44"/>
    </row>
    <row r="398" spans="1:15" ht="17.25" customHeight="1">
      <c r="A398" s="44"/>
      <c r="B398" s="44"/>
      <c r="C398" s="44"/>
      <c r="D398" s="44"/>
      <c r="E398" s="44"/>
      <c r="F398" s="44"/>
      <c r="G398" s="44"/>
      <c r="H398" s="44"/>
      <c r="I398" s="44"/>
      <c r="J398" s="44"/>
      <c r="K398" s="44"/>
      <c r="L398" s="44"/>
      <c r="M398" s="44"/>
      <c r="N398" s="44"/>
      <c r="O398" s="44"/>
    </row>
    <row r="399" spans="1:15" ht="17.25" customHeight="1">
      <c r="A399" s="44"/>
      <c r="B399" s="44"/>
      <c r="C399" s="44"/>
      <c r="D399" s="44"/>
      <c r="E399" s="44"/>
      <c r="F399" s="44"/>
      <c r="G399" s="44"/>
      <c r="H399" s="44"/>
      <c r="I399" s="44"/>
      <c r="J399" s="44"/>
      <c r="K399" s="44"/>
      <c r="L399" s="44"/>
      <c r="M399" s="44"/>
      <c r="N399" s="44"/>
      <c r="O399" s="44"/>
    </row>
    <row r="400" spans="1:15" ht="17.25" customHeight="1">
      <c r="A400" s="44"/>
      <c r="B400" s="44"/>
      <c r="C400" s="44"/>
      <c r="D400" s="44"/>
      <c r="E400" s="44"/>
      <c r="F400" s="44"/>
      <c r="G400" s="44"/>
      <c r="H400" s="44"/>
      <c r="I400" s="44"/>
      <c r="J400" s="44"/>
      <c r="K400" s="44"/>
      <c r="L400" s="44"/>
      <c r="M400" s="44"/>
      <c r="N400" s="44"/>
      <c r="O400" s="44"/>
    </row>
    <row r="401" spans="1:15" ht="17.25" customHeight="1">
      <c r="A401" s="44"/>
      <c r="B401" s="44"/>
      <c r="C401" s="44"/>
      <c r="D401" s="44"/>
      <c r="E401" s="44"/>
      <c r="F401" s="44"/>
      <c r="G401" s="44"/>
      <c r="H401" s="44"/>
      <c r="I401" s="44"/>
      <c r="J401" s="44"/>
      <c r="K401" s="44"/>
      <c r="L401" s="44"/>
      <c r="M401" s="44"/>
      <c r="N401" s="44"/>
      <c r="O401" s="44"/>
    </row>
    <row r="402" spans="1:15" ht="17.25" customHeight="1">
      <c r="A402" s="44"/>
      <c r="B402" s="44"/>
      <c r="C402" s="44"/>
      <c r="D402" s="44"/>
      <c r="E402" s="44"/>
      <c r="F402" s="44"/>
      <c r="G402" s="44"/>
      <c r="H402" s="44"/>
      <c r="I402" s="44"/>
      <c r="J402" s="44"/>
      <c r="K402" s="44"/>
      <c r="L402" s="44"/>
      <c r="M402" s="44"/>
      <c r="N402" s="44"/>
      <c r="O402" s="44"/>
    </row>
    <row r="403" spans="1:15" ht="17.25" customHeight="1">
      <c r="A403" s="44"/>
      <c r="B403" s="44"/>
      <c r="C403" s="44"/>
      <c r="D403" s="44"/>
      <c r="E403" s="44"/>
      <c r="F403" s="44"/>
      <c r="G403" s="44"/>
      <c r="H403" s="44"/>
      <c r="I403" s="44"/>
      <c r="J403" s="44"/>
      <c r="K403" s="44"/>
      <c r="L403" s="44"/>
      <c r="M403" s="44"/>
      <c r="N403" s="44"/>
      <c r="O403" s="44"/>
    </row>
    <row r="404" spans="1:15" ht="17.25" customHeight="1">
      <c r="A404" s="44"/>
      <c r="B404" s="44"/>
      <c r="C404" s="44"/>
      <c r="D404" s="44"/>
      <c r="E404" s="44"/>
      <c r="F404" s="44"/>
      <c r="G404" s="44"/>
      <c r="H404" s="44"/>
      <c r="I404" s="44"/>
      <c r="J404" s="44"/>
      <c r="K404" s="44"/>
      <c r="L404" s="44"/>
      <c r="M404" s="44"/>
      <c r="N404" s="44"/>
      <c r="O404" s="44"/>
    </row>
    <row r="405" spans="1:15" ht="17.25" customHeight="1">
      <c r="A405" s="44"/>
      <c r="B405" s="44"/>
      <c r="C405" s="44"/>
      <c r="D405" s="44"/>
      <c r="E405" s="44"/>
      <c r="F405" s="44"/>
      <c r="G405" s="44"/>
      <c r="H405" s="44"/>
      <c r="I405" s="44"/>
      <c r="J405" s="44"/>
      <c r="K405" s="44"/>
      <c r="L405" s="44"/>
      <c r="M405" s="44"/>
      <c r="N405" s="44"/>
      <c r="O405" s="44"/>
    </row>
    <row r="406" spans="1:15" ht="17.25" customHeight="1">
      <c r="A406" s="44"/>
      <c r="B406" s="44"/>
      <c r="C406" s="44"/>
      <c r="D406" s="44"/>
      <c r="E406" s="44"/>
      <c r="F406" s="44"/>
      <c r="G406" s="44"/>
      <c r="H406" s="44"/>
      <c r="I406" s="44"/>
      <c r="J406" s="44"/>
      <c r="K406" s="44"/>
      <c r="L406" s="44"/>
      <c r="M406" s="44"/>
      <c r="N406" s="44"/>
      <c r="O406" s="44"/>
    </row>
    <row r="407" spans="1:15" ht="17.25" customHeight="1">
      <c r="A407" s="44"/>
      <c r="B407" s="44"/>
      <c r="C407" s="44"/>
      <c r="D407" s="44"/>
      <c r="E407" s="44"/>
      <c r="F407" s="44"/>
      <c r="G407" s="44"/>
      <c r="H407" s="44"/>
      <c r="I407" s="44"/>
      <c r="J407" s="44"/>
      <c r="K407" s="44"/>
      <c r="L407" s="44"/>
      <c r="M407" s="44"/>
      <c r="N407" s="44"/>
      <c r="O407" s="44"/>
    </row>
    <row r="408" spans="1:15" ht="17.25" customHeight="1">
      <c r="A408" s="44"/>
      <c r="B408" s="44"/>
      <c r="C408" s="44"/>
      <c r="D408" s="44"/>
      <c r="E408" s="44"/>
      <c r="F408" s="44"/>
      <c r="G408" s="44"/>
      <c r="H408" s="44"/>
      <c r="I408" s="44"/>
      <c r="J408" s="44"/>
      <c r="K408" s="44"/>
      <c r="L408" s="44"/>
      <c r="M408" s="44"/>
      <c r="N408" s="44"/>
      <c r="O408" s="44"/>
    </row>
    <row r="409" spans="1:15" ht="17.25" customHeight="1">
      <c r="A409" s="44"/>
      <c r="B409" s="44"/>
      <c r="C409" s="44"/>
      <c r="D409" s="44"/>
      <c r="E409" s="44"/>
      <c r="F409" s="44"/>
      <c r="G409" s="44"/>
      <c r="H409" s="44"/>
      <c r="I409" s="44"/>
      <c r="J409" s="44"/>
      <c r="K409" s="44"/>
      <c r="L409" s="44"/>
      <c r="M409" s="44"/>
      <c r="N409" s="44"/>
      <c r="O409" s="44"/>
    </row>
    <row r="410" spans="1:15" ht="17.25" customHeight="1">
      <c r="A410" s="44"/>
      <c r="B410" s="44"/>
      <c r="C410" s="44"/>
      <c r="D410" s="44"/>
      <c r="E410" s="44"/>
      <c r="F410" s="44"/>
      <c r="G410" s="44"/>
      <c r="H410" s="44"/>
      <c r="I410" s="44"/>
      <c r="J410" s="44"/>
      <c r="K410" s="44"/>
      <c r="L410" s="44"/>
      <c r="M410" s="44"/>
      <c r="N410" s="44"/>
      <c r="O410" s="44"/>
    </row>
    <row r="411" spans="1:15" ht="17.25" customHeight="1">
      <c r="A411" s="44"/>
      <c r="B411" s="44"/>
      <c r="C411" s="44"/>
      <c r="D411" s="44"/>
      <c r="E411" s="44"/>
      <c r="F411" s="44"/>
      <c r="G411" s="44"/>
      <c r="H411" s="44"/>
      <c r="I411" s="44"/>
      <c r="J411" s="44"/>
      <c r="K411" s="44"/>
      <c r="L411" s="44"/>
      <c r="M411" s="44"/>
      <c r="N411" s="44"/>
      <c r="O411" s="44"/>
    </row>
    <row r="412" spans="1:15" ht="17.25" customHeight="1">
      <c r="A412" s="44"/>
      <c r="B412" s="44"/>
      <c r="C412" s="44"/>
      <c r="D412" s="44"/>
      <c r="E412" s="44"/>
      <c r="F412" s="44"/>
      <c r="G412" s="44"/>
      <c r="H412" s="44"/>
      <c r="I412" s="44"/>
      <c r="J412" s="44"/>
      <c r="K412" s="44"/>
      <c r="L412" s="44"/>
      <c r="M412" s="44"/>
      <c r="N412" s="44"/>
      <c r="O412" s="44"/>
    </row>
    <row r="413" spans="1:15" ht="17.25" customHeight="1">
      <c r="A413" s="44"/>
      <c r="B413" s="44"/>
      <c r="C413" s="44"/>
      <c r="D413" s="44"/>
      <c r="E413" s="44"/>
      <c r="F413" s="44"/>
      <c r="G413" s="44"/>
      <c r="H413" s="44"/>
      <c r="I413" s="44"/>
      <c r="J413" s="44"/>
      <c r="K413" s="44"/>
      <c r="L413" s="44"/>
      <c r="M413" s="44"/>
      <c r="N413" s="44"/>
      <c r="O413" s="44"/>
    </row>
    <row r="414" spans="1:15" ht="17.25" customHeight="1">
      <c r="A414" s="44"/>
      <c r="B414" s="44"/>
      <c r="C414" s="44"/>
      <c r="D414" s="44"/>
      <c r="E414" s="44"/>
      <c r="F414" s="44"/>
      <c r="G414" s="44"/>
      <c r="H414" s="44"/>
      <c r="I414" s="44"/>
      <c r="J414" s="44"/>
      <c r="K414" s="44"/>
      <c r="L414" s="44"/>
      <c r="M414" s="44"/>
      <c r="N414" s="44"/>
      <c r="O414" s="44"/>
    </row>
    <row r="415" spans="1:15" ht="17.25" customHeight="1">
      <c r="A415" s="44"/>
      <c r="B415" s="44"/>
      <c r="C415" s="44"/>
      <c r="D415" s="44"/>
      <c r="E415" s="44"/>
      <c r="F415" s="44"/>
      <c r="G415" s="44"/>
      <c r="H415" s="44"/>
      <c r="I415" s="44"/>
      <c r="J415" s="44"/>
      <c r="K415" s="44"/>
      <c r="L415" s="44"/>
      <c r="M415" s="44"/>
      <c r="N415" s="44"/>
      <c r="O415" s="44"/>
    </row>
    <row r="416" spans="1:15" ht="17.25" customHeight="1">
      <c r="A416" s="44"/>
      <c r="B416" s="44"/>
      <c r="C416" s="44"/>
      <c r="D416" s="44"/>
      <c r="E416" s="44"/>
      <c r="F416" s="44"/>
      <c r="G416" s="44"/>
      <c r="H416" s="44"/>
      <c r="I416" s="44"/>
      <c r="J416" s="44"/>
      <c r="K416" s="44"/>
      <c r="L416" s="44"/>
      <c r="M416" s="44"/>
      <c r="N416" s="44"/>
      <c r="O416" s="44"/>
    </row>
    <row r="417" spans="1:15" ht="17.25" customHeight="1">
      <c r="A417" s="44"/>
      <c r="B417" s="44"/>
      <c r="C417" s="44"/>
      <c r="D417" s="44"/>
      <c r="E417" s="44"/>
      <c r="F417" s="44"/>
      <c r="G417" s="44"/>
      <c r="H417" s="44"/>
      <c r="I417" s="44"/>
      <c r="J417" s="44"/>
      <c r="K417" s="44"/>
      <c r="L417" s="44"/>
      <c r="M417" s="44"/>
      <c r="N417" s="44"/>
      <c r="O417" s="44"/>
    </row>
    <row r="418" spans="1:15" ht="17.25" customHeight="1">
      <c r="A418" s="44"/>
      <c r="B418" s="44"/>
      <c r="C418" s="44"/>
      <c r="D418" s="44"/>
      <c r="E418" s="44"/>
      <c r="F418" s="44"/>
      <c r="G418" s="44"/>
      <c r="H418" s="44"/>
      <c r="I418" s="44"/>
      <c r="J418" s="44"/>
      <c r="K418" s="44"/>
      <c r="L418" s="44"/>
      <c r="M418" s="44"/>
      <c r="N418" s="44"/>
      <c r="O418" s="44"/>
    </row>
    <row r="419" spans="1:15" ht="17.25" customHeight="1">
      <c r="A419" s="44"/>
      <c r="B419" s="44"/>
      <c r="C419" s="44"/>
      <c r="D419" s="44"/>
      <c r="E419" s="44"/>
      <c r="F419" s="44"/>
      <c r="G419" s="44"/>
      <c r="H419" s="44"/>
      <c r="I419" s="44"/>
      <c r="J419" s="44"/>
      <c r="K419" s="44"/>
      <c r="L419" s="44"/>
      <c r="M419" s="44"/>
      <c r="N419" s="44"/>
      <c r="O419" s="44"/>
    </row>
    <row r="420" spans="1:15" ht="17.25" customHeight="1">
      <c r="A420" s="44"/>
      <c r="B420" s="44"/>
      <c r="C420" s="44"/>
      <c r="D420" s="44"/>
      <c r="E420" s="44"/>
      <c r="F420" s="44"/>
      <c r="G420" s="44"/>
      <c r="H420" s="44"/>
      <c r="I420" s="44"/>
      <c r="J420" s="44"/>
      <c r="K420" s="44"/>
      <c r="L420" s="44"/>
      <c r="M420" s="44"/>
      <c r="N420" s="44"/>
      <c r="O420" s="44"/>
    </row>
    <row r="421" spans="1:15" ht="17.25" customHeight="1">
      <c r="A421" s="44"/>
      <c r="B421" s="44"/>
      <c r="C421" s="44"/>
      <c r="D421" s="44"/>
      <c r="E421" s="44"/>
      <c r="F421" s="44"/>
      <c r="G421" s="44"/>
      <c r="H421" s="44"/>
      <c r="I421" s="44"/>
      <c r="J421" s="44"/>
      <c r="K421" s="44"/>
      <c r="L421" s="44"/>
      <c r="M421" s="44"/>
      <c r="N421" s="44"/>
      <c r="O421" s="44"/>
    </row>
    <row r="422" spans="1:15" ht="17.25" customHeight="1">
      <c r="A422" s="44"/>
      <c r="B422" s="44"/>
      <c r="C422" s="44"/>
      <c r="D422" s="44"/>
      <c r="E422" s="44"/>
      <c r="F422" s="44"/>
      <c r="G422" s="44"/>
      <c r="H422" s="44"/>
      <c r="I422" s="44"/>
      <c r="J422" s="44"/>
      <c r="K422" s="44"/>
      <c r="L422" s="44"/>
      <c r="M422" s="44"/>
      <c r="N422" s="44"/>
      <c r="O422" s="44"/>
    </row>
    <row r="423" spans="1:15" ht="17.25" customHeight="1">
      <c r="A423" s="44"/>
      <c r="B423" s="44"/>
      <c r="C423" s="44"/>
      <c r="D423" s="44"/>
      <c r="E423" s="44"/>
      <c r="F423" s="44"/>
      <c r="G423" s="44"/>
      <c r="H423" s="44"/>
      <c r="I423" s="44"/>
      <c r="J423" s="44"/>
      <c r="K423" s="44"/>
      <c r="L423" s="44"/>
      <c r="M423" s="44"/>
      <c r="N423" s="44"/>
      <c r="O423" s="44"/>
    </row>
    <row r="424" spans="1:15" ht="17.25" customHeight="1">
      <c r="A424" s="44"/>
      <c r="B424" s="44"/>
      <c r="C424" s="44"/>
      <c r="D424" s="44"/>
      <c r="E424" s="44"/>
      <c r="F424" s="44"/>
      <c r="G424" s="44"/>
      <c r="H424" s="44"/>
      <c r="I424" s="44"/>
      <c r="J424" s="44"/>
      <c r="K424" s="44"/>
      <c r="L424" s="44"/>
      <c r="M424" s="44"/>
      <c r="N424" s="44"/>
      <c r="O424" s="44"/>
    </row>
    <row r="425" spans="1:15" ht="17.25" customHeight="1">
      <c r="A425" s="44"/>
      <c r="B425" s="44"/>
      <c r="C425" s="44"/>
      <c r="D425" s="44"/>
      <c r="E425" s="44"/>
      <c r="F425" s="44"/>
      <c r="G425" s="44"/>
      <c r="H425" s="44"/>
      <c r="I425" s="44"/>
      <c r="J425" s="44"/>
      <c r="K425" s="44"/>
      <c r="L425" s="44"/>
      <c r="M425" s="44"/>
      <c r="N425" s="44"/>
      <c r="O425" s="44"/>
    </row>
    <row r="426" spans="1:15" ht="17.25" customHeight="1">
      <c r="A426" s="44"/>
      <c r="B426" s="44"/>
      <c r="C426" s="44"/>
      <c r="D426" s="44"/>
      <c r="E426" s="44"/>
      <c r="F426" s="44"/>
      <c r="G426" s="44"/>
      <c r="H426" s="44"/>
      <c r="I426" s="44"/>
      <c r="J426" s="44"/>
      <c r="K426" s="44"/>
      <c r="L426" s="44"/>
      <c r="M426" s="44"/>
      <c r="N426" s="44"/>
      <c r="O426" s="44"/>
    </row>
    <row r="427" spans="1:15" ht="17.25" customHeight="1">
      <c r="A427" s="44"/>
      <c r="B427" s="44"/>
      <c r="C427" s="44"/>
      <c r="D427" s="44"/>
      <c r="E427" s="44"/>
      <c r="F427" s="44"/>
      <c r="G427" s="44"/>
      <c r="H427" s="44"/>
      <c r="I427" s="44"/>
      <c r="J427" s="44"/>
      <c r="K427" s="44"/>
      <c r="L427" s="44"/>
      <c r="M427" s="44"/>
      <c r="N427" s="44"/>
      <c r="O427" s="44"/>
    </row>
    <row r="428" spans="1:15" ht="17.25" customHeight="1">
      <c r="A428" s="44"/>
      <c r="B428" s="44"/>
      <c r="C428" s="44"/>
      <c r="D428" s="44"/>
      <c r="E428" s="44"/>
      <c r="F428" s="44"/>
      <c r="G428" s="44"/>
      <c r="H428" s="44"/>
      <c r="I428" s="44"/>
      <c r="J428" s="44"/>
      <c r="K428" s="44"/>
      <c r="L428" s="44"/>
      <c r="M428" s="44"/>
      <c r="N428" s="44"/>
      <c r="O428" s="44"/>
    </row>
    <row r="429" spans="1:15" ht="17.25" customHeight="1">
      <c r="A429" s="44"/>
      <c r="B429" s="44"/>
      <c r="C429" s="44"/>
      <c r="D429" s="44"/>
      <c r="E429" s="44"/>
      <c r="F429" s="44"/>
      <c r="G429" s="44"/>
      <c r="H429" s="44"/>
      <c r="I429" s="44"/>
      <c r="J429" s="44"/>
      <c r="K429" s="44"/>
      <c r="L429" s="44"/>
      <c r="M429" s="44"/>
      <c r="N429" s="44"/>
      <c r="O429" s="44"/>
    </row>
    <row r="430" spans="1:15" ht="17.25" customHeight="1">
      <c r="A430" s="44"/>
      <c r="B430" s="44"/>
      <c r="C430" s="44"/>
      <c r="D430" s="44"/>
      <c r="E430" s="44"/>
      <c r="F430" s="44"/>
      <c r="G430" s="44"/>
      <c r="H430" s="44"/>
      <c r="I430" s="44"/>
      <c r="J430" s="44"/>
      <c r="K430" s="44"/>
      <c r="L430" s="44"/>
      <c r="M430" s="44"/>
      <c r="N430" s="44"/>
      <c r="O430" s="44"/>
    </row>
    <row r="431" spans="1:15" ht="17.25" customHeight="1">
      <c r="A431" s="44"/>
      <c r="B431" s="44"/>
      <c r="C431" s="44"/>
      <c r="D431" s="44"/>
      <c r="E431" s="44"/>
      <c r="F431" s="44"/>
      <c r="G431" s="44"/>
      <c r="H431" s="44"/>
      <c r="I431" s="44"/>
      <c r="J431" s="44"/>
      <c r="K431" s="44"/>
      <c r="L431" s="44"/>
      <c r="M431" s="44"/>
      <c r="N431" s="44"/>
      <c r="O431" s="44"/>
    </row>
    <row r="432" spans="1:15" ht="17.25" customHeight="1">
      <c r="A432" s="44"/>
      <c r="B432" s="44"/>
      <c r="C432" s="44"/>
      <c r="D432" s="44"/>
      <c r="E432" s="44"/>
      <c r="F432" s="44"/>
      <c r="G432" s="44"/>
      <c r="H432" s="44"/>
      <c r="I432" s="44"/>
      <c r="J432" s="44"/>
      <c r="K432" s="44"/>
      <c r="L432" s="44"/>
      <c r="M432" s="44"/>
      <c r="N432" s="44"/>
      <c r="O432" s="44"/>
    </row>
    <row r="433" spans="1:15" ht="17.25" customHeight="1">
      <c r="A433" s="44"/>
      <c r="B433" s="44"/>
      <c r="C433" s="44"/>
      <c r="D433" s="44"/>
      <c r="E433" s="44"/>
      <c r="F433" s="44"/>
      <c r="G433" s="44"/>
      <c r="H433" s="44"/>
      <c r="I433" s="44"/>
      <c r="J433" s="44"/>
      <c r="K433" s="44"/>
      <c r="L433" s="44"/>
      <c r="M433" s="44"/>
      <c r="N433" s="44"/>
      <c r="O433" s="44"/>
    </row>
    <row r="434" spans="1:15" ht="17.25" customHeight="1">
      <c r="A434" s="44"/>
      <c r="B434" s="44"/>
      <c r="C434" s="44"/>
      <c r="D434" s="44"/>
      <c r="E434" s="44"/>
      <c r="F434" s="44"/>
      <c r="G434" s="44"/>
      <c r="H434" s="44"/>
      <c r="I434" s="44"/>
      <c r="J434" s="44"/>
      <c r="K434" s="44"/>
      <c r="L434" s="44"/>
      <c r="M434" s="44"/>
      <c r="N434" s="44"/>
      <c r="O434" s="44"/>
    </row>
    <row r="435" spans="1:15" ht="17.25" customHeight="1">
      <c r="A435" s="44"/>
      <c r="B435" s="44"/>
      <c r="C435" s="44"/>
      <c r="D435" s="44"/>
      <c r="E435" s="44"/>
      <c r="F435" s="44"/>
      <c r="G435" s="44"/>
      <c r="H435" s="44"/>
      <c r="I435" s="44"/>
      <c r="J435" s="44"/>
      <c r="K435" s="44"/>
      <c r="L435" s="44"/>
      <c r="M435" s="44"/>
      <c r="N435" s="44"/>
      <c r="O435" s="44"/>
    </row>
    <row r="436" spans="1:15" ht="17.25" customHeight="1">
      <c r="A436" s="44"/>
      <c r="B436" s="44"/>
      <c r="C436" s="44"/>
      <c r="D436" s="44"/>
      <c r="E436" s="44"/>
      <c r="F436" s="44"/>
      <c r="G436" s="44"/>
      <c r="H436" s="44"/>
      <c r="I436" s="44"/>
      <c r="J436" s="44"/>
      <c r="K436" s="44"/>
      <c r="L436" s="44"/>
      <c r="M436" s="44"/>
      <c r="N436" s="44"/>
      <c r="O436" s="44"/>
    </row>
    <row r="437" spans="1:15" ht="17.25" customHeight="1">
      <c r="A437" s="44"/>
      <c r="B437" s="44"/>
      <c r="C437" s="44"/>
      <c r="D437" s="44"/>
      <c r="E437" s="44"/>
      <c r="F437" s="44"/>
      <c r="G437" s="44"/>
      <c r="H437" s="44"/>
      <c r="I437" s="44"/>
      <c r="J437" s="44"/>
      <c r="K437" s="44"/>
      <c r="L437" s="44"/>
      <c r="M437" s="44"/>
      <c r="N437" s="44"/>
      <c r="O437" s="44"/>
    </row>
    <row r="438" spans="1:15" ht="17.25" customHeight="1">
      <c r="A438" s="44"/>
      <c r="B438" s="44"/>
      <c r="C438" s="44"/>
      <c r="D438" s="44"/>
      <c r="E438" s="44"/>
      <c r="F438" s="44"/>
      <c r="G438" s="44"/>
      <c r="H438" s="44"/>
      <c r="I438" s="44"/>
      <c r="J438" s="44"/>
      <c r="K438" s="44"/>
      <c r="L438" s="44"/>
      <c r="M438" s="44"/>
      <c r="N438" s="44"/>
      <c r="O438" s="44"/>
    </row>
    <row r="439" spans="1:15" ht="17.25" customHeight="1">
      <c r="A439" s="44"/>
      <c r="B439" s="44"/>
      <c r="C439" s="44"/>
      <c r="D439" s="44"/>
      <c r="E439" s="44"/>
      <c r="F439" s="44"/>
      <c r="G439" s="44"/>
      <c r="H439" s="44"/>
      <c r="I439" s="44"/>
      <c r="J439" s="44"/>
      <c r="K439" s="44"/>
      <c r="L439" s="44"/>
      <c r="M439" s="44"/>
      <c r="N439" s="44"/>
      <c r="O439" s="44"/>
    </row>
    <row r="440" spans="1:15" ht="17.25" customHeight="1">
      <c r="A440" s="44"/>
      <c r="B440" s="44"/>
      <c r="C440" s="44"/>
      <c r="D440" s="44"/>
      <c r="E440" s="44"/>
      <c r="F440" s="44"/>
      <c r="G440" s="44"/>
      <c r="H440" s="44"/>
      <c r="I440" s="44"/>
      <c r="J440" s="44"/>
      <c r="K440" s="44"/>
      <c r="L440" s="44"/>
      <c r="M440" s="44"/>
      <c r="N440" s="44"/>
      <c r="O440" s="44"/>
    </row>
    <row r="441" spans="1:15" ht="17.25" customHeight="1">
      <c r="A441" s="44"/>
      <c r="B441" s="44"/>
      <c r="C441" s="44"/>
      <c r="D441" s="44"/>
      <c r="E441" s="44"/>
      <c r="F441" s="44"/>
      <c r="G441" s="44"/>
      <c r="H441" s="44"/>
      <c r="I441" s="44"/>
      <c r="J441" s="44"/>
      <c r="K441" s="44"/>
      <c r="L441" s="44"/>
      <c r="M441" s="44"/>
      <c r="N441" s="44"/>
      <c r="O441" s="44"/>
    </row>
    <row r="442" spans="1:15" ht="17.25" customHeight="1">
      <c r="A442" s="44"/>
      <c r="B442" s="44"/>
      <c r="C442" s="44"/>
      <c r="D442" s="44"/>
      <c r="E442" s="44"/>
      <c r="F442" s="44"/>
      <c r="G442" s="44"/>
      <c r="H442" s="44"/>
      <c r="I442" s="44"/>
      <c r="J442" s="44"/>
      <c r="K442" s="44"/>
      <c r="L442" s="44"/>
      <c r="M442" s="44"/>
      <c r="N442" s="44"/>
      <c r="O442" s="44"/>
    </row>
    <row r="443" spans="1:15" ht="17.25" customHeight="1">
      <c r="A443" s="44"/>
      <c r="B443" s="44"/>
      <c r="C443" s="44"/>
      <c r="D443" s="44"/>
      <c r="E443" s="44"/>
      <c r="F443" s="44"/>
      <c r="G443" s="44"/>
      <c r="H443" s="44"/>
      <c r="I443" s="44"/>
      <c r="J443" s="44"/>
      <c r="K443" s="44"/>
      <c r="L443" s="44"/>
      <c r="M443" s="44"/>
      <c r="N443" s="44"/>
      <c r="O443" s="44"/>
    </row>
    <row r="444" spans="1:15" ht="17.25" customHeight="1">
      <c r="A444" s="44"/>
      <c r="B444" s="44"/>
      <c r="C444" s="44"/>
      <c r="D444" s="44"/>
      <c r="E444" s="44"/>
      <c r="F444" s="44"/>
      <c r="G444" s="44"/>
      <c r="H444" s="44"/>
      <c r="I444" s="44"/>
      <c r="J444" s="44"/>
      <c r="K444" s="44"/>
      <c r="L444" s="44"/>
      <c r="M444" s="44"/>
      <c r="N444" s="44"/>
      <c r="O444" s="44"/>
    </row>
    <row r="445" spans="1:15" ht="17.25" customHeight="1">
      <c r="A445" s="44"/>
      <c r="B445" s="44"/>
      <c r="C445" s="44"/>
      <c r="D445" s="44"/>
      <c r="E445" s="44"/>
      <c r="F445" s="44"/>
      <c r="G445" s="44"/>
      <c r="H445" s="44"/>
      <c r="I445" s="44"/>
      <c r="J445" s="44"/>
      <c r="K445" s="44"/>
      <c r="L445" s="44"/>
      <c r="M445" s="44"/>
      <c r="N445" s="44"/>
      <c r="O445" s="44"/>
    </row>
    <row r="446" spans="1:15" ht="17.25" customHeight="1">
      <c r="A446" s="44"/>
      <c r="B446" s="44"/>
      <c r="C446" s="44"/>
      <c r="D446" s="44"/>
      <c r="E446" s="44"/>
      <c r="F446" s="44"/>
      <c r="G446" s="44"/>
      <c r="H446" s="44"/>
      <c r="I446" s="44"/>
      <c r="J446" s="44"/>
      <c r="K446" s="44"/>
      <c r="L446" s="44"/>
      <c r="M446" s="44"/>
      <c r="N446" s="44"/>
      <c r="O446" s="44"/>
    </row>
    <row r="447" spans="1:15" ht="17.25" customHeight="1">
      <c r="A447" s="44"/>
      <c r="B447" s="44"/>
      <c r="C447" s="44"/>
      <c r="D447" s="44"/>
      <c r="E447" s="44"/>
      <c r="F447" s="44"/>
      <c r="G447" s="44"/>
      <c r="H447" s="44"/>
      <c r="I447" s="44"/>
      <c r="J447" s="44"/>
      <c r="K447" s="44"/>
      <c r="L447" s="44"/>
      <c r="M447" s="44"/>
      <c r="N447" s="44"/>
      <c r="O447" s="44"/>
    </row>
    <row r="448" spans="1:15" ht="17.25" customHeight="1">
      <c r="A448" s="44"/>
      <c r="B448" s="44"/>
      <c r="C448" s="44"/>
      <c r="D448" s="44"/>
      <c r="E448" s="44"/>
      <c r="F448" s="44"/>
      <c r="G448" s="44"/>
      <c r="H448" s="44"/>
      <c r="I448" s="44"/>
      <c r="J448" s="44"/>
      <c r="K448" s="44"/>
      <c r="L448" s="44"/>
      <c r="M448" s="44"/>
      <c r="N448" s="44"/>
      <c r="O448" s="44"/>
    </row>
    <row r="449" spans="1:15" ht="17.25" customHeight="1">
      <c r="A449" s="44"/>
      <c r="B449" s="44"/>
      <c r="C449" s="44"/>
      <c r="D449" s="44"/>
      <c r="E449" s="44"/>
      <c r="F449" s="44"/>
      <c r="G449" s="44"/>
      <c r="H449" s="44"/>
      <c r="I449" s="44"/>
      <c r="J449" s="44"/>
      <c r="K449" s="44"/>
      <c r="L449" s="44"/>
      <c r="M449" s="44"/>
      <c r="N449" s="44"/>
      <c r="O449" s="44"/>
    </row>
    <row r="450" spans="1:15" ht="17.25" customHeight="1">
      <c r="A450" s="44"/>
      <c r="B450" s="44"/>
      <c r="C450" s="44"/>
      <c r="D450" s="44"/>
      <c r="E450" s="44"/>
      <c r="F450" s="44"/>
      <c r="G450" s="44"/>
      <c r="H450" s="44"/>
      <c r="I450" s="44"/>
      <c r="J450" s="44"/>
      <c r="K450" s="44"/>
      <c r="L450" s="44"/>
      <c r="M450" s="44"/>
      <c r="N450" s="44"/>
      <c r="O450" s="44"/>
    </row>
    <row r="451" spans="1:15" ht="17.25" customHeight="1">
      <c r="A451" s="44"/>
      <c r="B451" s="44"/>
      <c r="C451" s="44"/>
      <c r="D451" s="44"/>
      <c r="E451" s="44"/>
      <c r="F451" s="44"/>
      <c r="G451" s="44"/>
      <c r="H451" s="44"/>
      <c r="I451" s="44"/>
      <c r="J451" s="44"/>
      <c r="K451" s="44"/>
      <c r="L451" s="44"/>
      <c r="M451" s="44"/>
      <c r="N451" s="44"/>
      <c r="O451" s="44"/>
    </row>
    <row r="452" spans="1:15" ht="17.25" customHeight="1">
      <c r="A452" s="44"/>
      <c r="B452" s="44"/>
      <c r="C452" s="44"/>
      <c r="D452" s="44"/>
      <c r="E452" s="44"/>
      <c r="F452" s="44"/>
      <c r="G452" s="44"/>
      <c r="H452" s="44"/>
      <c r="I452" s="44"/>
      <c r="J452" s="44"/>
      <c r="K452" s="44"/>
      <c r="L452" s="44"/>
      <c r="M452" s="44"/>
      <c r="N452" s="44"/>
      <c r="O452" s="44"/>
    </row>
    <row r="453" spans="1:15" ht="17.25" customHeight="1">
      <c r="A453" s="44"/>
      <c r="B453" s="44"/>
      <c r="C453" s="44"/>
      <c r="D453" s="44"/>
      <c r="E453" s="44"/>
      <c r="F453" s="44"/>
      <c r="G453" s="44"/>
      <c r="H453" s="44"/>
      <c r="I453" s="44"/>
      <c r="J453" s="44"/>
      <c r="K453" s="44"/>
      <c r="L453" s="44"/>
      <c r="M453" s="44"/>
      <c r="N453" s="44"/>
      <c r="O453" s="44"/>
    </row>
    <row r="454" spans="1:15" ht="17.25" customHeight="1">
      <c r="A454" s="44"/>
      <c r="B454" s="44"/>
      <c r="C454" s="44"/>
      <c r="D454" s="44"/>
      <c r="E454" s="44"/>
      <c r="F454" s="44"/>
      <c r="G454" s="44"/>
      <c r="H454" s="44"/>
      <c r="I454" s="44"/>
      <c r="J454" s="44"/>
      <c r="K454" s="44"/>
      <c r="L454" s="44"/>
      <c r="M454" s="44"/>
      <c r="N454" s="44"/>
      <c r="O454" s="44"/>
    </row>
    <row r="455" spans="1:15" ht="17.25" customHeight="1">
      <c r="A455" s="44"/>
      <c r="B455" s="44"/>
      <c r="C455" s="44"/>
      <c r="D455" s="44"/>
      <c r="E455" s="44"/>
      <c r="F455" s="44"/>
      <c r="G455" s="44"/>
      <c r="H455" s="44"/>
      <c r="I455" s="44"/>
      <c r="J455" s="44"/>
      <c r="K455" s="44"/>
      <c r="L455" s="44"/>
      <c r="M455" s="44"/>
      <c r="N455" s="44"/>
      <c r="O455" s="44"/>
    </row>
    <row r="456" spans="1:15" ht="17.25" customHeight="1">
      <c r="A456" s="44"/>
      <c r="B456" s="44"/>
      <c r="C456" s="44"/>
      <c r="D456" s="44"/>
      <c r="E456" s="44"/>
      <c r="F456" s="44"/>
      <c r="G456" s="44"/>
      <c r="H456" s="44"/>
      <c r="I456" s="44"/>
      <c r="J456" s="44"/>
      <c r="K456" s="44"/>
      <c r="L456" s="44"/>
      <c r="M456" s="44"/>
      <c r="N456" s="44"/>
      <c r="O456" s="44"/>
    </row>
    <row r="457" spans="1:15" ht="17.25" customHeight="1">
      <c r="A457" s="44"/>
      <c r="B457" s="44"/>
      <c r="C457" s="44"/>
      <c r="D457" s="44"/>
      <c r="E457" s="44"/>
      <c r="F457" s="44"/>
      <c r="G457" s="44"/>
      <c r="H457" s="44"/>
      <c r="I457" s="44"/>
      <c r="J457" s="44"/>
      <c r="K457" s="44"/>
      <c r="L457" s="44"/>
      <c r="M457" s="44"/>
      <c r="N457" s="44"/>
      <c r="O457" s="44"/>
    </row>
    <row r="458" spans="1:15" ht="17.25" customHeight="1">
      <c r="A458" s="44"/>
      <c r="B458" s="44"/>
      <c r="C458" s="44"/>
      <c r="D458" s="44"/>
      <c r="E458" s="44"/>
      <c r="F458" s="44"/>
      <c r="G458" s="44"/>
      <c r="H458" s="44"/>
      <c r="I458" s="44"/>
      <c r="J458" s="44"/>
      <c r="K458" s="44"/>
      <c r="L458" s="44"/>
      <c r="M458" s="44"/>
      <c r="N458" s="44"/>
      <c r="O458" s="44"/>
    </row>
    <row r="459" spans="1:15" ht="17.25" customHeight="1">
      <c r="A459" s="44"/>
      <c r="B459" s="44"/>
      <c r="C459" s="44"/>
      <c r="D459" s="44"/>
      <c r="E459" s="44"/>
      <c r="F459" s="44"/>
      <c r="G459" s="44"/>
      <c r="H459" s="44"/>
      <c r="I459" s="44"/>
      <c r="J459" s="44"/>
      <c r="K459" s="44"/>
      <c r="L459" s="44"/>
      <c r="M459" s="44"/>
      <c r="N459" s="44"/>
      <c r="O459" s="44"/>
    </row>
    <row r="460" spans="1:15" ht="17.25" customHeight="1">
      <c r="A460" s="44"/>
      <c r="B460" s="44"/>
      <c r="C460" s="44"/>
      <c r="D460" s="44"/>
      <c r="E460" s="44"/>
      <c r="F460" s="44"/>
      <c r="G460" s="44"/>
      <c r="H460" s="44"/>
      <c r="I460" s="44"/>
      <c r="J460" s="44"/>
      <c r="K460" s="44"/>
      <c r="L460" s="44"/>
      <c r="M460" s="44"/>
      <c r="N460" s="44"/>
      <c r="O460" s="44"/>
    </row>
    <row r="461" spans="1:15" ht="17.25" customHeight="1">
      <c r="A461" s="44"/>
      <c r="B461" s="44"/>
      <c r="C461" s="44"/>
      <c r="D461" s="44"/>
      <c r="E461" s="44"/>
      <c r="F461" s="44"/>
      <c r="G461" s="44"/>
      <c r="H461" s="44"/>
      <c r="I461" s="44"/>
      <c r="J461" s="44"/>
      <c r="K461" s="44"/>
      <c r="L461" s="44"/>
      <c r="M461" s="44"/>
      <c r="N461" s="44"/>
      <c r="O461" s="44"/>
    </row>
    <row r="462" spans="1:15" ht="17.25" customHeight="1">
      <c r="A462" s="44"/>
      <c r="B462" s="44"/>
      <c r="C462" s="44"/>
      <c r="D462" s="44"/>
      <c r="E462" s="44"/>
      <c r="F462" s="44"/>
      <c r="G462" s="44"/>
      <c r="H462" s="44"/>
      <c r="I462" s="44"/>
      <c r="J462" s="44"/>
      <c r="K462" s="44"/>
      <c r="L462" s="44"/>
      <c r="M462" s="44"/>
      <c r="N462" s="44"/>
      <c r="O462" s="44"/>
    </row>
    <row r="463" spans="1:15" ht="17.25" customHeight="1">
      <c r="A463" s="44"/>
      <c r="B463" s="44"/>
      <c r="C463" s="44"/>
      <c r="D463" s="44"/>
      <c r="E463" s="44"/>
      <c r="F463" s="44"/>
      <c r="G463" s="44"/>
      <c r="H463" s="44"/>
      <c r="I463" s="44"/>
      <c r="J463" s="44"/>
      <c r="K463" s="44"/>
      <c r="L463" s="44"/>
      <c r="M463" s="44"/>
      <c r="N463" s="44"/>
      <c r="O463" s="44"/>
    </row>
    <row r="464" spans="1:15" ht="17.25" customHeight="1">
      <c r="A464" s="44"/>
      <c r="B464" s="44"/>
      <c r="C464" s="44"/>
      <c r="D464" s="44"/>
      <c r="E464" s="44"/>
      <c r="F464" s="44"/>
      <c r="G464" s="44"/>
      <c r="H464" s="44"/>
      <c r="I464" s="44"/>
      <c r="J464" s="44"/>
      <c r="K464" s="44"/>
      <c r="L464" s="44"/>
      <c r="M464" s="44"/>
      <c r="N464" s="44"/>
      <c r="O464" s="44"/>
    </row>
    <row r="465" spans="1:15" ht="17.25" customHeight="1">
      <c r="A465" s="44"/>
      <c r="B465" s="44"/>
      <c r="C465" s="44"/>
      <c r="D465" s="44"/>
      <c r="E465" s="44"/>
      <c r="F465" s="44"/>
      <c r="G465" s="44"/>
      <c r="H465" s="44"/>
      <c r="I465" s="44"/>
      <c r="J465" s="44"/>
      <c r="K465" s="44"/>
      <c r="L465" s="44"/>
      <c r="M465" s="44"/>
      <c r="N465" s="44"/>
      <c r="O465" s="44"/>
    </row>
    <row r="466" spans="1:15" ht="17.25" customHeight="1">
      <c r="A466" s="44"/>
      <c r="B466" s="44"/>
      <c r="C466" s="44"/>
      <c r="D466" s="44"/>
      <c r="E466" s="44"/>
      <c r="F466" s="44"/>
      <c r="G466" s="44"/>
      <c r="H466" s="44"/>
      <c r="I466" s="44"/>
      <c r="J466" s="44"/>
      <c r="K466" s="44"/>
      <c r="L466" s="44"/>
      <c r="M466" s="44"/>
      <c r="N466" s="44"/>
      <c r="O466" s="44"/>
    </row>
    <row r="467" spans="1:15" ht="17.25" customHeight="1">
      <c r="A467" s="44"/>
      <c r="B467" s="44"/>
      <c r="C467" s="44"/>
      <c r="D467" s="44"/>
      <c r="E467" s="44"/>
      <c r="F467" s="44"/>
      <c r="G467" s="44"/>
      <c r="H467" s="44"/>
      <c r="I467" s="44"/>
      <c r="J467" s="44"/>
      <c r="K467" s="44"/>
      <c r="L467" s="44"/>
      <c r="M467" s="44"/>
      <c r="N467" s="44"/>
      <c r="O467" s="44"/>
    </row>
    <row r="468" spans="1:15" ht="17.25" customHeight="1">
      <c r="A468" s="44"/>
      <c r="B468" s="44"/>
      <c r="C468" s="44"/>
      <c r="D468" s="44"/>
      <c r="E468" s="44"/>
      <c r="F468" s="44"/>
      <c r="G468" s="44"/>
      <c r="H468" s="44"/>
      <c r="I468" s="44"/>
      <c r="J468" s="44"/>
      <c r="K468" s="44"/>
      <c r="L468" s="44"/>
      <c r="M468" s="44"/>
      <c r="N468" s="44"/>
      <c r="O468" s="44"/>
    </row>
    <row r="469" spans="1:15" ht="17.25" customHeight="1">
      <c r="A469" s="44"/>
      <c r="B469" s="44"/>
      <c r="C469" s="44"/>
      <c r="D469" s="44"/>
      <c r="E469" s="44"/>
      <c r="F469" s="44"/>
      <c r="G469" s="44"/>
      <c r="H469" s="44"/>
      <c r="I469" s="44"/>
      <c r="J469" s="44"/>
      <c r="K469" s="44"/>
      <c r="L469" s="44"/>
      <c r="M469" s="44"/>
      <c r="N469" s="44"/>
      <c r="O469" s="44"/>
    </row>
    <row r="470" spans="1:15" ht="17.25" customHeight="1">
      <c r="A470" s="44"/>
      <c r="B470" s="44"/>
      <c r="C470" s="44"/>
      <c r="D470" s="44"/>
      <c r="E470" s="44"/>
      <c r="F470" s="44"/>
      <c r="G470" s="44"/>
      <c r="H470" s="44"/>
      <c r="I470" s="44"/>
      <c r="J470" s="44"/>
      <c r="K470" s="44"/>
      <c r="L470" s="44"/>
      <c r="M470" s="44"/>
      <c r="N470" s="44"/>
      <c r="O470" s="44"/>
    </row>
    <row r="471" spans="1:15" ht="17.25" customHeight="1">
      <c r="A471" s="44"/>
      <c r="B471" s="44"/>
      <c r="C471" s="44"/>
      <c r="D471" s="44"/>
      <c r="E471" s="44"/>
      <c r="F471" s="44"/>
      <c r="G471" s="44"/>
      <c r="H471" s="44"/>
      <c r="I471" s="44"/>
      <c r="J471" s="44"/>
      <c r="K471" s="44"/>
      <c r="L471" s="44"/>
      <c r="M471" s="44"/>
      <c r="N471" s="44"/>
      <c r="O471" s="44"/>
    </row>
    <row r="472" spans="1:15" ht="17.25" customHeight="1">
      <c r="A472" s="44"/>
      <c r="B472" s="44"/>
      <c r="C472" s="44"/>
      <c r="D472" s="44"/>
      <c r="E472" s="44"/>
      <c r="F472" s="44"/>
      <c r="G472" s="44"/>
      <c r="H472" s="44"/>
      <c r="I472" s="44"/>
      <c r="J472" s="44"/>
      <c r="K472" s="44"/>
      <c r="L472" s="44"/>
      <c r="M472" s="44"/>
      <c r="N472" s="44"/>
      <c r="O472" s="44"/>
    </row>
    <row r="473" spans="1:15" ht="17.25" customHeight="1">
      <c r="A473" s="44"/>
      <c r="B473" s="44"/>
      <c r="C473" s="44"/>
      <c r="D473" s="44"/>
      <c r="E473" s="44"/>
      <c r="F473" s="44"/>
      <c r="G473" s="44"/>
      <c r="H473" s="44"/>
      <c r="I473" s="44"/>
      <c r="J473" s="44"/>
      <c r="K473" s="44"/>
      <c r="L473" s="44"/>
      <c r="M473" s="44"/>
      <c r="N473" s="44"/>
      <c r="O473" s="44"/>
    </row>
    <row r="474" spans="1:15" ht="17.25" customHeight="1">
      <c r="A474" s="44"/>
      <c r="B474" s="44"/>
      <c r="C474" s="44"/>
      <c r="D474" s="44"/>
      <c r="E474" s="44"/>
      <c r="F474" s="44"/>
      <c r="G474" s="44"/>
      <c r="H474" s="44"/>
      <c r="I474" s="44"/>
      <c r="J474" s="44"/>
      <c r="K474" s="44"/>
      <c r="L474" s="44"/>
      <c r="M474" s="44"/>
      <c r="N474" s="44"/>
      <c r="O474" s="44"/>
    </row>
    <row r="475" spans="1:15" ht="17.25" customHeight="1">
      <c r="A475" s="44"/>
      <c r="B475" s="44"/>
      <c r="C475" s="44"/>
      <c r="D475" s="44"/>
      <c r="E475" s="44"/>
      <c r="F475" s="44"/>
      <c r="G475" s="44"/>
      <c r="H475" s="44"/>
      <c r="I475" s="44"/>
      <c r="J475" s="44"/>
      <c r="K475" s="44"/>
      <c r="L475" s="44"/>
      <c r="M475" s="44"/>
      <c r="N475" s="44"/>
      <c r="O475" s="44"/>
    </row>
    <row r="476" spans="1:15" ht="17.25" customHeight="1">
      <c r="A476" s="44"/>
      <c r="B476" s="44"/>
      <c r="C476" s="44"/>
      <c r="D476" s="44"/>
      <c r="E476" s="44"/>
      <c r="F476" s="44"/>
      <c r="G476" s="44"/>
      <c r="H476" s="44"/>
      <c r="I476" s="44"/>
      <c r="J476" s="44"/>
      <c r="K476" s="44"/>
      <c r="L476" s="44"/>
      <c r="M476" s="44"/>
      <c r="N476" s="44"/>
      <c r="O476" s="44"/>
    </row>
    <row r="477" spans="1:15" ht="17.25" customHeight="1">
      <c r="A477" s="44"/>
      <c r="B477" s="44"/>
      <c r="C477" s="44"/>
      <c r="D477" s="44"/>
      <c r="E477" s="44"/>
      <c r="F477" s="44"/>
      <c r="G477" s="44"/>
      <c r="H477" s="44"/>
      <c r="I477" s="44"/>
      <c r="J477" s="44"/>
      <c r="K477" s="44"/>
      <c r="L477" s="44"/>
      <c r="M477" s="44"/>
      <c r="N477" s="44"/>
      <c r="O477" s="44"/>
    </row>
    <row r="478" spans="1:15" ht="17.25" customHeight="1">
      <c r="A478" s="44"/>
      <c r="B478" s="44"/>
      <c r="C478" s="44"/>
      <c r="D478" s="44"/>
      <c r="E478" s="44"/>
      <c r="F478" s="44"/>
      <c r="G478" s="44"/>
      <c r="H478" s="44"/>
      <c r="I478" s="44"/>
      <c r="J478" s="44"/>
      <c r="K478" s="44"/>
      <c r="L478" s="44"/>
      <c r="M478" s="44"/>
      <c r="N478" s="44"/>
      <c r="O478" s="44"/>
    </row>
    <row r="479" spans="1:15" ht="17.25" customHeight="1">
      <c r="A479" s="44"/>
      <c r="B479" s="44"/>
      <c r="C479" s="44"/>
      <c r="D479" s="44"/>
      <c r="E479" s="44"/>
      <c r="F479" s="44"/>
      <c r="G479" s="44"/>
      <c r="H479" s="44"/>
      <c r="I479" s="44"/>
      <c r="J479" s="44"/>
      <c r="K479" s="44"/>
      <c r="L479" s="44"/>
      <c r="M479" s="44"/>
      <c r="N479" s="44"/>
      <c r="O479" s="44"/>
    </row>
    <row r="480" spans="1:15" ht="17.25" customHeight="1">
      <c r="A480" s="44"/>
      <c r="B480" s="44"/>
      <c r="C480" s="44"/>
      <c r="D480" s="44"/>
      <c r="E480" s="44"/>
      <c r="F480" s="44"/>
      <c r="G480" s="44"/>
      <c r="H480" s="44"/>
      <c r="I480" s="44"/>
      <c r="J480" s="44"/>
      <c r="K480" s="44"/>
      <c r="L480" s="44"/>
      <c r="M480" s="44"/>
      <c r="N480" s="44"/>
      <c r="O480" s="44"/>
    </row>
    <row r="481" spans="1:15" ht="17.25" customHeight="1">
      <c r="A481" s="44"/>
      <c r="B481" s="44"/>
      <c r="C481" s="44"/>
      <c r="D481" s="44"/>
      <c r="E481" s="44"/>
      <c r="F481" s="44"/>
      <c r="G481" s="44"/>
      <c r="H481" s="44"/>
      <c r="I481" s="44"/>
      <c r="J481" s="44"/>
      <c r="K481" s="44"/>
      <c r="L481" s="44"/>
      <c r="M481" s="44"/>
      <c r="N481" s="44"/>
      <c r="O481" s="44"/>
    </row>
    <row r="482" spans="1:15" ht="17.25" customHeight="1">
      <c r="A482" s="44"/>
      <c r="B482" s="44"/>
      <c r="C482" s="44"/>
      <c r="D482" s="44"/>
      <c r="E482" s="44"/>
      <c r="F482" s="44"/>
      <c r="G482" s="44"/>
      <c r="H482" s="44"/>
      <c r="I482" s="44"/>
      <c r="J482" s="44"/>
      <c r="K482" s="44"/>
      <c r="L482" s="44"/>
      <c r="M482" s="44"/>
      <c r="N482" s="44"/>
      <c r="O482" s="44"/>
    </row>
    <row r="483" spans="1:15" ht="17.25" customHeight="1">
      <c r="A483" s="44"/>
      <c r="B483" s="44"/>
      <c r="C483" s="44"/>
      <c r="D483" s="44"/>
      <c r="E483" s="44"/>
      <c r="F483" s="44"/>
      <c r="G483" s="44"/>
      <c r="H483" s="44"/>
      <c r="I483" s="44"/>
      <c r="J483" s="44"/>
      <c r="K483" s="44"/>
      <c r="L483" s="44"/>
      <c r="M483" s="44"/>
      <c r="N483" s="44"/>
      <c r="O483" s="44"/>
    </row>
    <row r="484" spans="1:15" ht="17.25" customHeight="1">
      <c r="A484" s="44"/>
      <c r="B484" s="44"/>
      <c r="C484" s="44"/>
      <c r="D484" s="44"/>
      <c r="E484" s="44"/>
      <c r="F484" s="44"/>
      <c r="G484" s="44"/>
      <c r="H484" s="44"/>
      <c r="I484" s="44"/>
      <c r="J484" s="44"/>
      <c r="K484" s="44"/>
      <c r="L484" s="44"/>
      <c r="M484" s="44"/>
      <c r="N484" s="44"/>
      <c r="O484" s="44"/>
    </row>
    <row r="485" spans="1:15" ht="17.25" customHeight="1">
      <c r="A485" s="44"/>
      <c r="B485" s="44"/>
      <c r="C485" s="44"/>
      <c r="D485" s="44"/>
      <c r="E485" s="44"/>
      <c r="F485" s="44"/>
      <c r="G485" s="44"/>
      <c r="H485" s="44"/>
      <c r="I485" s="44"/>
      <c r="J485" s="44"/>
      <c r="K485" s="44"/>
      <c r="L485" s="44"/>
      <c r="M485" s="44"/>
      <c r="N485" s="44"/>
      <c r="O485" s="44"/>
    </row>
    <row r="486" spans="1:15" ht="17.25" customHeight="1">
      <c r="A486" s="44"/>
      <c r="B486" s="44"/>
      <c r="C486" s="44"/>
      <c r="D486" s="44"/>
      <c r="E486" s="44"/>
      <c r="F486" s="44"/>
      <c r="G486" s="44"/>
      <c r="H486" s="44"/>
      <c r="I486" s="44"/>
      <c r="J486" s="44"/>
      <c r="K486" s="44"/>
      <c r="L486" s="44"/>
      <c r="M486" s="44"/>
      <c r="N486" s="44"/>
      <c r="O486" s="44"/>
    </row>
    <row r="487" spans="1:15" ht="17.25" customHeight="1">
      <c r="A487" s="44"/>
      <c r="B487" s="44"/>
      <c r="C487" s="44"/>
      <c r="D487" s="44"/>
      <c r="E487" s="44"/>
      <c r="F487" s="44"/>
      <c r="G487" s="44"/>
      <c r="H487" s="44"/>
      <c r="I487" s="44"/>
      <c r="J487" s="44"/>
      <c r="K487" s="44"/>
      <c r="L487" s="44"/>
      <c r="M487" s="44"/>
      <c r="N487" s="44"/>
      <c r="O487" s="44"/>
    </row>
    <row r="488" spans="1:15" ht="17.25" customHeight="1">
      <c r="A488" s="44"/>
      <c r="B488" s="44"/>
      <c r="C488" s="44"/>
      <c r="D488" s="44"/>
      <c r="E488" s="44"/>
      <c r="F488" s="44"/>
      <c r="G488" s="44"/>
      <c r="H488" s="44"/>
      <c r="I488" s="44"/>
      <c r="J488" s="44"/>
      <c r="K488" s="44"/>
      <c r="L488" s="44"/>
      <c r="M488" s="44"/>
      <c r="N488" s="44"/>
      <c r="O488" s="44"/>
    </row>
    <row r="489" spans="1:15" ht="17.25" customHeight="1">
      <c r="A489" s="44"/>
      <c r="B489" s="44"/>
      <c r="C489" s="44"/>
      <c r="D489" s="44"/>
      <c r="E489" s="44"/>
      <c r="F489" s="44"/>
      <c r="G489" s="44"/>
      <c r="H489" s="44"/>
      <c r="I489" s="44"/>
      <c r="J489" s="44"/>
      <c r="K489" s="44"/>
      <c r="L489" s="44"/>
      <c r="M489" s="44"/>
      <c r="N489" s="44"/>
      <c r="O489" s="44"/>
    </row>
    <row r="490" spans="1:15" ht="17.25" customHeight="1">
      <c r="A490" s="44"/>
      <c r="B490" s="44"/>
      <c r="C490" s="44"/>
      <c r="D490" s="44"/>
      <c r="E490" s="44"/>
      <c r="F490" s="44"/>
      <c r="G490" s="44"/>
      <c r="H490" s="44"/>
      <c r="I490" s="44"/>
      <c r="J490" s="44"/>
      <c r="K490" s="44"/>
      <c r="L490" s="44"/>
      <c r="M490" s="44"/>
      <c r="N490" s="44"/>
      <c r="O490" s="44"/>
    </row>
    <row r="491" spans="1:15" ht="17.25" customHeight="1">
      <c r="A491" s="44"/>
      <c r="B491" s="44"/>
      <c r="C491" s="44"/>
      <c r="D491" s="44"/>
      <c r="E491" s="44"/>
      <c r="F491" s="44"/>
      <c r="G491" s="44"/>
      <c r="H491" s="44"/>
      <c r="I491" s="44"/>
      <c r="J491" s="44"/>
      <c r="K491" s="44"/>
      <c r="L491" s="44"/>
      <c r="M491" s="44"/>
      <c r="N491" s="44"/>
      <c r="O491" s="44"/>
    </row>
    <row r="492" spans="1:15" ht="17.25" customHeight="1">
      <c r="A492" s="44"/>
      <c r="B492" s="44"/>
      <c r="C492" s="44"/>
      <c r="D492" s="44"/>
      <c r="E492" s="44"/>
      <c r="F492" s="44"/>
      <c r="G492" s="44"/>
      <c r="H492" s="44"/>
      <c r="I492" s="44"/>
      <c r="J492" s="44"/>
      <c r="K492" s="44"/>
      <c r="L492" s="44"/>
      <c r="M492" s="44"/>
      <c r="N492" s="44"/>
      <c r="O492" s="44"/>
    </row>
    <row r="493" spans="1:15" ht="17.25" customHeight="1">
      <c r="A493" s="44"/>
      <c r="B493" s="44"/>
      <c r="C493" s="44"/>
      <c r="D493" s="44"/>
      <c r="E493" s="44"/>
      <c r="F493" s="44"/>
      <c r="G493" s="44"/>
      <c r="H493" s="44"/>
      <c r="I493" s="44"/>
      <c r="J493" s="44"/>
      <c r="K493" s="44"/>
      <c r="L493" s="44"/>
      <c r="M493" s="44"/>
      <c r="N493" s="44"/>
      <c r="O493" s="44"/>
    </row>
    <row r="494" spans="1:15" ht="17.25" customHeight="1">
      <c r="A494" s="44"/>
      <c r="B494" s="44"/>
      <c r="C494" s="44"/>
      <c r="D494" s="44"/>
      <c r="E494" s="44"/>
      <c r="F494" s="44"/>
      <c r="G494" s="44"/>
      <c r="H494" s="44"/>
      <c r="I494" s="44"/>
      <c r="J494" s="44"/>
      <c r="K494" s="44"/>
      <c r="L494" s="44"/>
      <c r="M494" s="44"/>
      <c r="N494" s="44"/>
      <c r="O494" s="44"/>
    </row>
    <row r="495" spans="1:15" ht="17.25" customHeight="1">
      <c r="A495" s="44"/>
      <c r="B495" s="44"/>
      <c r="C495" s="44"/>
      <c r="D495" s="44"/>
      <c r="E495" s="44"/>
      <c r="F495" s="44"/>
      <c r="G495" s="44"/>
      <c r="H495" s="44"/>
      <c r="I495" s="44"/>
      <c r="J495" s="44"/>
      <c r="K495" s="44"/>
      <c r="L495" s="44"/>
      <c r="M495" s="44"/>
      <c r="N495" s="44"/>
      <c r="O495" s="44"/>
    </row>
    <row r="496" spans="1:15" ht="17.25" customHeight="1">
      <c r="A496" s="44"/>
      <c r="B496" s="44"/>
      <c r="C496" s="44"/>
      <c r="D496" s="44"/>
      <c r="E496" s="44"/>
      <c r="F496" s="44"/>
      <c r="G496" s="44"/>
      <c r="H496" s="44"/>
      <c r="I496" s="44"/>
      <c r="J496" s="44"/>
      <c r="K496" s="44"/>
      <c r="L496" s="44"/>
      <c r="M496" s="44"/>
      <c r="N496" s="44"/>
      <c r="O496" s="44"/>
    </row>
    <row r="497" spans="1:15" ht="17.25" customHeight="1">
      <c r="A497" s="44"/>
      <c r="B497" s="44"/>
      <c r="C497" s="44"/>
      <c r="D497" s="44"/>
      <c r="E497" s="44"/>
      <c r="F497" s="44"/>
      <c r="G497" s="44"/>
      <c r="H497" s="44"/>
      <c r="I497" s="44"/>
      <c r="J497" s="44"/>
      <c r="K497" s="44"/>
      <c r="L497" s="44"/>
      <c r="M497" s="44"/>
      <c r="N497" s="44"/>
      <c r="O497" s="44"/>
    </row>
    <row r="498" spans="1:15" ht="17.25" customHeight="1">
      <c r="A498" s="44"/>
      <c r="B498" s="44"/>
      <c r="C498" s="44"/>
      <c r="D498" s="44"/>
      <c r="E498" s="44"/>
      <c r="F498" s="44"/>
      <c r="G498" s="44"/>
      <c r="H498" s="44"/>
      <c r="I498" s="44"/>
      <c r="J498" s="44"/>
      <c r="K498" s="44"/>
      <c r="L498" s="44"/>
      <c r="M498" s="44"/>
      <c r="N498" s="44"/>
      <c r="O498" s="44"/>
    </row>
    <row r="499" spans="1:15" ht="17.25" customHeight="1">
      <c r="A499" s="44"/>
      <c r="B499" s="44"/>
      <c r="C499" s="44"/>
      <c r="D499" s="44"/>
      <c r="E499" s="44"/>
      <c r="F499" s="44"/>
      <c r="G499" s="44"/>
      <c r="H499" s="44"/>
      <c r="I499" s="44"/>
      <c r="J499" s="44"/>
      <c r="K499" s="44"/>
      <c r="L499" s="44"/>
      <c r="M499" s="44"/>
      <c r="N499" s="44"/>
      <c r="O499" s="44"/>
    </row>
    <row r="500" spans="1:15" ht="17.25" customHeight="1">
      <c r="A500" s="44"/>
      <c r="B500" s="44"/>
      <c r="C500" s="44"/>
      <c r="D500" s="44"/>
      <c r="E500" s="44"/>
      <c r="F500" s="44"/>
      <c r="G500" s="44"/>
      <c r="H500" s="44"/>
      <c r="I500" s="44"/>
      <c r="J500" s="44"/>
      <c r="K500" s="44"/>
      <c r="L500" s="44"/>
      <c r="M500" s="44"/>
      <c r="N500" s="44"/>
      <c r="O500" s="44"/>
    </row>
    <row r="501" spans="1:15" ht="17.25" customHeight="1">
      <c r="A501" s="44"/>
      <c r="B501" s="44"/>
      <c r="C501" s="44"/>
      <c r="D501" s="44"/>
      <c r="E501" s="44"/>
      <c r="F501" s="44"/>
      <c r="G501" s="44"/>
      <c r="H501" s="44"/>
      <c r="I501" s="44"/>
      <c r="J501" s="44"/>
      <c r="K501" s="44"/>
      <c r="L501" s="44"/>
      <c r="M501" s="44"/>
      <c r="N501" s="44"/>
      <c r="O501" s="44"/>
    </row>
    <row r="502" spans="1:15" ht="17.25" customHeight="1">
      <c r="A502" s="44"/>
      <c r="B502" s="44"/>
      <c r="C502" s="44"/>
      <c r="D502" s="44"/>
      <c r="E502" s="44"/>
      <c r="F502" s="44"/>
      <c r="G502" s="44"/>
      <c r="H502" s="44"/>
      <c r="I502" s="44"/>
      <c r="J502" s="44"/>
      <c r="K502" s="44"/>
      <c r="L502" s="44"/>
      <c r="M502" s="44"/>
      <c r="N502" s="44"/>
      <c r="O502" s="44"/>
    </row>
    <row r="503" spans="1:15" ht="17.25" customHeight="1">
      <c r="A503" s="44"/>
      <c r="B503" s="44"/>
      <c r="C503" s="44"/>
      <c r="D503" s="44"/>
      <c r="E503" s="44"/>
      <c r="F503" s="44"/>
      <c r="G503" s="44"/>
      <c r="H503" s="44"/>
      <c r="I503" s="44"/>
      <c r="J503" s="44"/>
      <c r="K503" s="44"/>
      <c r="L503" s="44"/>
      <c r="M503" s="44"/>
      <c r="N503" s="44"/>
      <c r="O503" s="44"/>
    </row>
    <row r="504" spans="1:15" ht="17.25" customHeight="1">
      <c r="A504" s="44"/>
      <c r="B504" s="44"/>
      <c r="C504" s="44"/>
      <c r="D504" s="44"/>
      <c r="E504" s="44"/>
      <c r="F504" s="44"/>
      <c r="G504" s="44"/>
      <c r="H504" s="44"/>
      <c r="I504" s="44"/>
      <c r="J504" s="44"/>
      <c r="K504" s="44"/>
      <c r="L504" s="44"/>
      <c r="M504" s="44"/>
      <c r="N504" s="44"/>
      <c r="O504" s="44"/>
    </row>
    <row r="505" spans="1:15" ht="17.25" customHeight="1">
      <c r="A505" s="44"/>
      <c r="B505" s="44"/>
      <c r="C505" s="44"/>
      <c r="D505" s="44"/>
      <c r="E505" s="44"/>
      <c r="F505" s="44"/>
      <c r="G505" s="44"/>
      <c r="H505" s="44"/>
      <c r="I505" s="44"/>
      <c r="J505" s="44"/>
      <c r="K505" s="44"/>
      <c r="L505" s="44"/>
      <c r="M505" s="44"/>
      <c r="N505" s="44"/>
      <c r="O505" s="44"/>
    </row>
    <row r="506" spans="1:15" ht="17.25" customHeight="1">
      <c r="A506" s="44"/>
      <c r="B506" s="44"/>
      <c r="C506" s="44"/>
      <c r="D506" s="44"/>
      <c r="E506" s="44"/>
      <c r="F506" s="44"/>
      <c r="G506" s="44"/>
      <c r="H506" s="44"/>
      <c r="I506" s="44"/>
      <c r="J506" s="44"/>
      <c r="K506" s="44"/>
      <c r="L506" s="44"/>
      <c r="M506" s="44"/>
      <c r="N506" s="44"/>
      <c r="O506" s="44"/>
    </row>
    <row r="507" spans="1:15" ht="17.25" customHeight="1">
      <c r="A507" s="44"/>
      <c r="B507" s="44"/>
      <c r="C507" s="44"/>
      <c r="D507" s="44"/>
      <c r="E507" s="44"/>
      <c r="F507" s="44"/>
      <c r="G507" s="44"/>
      <c r="H507" s="44"/>
      <c r="I507" s="44"/>
      <c r="J507" s="44"/>
      <c r="K507" s="44"/>
      <c r="L507" s="44"/>
      <c r="M507" s="44"/>
      <c r="N507" s="44"/>
      <c r="O507" s="44"/>
    </row>
    <row r="508" spans="1:15" ht="17.25" customHeight="1">
      <c r="A508" s="44"/>
      <c r="B508" s="44"/>
      <c r="C508" s="44"/>
      <c r="D508" s="44"/>
      <c r="E508" s="44"/>
      <c r="F508" s="44"/>
      <c r="G508" s="44"/>
      <c r="H508" s="44"/>
      <c r="I508" s="44"/>
      <c r="J508" s="44"/>
      <c r="K508" s="44"/>
      <c r="L508" s="44"/>
      <c r="M508" s="44"/>
      <c r="N508" s="44"/>
      <c r="O508" s="44"/>
    </row>
    <row r="509" spans="1:15" ht="17.25" customHeight="1">
      <c r="A509" s="44"/>
      <c r="B509" s="44"/>
      <c r="C509" s="44"/>
      <c r="D509" s="44"/>
      <c r="E509" s="44"/>
      <c r="F509" s="44"/>
      <c r="G509" s="44"/>
      <c r="H509" s="44"/>
      <c r="I509" s="44"/>
      <c r="J509" s="44"/>
      <c r="K509" s="44"/>
      <c r="L509" s="44"/>
      <c r="M509" s="44"/>
      <c r="N509" s="44"/>
      <c r="O509" s="44"/>
    </row>
    <row r="510" spans="1:15" ht="17.25" customHeight="1">
      <c r="A510" s="44"/>
      <c r="B510" s="44"/>
      <c r="C510" s="44"/>
      <c r="D510" s="44"/>
      <c r="E510" s="44"/>
      <c r="F510" s="44"/>
      <c r="G510" s="44"/>
      <c r="H510" s="44"/>
      <c r="I510" s="44"/>
      <c r="J510" s="44"/>
      <c r="K510" s="44"/>
      <c r="L510" s="44"/>
      <c r="M510" s="44"/>
      <c r="N510" s="44"/>
      <c r="O510" s="44"/>
    </row>
    <row r="511" spans="1:15" ht="17.25" customHeight="1">
      <c r="A511" s="44"/>
      <c r="B511" s="44"/>
      <c r="C511" s="44"/>
      <c r="D511" s="44"/>
      <c r="E511" s="44"/>
      <c r="F511" s="44"/>
      <c r="G511" s="44"/>
      <c r="H511" s="44"/>
      <c r="I511" s="44"/>
      <c r="J511" s="44"/>
      <c r="K511" s="44"/>
      <c r="L511" s="44"/>
      <c r="M511" s="44"/>
      <c r="N511" s="44"/>
      <c r="O511" s="44"/>
    </row>
    <row r="512" spans="1:15" ht="17.25" customHeight="1">
      <c r="A512" s="44"/>
      <c r="B512" s="44"/>
      <c r="C512" s="44"/>
      <c r="D512" s="44"/>
      <c r="E512" s="44"/>
      <c r="F512" s="44"/>
      <c r="G512" s="44"/>
      <c r="H512" s="44"/>
      <c r="I512" s="44"/>
      <c r="J512" s="44"/>
      <c r="K512" s="44"/>
      <c r="L512" s="44"/>
      <c r="M512" s="44"/>
      <c r="N512" s="44"/>
      <c r="O512" s="44"/>
    </row>
    <row r="513" spans="1:15" ht="17.25" customHeight="1">
      <c r="A513" s="44"/>
      <c r="B513" s="44"/>
      <c r="C513" s="44"/>
      <c r="D513" s="44"/>
      <c r="E513" s="44"/>
      <c r="F513" s="44"/>
      <c r="G513" s="44"/>
      <c r="H513" s="44"/>
      <c r="I513" s="44"/>
      <c r="J513" s="44"/>
      <c r="K513" s="44"/>
      <c r="L513" s="44"/>
      <c r="M513" s="44"/>
      <c r="N513" s="44"/>
      <c r="O513" s="44"/>
    </row>
    <row r="514" spans="1:15" ht="17.25" customHeight="1">
      <c r="A514" s="44"/>
      <c r="B514" s="44"/>
      <c r="C514" s="44"/>
      <c r="D514" s="44"/>
      <c r="E514" s="44"/>
      <c r="F514" s="44"/>
      <c r="G514" s="44"/>
      <c r="H514" s="44"/>
      <c r="I514" s="44"/>
      <c r="J514" s="44"/>
      <c r="K514" s="44"/>
      <c r="L514" s="44"/>
      <c r="M514" s="44"/>
      <c r="N514" s="44"/>
      <c r="O514" s="44"/>
    </row>
    <row r="515" spans="1:15" ht="17.25" customHeight="1">
      <c r="A515" s="44"/>
      <c r="B515" s="44"/>
      <c r="C515" s="44"/>
      <c r="D515" s="44"/>
      <c r="E515" s="44"/>
      <c r="F515" s="44"/>
      <c r="G515" s="44"/>
      <c r="H515" s="44"/>
      <c r="I515" s="44"/>
      <c r="J515" s="44"/>
      <c r="K515" s="44"/>
      <c r="L515" s="44"/>
      <c r="M515" s="44"/>
      <c r="N515" s="44"/>
      <c r="O515" s="44"/>
    </row>
    <row r="516" spans="1:15" ht="17.25" customHeight="1">
      <c r="A516" s="44"/>
      <c r="B516" s="44"/>
      <c r="C516" s="44"/>
      <c r="D516" s="44"/>
      <c r="E516" s="44"/>
      <c r="F516" s="44"/>
      <c r="G516" s="44"/>
      <c r="H516" s="44"/>
      <c r="I516" s="44"/>
      <c r="J516" s="44"/>
      <c r="K516" s="44"/>
      <c r="L516" s="44"/>
      <c r="M516" s="44"/>
      <c r="N516" s="44"/>
      <c r="O516" s="44"/>
    </row>
    <row r="517" spans="1:15" ht="17.25" customHeight="1">
      <c r="A517" s="44"/>
      <c r="B517" s="44"/>
      <c r="C517" s="44"/>
      <c r="D517" s="44"/>
      <c r="E517" s="44"/>
      <c r="F517" s="44"/>
      <c r="G517" s="44"/>
      <c r="H517" s="44"/>
      <c r="I517" s="44"/>
      <c r="J517" s="44"/>
      <c r="K517" s="44"/>
      <c r="L517" s="44"/>
      <c r="M517" s="44"/>
      <c r="N517" s="44"/>
      <c r="O517" s="44"/>
    </row>
    <row r="518" spans="1:15" ht="17.25" customHeight="1">
      <c r="A518" s="44"/>
      <c r="B518" s="44"/>
      <c r="C518" s="44"/>
      <c r="D518" s="44"/>
      <c r="E518" s="44"/>
      <c r="F518" s="44"/>
      <c r="G518" s="44"/>
      <c r="H518" s="44"/>
      <c r="I518" s="44"/>
      <c r="J518" s="44"/>
      <c r="K518" s="44"/>
      <c r="L518" s="44"/>
      <c r="M518" s="44"/>
      <c r="N518" s="44"/>
      <c r="O518" s="44"/>
    </row>
    <row r="519" spans="1:15" ht="17.25" customHeight="1">
      <c r="A519" s="44"/>
      <c r="B519" s="44"/>
      <c r="C519" s="44"/>
      <c r="D519" s="44"/>
      <c r="E519" s="44"/>
      <c r="F519" s="44"/>
      <c r="G519" s="44"/>
      <c r="H519" s="44"/>
      <c r="I519" s="44"/>
      <c r="J519" s="44"/>
      <c r="K519" s="44"/>
      <c r="L519" s="44"/>
      <c r="M519" s="44"/>
      <c r="N519" s="44"/>
      <c r="O519" s="44"/>
    </row>
    <row r="520" spans="1:15" ht="17.25" customHeight="1">
      <c r="A520" s="44"/>
      <c r="B520" s="44"/>
      <c r="C520" s="44"/>
      <c r="D520" s="44"/>
      <c r="E520" s="44"/>
      <c r="F520" s="44"/>
      <c r="G520" s="44"/>
      <c r="H520" s="44"/>
      <c r="I520" s="44"/>
      <c r="J520" s="44"/>
      <c r="K520" s="44"/>
      <c r="L520" s="44"/>
      <c r="M520" s="44"/>
      <c r="N520" s="44"/>
      <c r="O520" s="44"/>
    </row>
    <row r="521" spans="1:15" ht="17.25" customHeight="1">
      <c r="A521" s="44"/>
      <c r="B521" s="44"/>
      <c r="C521" s="44"/>
      <c r="D521" s="44"/>
      <c r="E521" s="44"/>
      <c r="F521" s="44"/>
      <c r="G521" s="44"/>
      <c r="H521" s="44"/>
      <c r="I521" s="44"/>
      <c r="J521" s="44"/>
      <c r="K521" s="44"/>
      <c r="L521" s="44"/>
      <c r="M521" s="44"/>
      <c r="N521" s="44"/>
      <c r="O521" s="44"/>
    </row>
    <row r="522" spans="1:15" ht="17.25" customHeight="1">
      <c r="A522" s="44"/>
      <c r="B522" s="44"/>
      <c r="C522" s="44"/>
      <c r="D522" s="44"/>
      <c r="E522" s="44"/>
      <c r="F522" s="44"/>
      <c r="G522" s="44"/>
      <c r="H522" s="44"/>
      <c r="I522" s="44"/>
      <c r="J522" s="44"/>
      <c r="K522" s="44"/>
      <c r="L522" s="44"/>
      <c r="M522" s="44"/>
      <c r="N522" s="44"/>
      <c r="O522" s="44"/>
    </row>
    <row r="523" spans="1:15" ht="17.25" customHeight="1">
      <c r="A523" s="44"/>
      <c r="B523" s="44"/>
      <c r="C523" s="44"/>
      <c r="D523" s="44"/>
      <c r="E523" s="44"/>
      <c r="F523" s="44"/>
      <c r="G523" s="44"/>
      <c r="H523" s="44"/>
      <c r="I523" s="44"/>
      <c r="J523" s="44"/>
      <c r="K523" s="44"/>
      <c r="L523" s="44"/>
      <c r="M523" s="44"/>
      <c r="N523" s="44"/>
      <c r="O523" s="44"/>
    </row>
    <row r="524" spans="1:15" ht="17.25" customHeight="1">
      <c r="A524" s="44"/>
      <c r="B524" s="44"/>
      <c r="C524" s="44"/>
      <c r="D524" s="44"/>
      <c r="E524" s="44"/>
      <c r="F524" s="44"/>
      <c r="G524" s="44"/>
      <c r="H524" s="44"/>
      <c r="I524" s="44"/>
      <c r="J524" s="44"/>
      <c r="K524" s="44"/>
      <c r="L524" s="44"/>
      <c r="M524" s="44"/>
      <c r="N524" s="44"/>
      <c r="O524" s="44"/>
    </row>
    <row r="525" spans="1:15" ht="17.25" customHeight="1">
      <c r="A525" s="44"/>
      <c r="B525" s="44"/>
      <c r="C525" s="44"/>
      <c r="D525" s="44"/>
      <c r="E525" s="44"/>
      <c r="F525" s="44"/>
      <c r="G525" s="44"/>
      <c r="H525" s="44"/>
      <c r="I525" s="44"/>
      <c r="J525" s="44"/>
      <c r="K525" s="44"/>
      <c r="L525" s="44"/>
      <c r="M525" s="44"/>
      <c r="N525" s="44"/>
      <c r="O525" s="44"/>
    </row>
    <row r="526" spans="1:15" ht="17.25" customHeight="1">
      <c r="A526" s="44"/>
      <c r="B526" s="44"/>
      <c r="C526" s="44"/>
      <c r="D526" s="44"/>
      <c r="E526" s="44"/>
      <c r="F526" s="44"/>
      <c r="G526" s="44"/>
      <c r="H526" s="44"/>
      <c r="I526" s="44"/>
      <c r="J526" s="44"/>
      <c r="K526" s="44"/>
      <c r="L526" s="44"/>
      <c r="M526" s="44"/>
      <c r="N526" s="44"/>
      <c r="O526" s="44"/>
    </row>
    <row r="527" spans="1:15" ht="17.25" customHeight="1">
      <c r="A527" s="44"/>
      <c r="B527" s="44"/>
      <c r="C527" s="44"/>
      <c r="D527" s="44"/>
      <c r="E527" s="44"/>
      <c r="F527" s="44"/>
      <c r="G527" s="44"/>
      <c r="H527" s="44"/>
      <c r="I527" s="44"/>
      <c r="J527" s="44"/>
      <c r="K527" s="44"/>
      <c r="L527" s="44"/>
      <c r="M527" s="44"/>
      <c r="N527" s="44"/>
      <c r="O527" s="44"/>
    </row>
    <row r="528" spans="1:15" ht="17.25" customHeight="1">
      <c r="A528" s="44"/>
      <c r="B528" s="44"/>
      <c r="C528" s="44"/>
      <c r="D528" s="44"/>
      <c r="E528" s="44"/>
      <c r="F528" s="44"/>
      <c r="G528" s="44"/>
      <c r="H528" s="44"/>
      <c r="I528" s="44"/>
      <c r="J528" s="44"/>
      <c r="K528" s="44"/>
      <c r="L528" s="44"/>
      <c r="M528" s="44"/>
      <c r="N528" s="44"/>
      <c r="O528" s="44"/>
    </row>
    <row r="529" spans="1:15" ht="17.25" customHeight="1">
      <c r="A529" s="44"/>
      <c r="B529" s="44"/>
      <c r="C529" s="44"/>
      <c r="D529" s="44"/>
      <c r="E529" s="44"/>
      <c r="F529" s="44"/>
      <c r="G529" s="44"/>
      <c r="H529" s="44"/>
      <c r="I529" s="44"/>
      <c r="J529" s="44"/>
      <c r="K529" s="44"/>
      <c r="L529" s="44"/>
      <c r="M529" s="44"/>
      <c r="N529" s="44"/>
      <c r="O529" s="44"/>
    </row>
    <row r="530" spans="1:15" ht="17.25" customHeight="1">
      <c r="A530" s="44"/>
      <c r="B530" s="44"/>
      <c r="C530" s="44"/>
      <c r="D530" s="44"/>
      <c r="E530" s="44"/>
      <c r="F530" s="44"/>
      <c r="G530" s="44"/>
      <c r="H530" s="44"/>
      <c r="I530" s="44"/>
      <c r="J530" s="44"/>
      <c r="K530" s="44"/>
      <c r="L530" s="44"/>
      <c r="M530" s="44"/>
      <c r="N530" s="44"/>
      <c r="O530" s="44"/>
    </row>
    <row r="531" spans="1:15" ht="17.25" customHeight="1">
      <c r="A531" s="44"/>
      <c r="B531" s="44"/>
      <c r="C531" s="44"/>
      <c r="D531" s="44"/>
      <c r="E531" s="44"/>
      <c r="F531" s="44"/>
      <c r="G531" s="44"/>
      <c r="H531" s="44"/>
      <c r="I531" s="44"/>
      <c r="J531" s="44"/>
      <c r="K531" s="44"/>
      <c r="L531" s="44"/>
      <c r="M531" s="44"/>
      <c r="N531" s="44"/>
      <c r="O531" s="44"/>
    </row>
    <row r="532" spans="1:15" ht="17.25" customHeight="1">
      <c r="A532" s="44"/>
      <c r="B532" s="44"/>
      <c r="C532" s="44"/>
      <c r="D532" s="44"/>
      <c r="E532" s="44"/>
      <c r="F532" s="44"/>
      <c r="G532" s="44"/>
      <c r="H532" s="44"/>
      <c r="I532" s="44"/>
      <c r="J532" s="44"/>
      <c r="K532" s="44"/>
      <c r="L532" s="44"/>
      <c r="M532" s="44"/>
      <c r="N532" s="44"/>
      <c r="O532" s="44"/>
    </row>
    <row r="533" spans="1:15" ht="17.25" customHeight="1">
      <c r="A533" s="44"/>
      <c r="B533" s="44"/>
      <c r="C533" s="44"/>
      <c r="D533" s="44"/>
      <c r="E533" s="44"/>
      <c r="F533" s="44"/>
      <c r="G533" s="44"/>
      <c r="H533" s="44"/>
      <c r="I533" s="44"/>
      <c r="J533" s="44"/>
      <c r="K533" s="44"/>
      <c r="L533" s="44"/>
      <c r="M533" s="44"/>
      <c r="N533" s="44"/>
      <c r="O533" s="44"/>
    </row>
    <row r="534" spans="1:15" ht="17.25" customHeight="1">
      <c r="A534" s="44"/>
      <c r="B534" s="44"/>
      <c r="C534" s="44"/>
      <c r="D534" s="44"/>
      <c r="E534" s="44"/>
      <c r="F534" s="44"/>
      <c r="G534" s="44"/>
      <c r="H534" s="44"/>
      <c r="I534" s="44"/>
      <c r="J534" s="44"/>
      <c r="K534" s="44"/>
      <c r="L534" s="44"/>
      <c r="M534" s="44"/>
      <c r="N534" s="44"/>
      <c r="O534" s="44"/>
    </row>
    <row r="535" spans="1:15" ht="17.25" customHeight="1">
      <c r="A535" s="44"/>
      <c r="B535" s="44"/>
      <c r="C535" s="44"/>
      <c r="D535" s="44"/>
      <c r="E535" s="44"/>
      <c r="F535" s="44"/>
      <c r="G535" s="44"/>
      <c r="H535" s="44"/>
      <c r="I535" s="44"/>
      <c r="J535" s="44"/>
      <c r="K535" s="44"/>
      <c r="L535" s="44"/>
      <c r="M535" s="44"/>
      <c r="N535" s="44"/>
      <c r="O535" s="44"/>
    </row>
    <row r="536" spans="1:15" ht="17.25" customHeight="1">
      <c r="A536" s="44"/>
      <c r="B536" s="44"/>
      <c r="C536" s="44"/>
      <c r="D536" s="44"/>
      <c r="E536" s="44"/>
      <c r="F536" s="44"/>
      <c r="G536" s="44"/>
      <c r="H536" s="44"/>
      <c r="I536" s="44"/>
      <c r="J536" s="44"/>
      <c r="K536" s="44"/>
      <c r="L536" s="44"/>
      <c r="M536" s="44"/>
      <c r="N536" s="44"/>
      <c r="O536" s="44"/>
    </row>
    <row r="537" spans="1:15" ht="17.25" customHeight="1">
      <c r="A537" s="44"/>
      <c r="B537" s="44"/>
      <c r="C537" s="44"/>
      <c r="D537" s="44"/>
      <c r="E537" s="44"/>
      <c r="F537" s="44"/>
      <c r="G537" s="44"/>
      <c r="H537" s="44"/>
      <c r="I537" s="44"/>
      <c r="J537" s="44"/>
      <c r="K537" s="44"/>
      <c r="L537" s="44"/>
      <c r="M537" s="44"/>
      <c r="N537" s="44"/>
      <c r="O537" s="44"/>
    </row>
    <row r="538" spans="1:15" ht="17.25" customHeight="1">
      <c r="A538" s="44"/>
      <c r="B538" s="44"/>
      <c r="C538" s="44"/>
      <c r="D538" s="44"/>
      <c r="E538" s="44"/>
      <c r="F538" s="44"/>
      <c r="G538" s="44"/>
      <c r="H538" s="44"/>
      <c r="I538" s="44"/>
      <c r="J538" s="44"/>
      <c r="K538" s="44"/>
      <c r="L538" s="44"/>
      <c r="M538" s="44"/>
      <c r="N538" s="44"/>
      <c r="O538" s="44"/>
    </row>
    <row r="539" spans="1:15" ht="17.25" customHeight="1">
      <c r="A539" s="44"/>
      <c r="B539" s="44"/>
      <c r="C539" s="44"/>
      <c r="D539" s="44"/>
      <c r="E539" s="44"/>
      <c r="F539" s="44"/>
      <c r="G539" s="44"/>
      <c r="H539" s="44"/>
      <c r="I539" s="44"/>
      <c r="J539" s="44"/>
      <c r="K539" s="44"/>
      <c r="L539" s="44"/>
      <c r="M539" s="44"/>
      <c r="N539" s="44"/>
      <c r="O539" s="44"/>
    </row>
    <row r="540" spans="1:15" ht="17.25" customHeight="1">
      <c r="A540" s="44"/>
      <c r="B540" s="44"/>
      <c r="C540" s="44"/>
      <c r="D540" s="44"/>
      <c r="E540" s="44"/>
      <c r="F540" s="44"/>
      <c r="G540" s="44"/>
      <c r="H540" s="44"/>
      <c r="I540" s="44"/>
      <c r="J540" s="44"/>
      <c r="K540" s="44"/>
      <c r="L540" s="44"/>
      <c r="M540" s="44"/>
      <c r="N540" s="44"/>
      <c r="O540" s="44"/>
    </row>
    <row r="541" spans="1:15" ht="17.25" customHeight="1">
      <c r="A541" s="44"/>
      <c r="B541" s="44"/>
      <c r="C541" s="44"/>
      <c r="D541" s="44"/>
      <c r="E541" s="44"/>
      <c r="F541" s="44"/>
      <c r="G541" s="44"/>
      <c r="H541" s="44"/>
      <c r="I541" s="44"/>
      <c r="J541" s="44"/>
      <c r="K541" s="44"/>
      <c r="L541" s="44"/>
      <c r="M541" s="44"/>
      <c r="N541" s="44"/>
      <c r="O541" s="44"/>
    </row>
    <row r="542" spans="1:15" ht="17.25" customHeight="1">
      <c r="A542" s="44"/>
      <c r="B542" s="44"/>
      <c r="C542" s="44"/>
      <c r="D542" s="44"/>
      <c r="E542" s="44"/>
      <c r="F542" s="44"/>
      <c r="G542" s="44"/>
      <c r="H542" s="44"/>
      <c r="I542" s="44"/>
      <c r="J542" s="44"/>
      <c r="K542" s="44"/>
      <c r="L542" s="44"/>
      <c r="M542" s="44"/>
      <c r="N542" s="44"/>
      <c r="O542" s="44"/>
    </row>
    <row r="543" spans="1:15" ht="17.25" customHeight="1">
      <c r="A543" s="44"/>
      <c r="B543" s="44"/>
      <c r="C543" s="44"/>
      <c r="D543" s="44"/>
      <c r="E543" s="44"/>
      <c r="F543" s="44"/>
      <c r="G543" s="44"/>
      <c r="H543" s="44"/>
      <c r="I543" s="44"/>
      <c r="J543" s="44"/>
      <c r="K543" s="44"/>
      <c r="L543" s="44"/>
      <c r="M543" s="44"/>
      <c r="N543" s="44"/>
      <c r="O543" s="44"/>
    </row>
    <row r="544" spans="1:15" ht="17.25" customHeight="1">
      <c r="A544" s="44"/>
      <c r="B544" s="44"/>
      <c r="C544" s="44"/>
      <c r="D544" s="44"/>
      <c r="E544" s="44"/>
      <c r="F544" s="44"/>
      <c r="G544" s="44"/>
      <c r="H544" s="44"/>
      <c r="I544" s="44"/>
      <c r="J544" s="44"/>
      <c r="K544" s="44"/>
      <c r="L544" s="44"/>
      <c r="M544" s="44"/>
      <c r="N544" s="44"/>
      <c r="O544" s="44"/>
    </row>
    <row r="545" spans="1:15" ht="17.25" customHeight="1">
      <c r="A545" s="44"/>
      <c r="B545" s="44"/>
      <c r="C545" s="44"/>
      <c r="D545" s="44"/>
      <c r="E545" s="44"/>
      <c r="F545" s="44"/>
      <c r="G545" s="44"/>
      <c r="H545" s="44"/>
      <c r="I545" s="44"/>
      <c r="J545" s="44"/>
      <c r="K545" s="44"/>
      <c r="L545" s="44"/>
      <c r="M545" s="44"/>
      <c r="N545" s="44"/>
      <c r="O545" s="44"/>
    </row>
    <row r="546" spans="1:15" ht="17.25" customHeight="1">
      <c r="A546" s="44"/>
      <c r="B546" s="44"/>
      <c r="C546" s="44"/>
      <c r="D546" s="44"/>
      <c r="E546" s="44"/>
      <c r="F546" s="44"/>
      <c r="G546" s="44"/>
      <c r="H546" s="44"/>
      <c r="I546" s="44"/>
      <c r="J546" s="44"/>
      <c r="K546" s="44"/>
      <c r="L546" s="44"/>
      <c r="M546" s="44"/>
      <c r="N546" s="44"/>
      <c r="O546" s="44"/>
    </row>
    <row r="547" spans="1:15" ht="17.25" customHeight="1">
      <c r="A547" s="44"/>
      <c r="B547" s="44"/>
      <c r="C547" s="44"/>
      <c r="D547" s="44"/>
      <c r="E547" s="44"/>
      <c r="F547" s="44"/>
      <c r="G547" s="44"/>
      <c r="H547" s="44"/>
      <c r="I547" s="44"/>
      <c r="J547" s="44"/>
      <c r="K547" s="44"/>
      <c r="L547" s="44"/>
      <c r="M547" s="44"/>
      <c r="N547" s="44"/>
      <c r="O547" s="44"/>
    </row>
    <row r="548" spans="1:15" ht="17.25" customHeight="1">
      <c r="A548" s="44"/>
      <c r="B548" s="44"/>
      <c r="C548" s="44"/>
      <c r="D548" s="44"/>
      <c r="E548" s="44"/>
      <c r="F548" s="44"/>
      <c r="G548" s="44"/>
      <c r="H548" s="44"/>
      <c r="I548" s="44"/>
      <c r="J548" s="44"/>
      <c r="K548" s="44"/>
      <c r="L548" s="44"/>
      <c r="M548" s="44"/>
      <c r="N548" s="44"/>
      <c r="O548" s="44"/>
    </row>
    <row r="549" spans="1:15" ht="17.25" customHeight="1">
      <c r="A549" s="44"/>
      <c r="B549" s="44"/>
      <c r="C549" s="44"/>
      <c r="D549" s="44"/>
      <c r="E549" s="44"/>
      <c r="F549" s="44"/>
      <c r="G549" s="44"/>
      <c r="H549" s="44"/>
      <c r="I549" s="44"/>
      <c r="J549" s="44"/>
      <c r="K549" s="44"/>
      <c r="L549" s="44"/>
      <c r="M549" s="44"/>
      <c r="N549" s="44"/>
      <c r="O549" s="44"/>
    </row>
    <row r="550" spans="1:15" ht="17.25" customHeight="1">
      <c r="A550" s="44"/>
      <c r="B550" s="44"/>
      <c r="C550" s="44"/>
      <c r="D550" s="44"/>
      <c r="E550" s="44"/>
      <c r="F550" s="44"/>
      <c r="G550" s="44"/>
      <c r="H550" s="44"/>
      <c r="I550" s="44"/>
      <c r="J550" s="44"/>
      <c r="K550" s="44"/>
      <c r="L550" s="44"/>
      <c r="M550" s="44"/>
      <c r="N550" s="44"/>
      <c r="O550" s="44"/>
    </row>
    <row r="551" spans="1:15" ht="17.25" customHeight="1">
      <c r="A551" s="44"/>
      <c r="B551" s="44"/>
      <c r="C551" s="44"/>
      <c r="D551" s="44"/>
      <c r="E551" s="44"/>
      <c r="F551" s="44"/>
      <c r="G551" s="44"/>
      <c r="H551" s="44"/>
      <c r="I551" s="44"/>
      <c r="J551" s="44"/>
      <c r="K551" s="44"/>
      <c r="L551" s="44"/>
      <c r="M551" s="44"/>
      <c r="N551" s="44"/>
      <c r="O551" s="44"/>
    </row>
    <row r="552" spans="1:15" ht="17.25" customHeight="1">
      <c r="A552" s="44"/>
      <c r="B552" s="44"/>
      <c r="C552" s="44"/>
      <c r="D552" s="44"/>
      <c r="E552" s="44"/>
      <c r="F552" s="44"/>
      <c r="G552" s="44"/>
      <c r="H552" s="44"/>
      <c r="I552" s="44"/>
      <c r="J552" s="44"/>
      <c r="K552" s="44"/>
      <c r="L552" s="44"/>
      <c r="M552" s="44"/>
      <c r="N552" s="44"/>
      <c r="O552" s="44"/>
    </row>
    <row r="553" spans="1:15" ht="17.25" customHeight="1">
      <c r="A553" s="44"/>
      <c r="B553" s="44"/>
      <c r="C553" s="44"/>
      <c r="D553" s="44"/>
      <c r="E553" s="44"/>
      <c r="F553" s="44"/>
      <c r="G553" s="44"/>
      <c r="H553" s="44"/>
      <c r="I553" s="44"/>
      <c r="J553" s="44"/>
      <c r="K553" s="44"/>
      <c r="L553" s="44"/>
      <c r="M553" s="44"/>
      <c r="N553" s="44"/>
      <c r="O553" s="44"/>
    </row>
    <row r="554" spans="1:15" ht="17.25" customHeight="1">
      <c r="A554" s="44"/>
      <c r="B554" s="44"/>
      <c r="C554" s="44"/>
      <c r="D554" s="44"/>
      <c r="E554" s="44"/>
      <c r="F554" s="44"/>
      <c r="G554" s="44"/>
      <c r="H554" s="44"/>
      <c r="I554" s="44"/>
      <c r="J554" s="44"/>
      <c r="K554" s="44"/>
      <c r="L554" s="44"/>
      <c r="M554" s="44"/>
      <c r="N554" s="44"/>
      <c r="O554" s="44"/>
    </row>
    <row r="555" spans="1:15" ht="17.25" customHeight="1">
      <c r="A555" s="44"/>
      <c r="B555" s="44"/>
      <c r="C555" s="44"/>
      <c r="D555" s="44"/>
      <c r="E555" s="44"/>
      <c r="F555" s="44"/>
      <c r="G555" s="44"/>
      <c r="H555" s="44"/>
      <c r="I555" s="44"/>
      <c r="J555" s="44"/>
      <c r="K555" s="44"/>
      <c r="L555" s="44"/>
      <c r="M555" s="44"/>
      <c r="N555" s="44"/>
      <c r="O555" s="44"/>
    </row>
    <row r="556" spans="1:15" ht="17.25" customHeight="1">
      <c r="A556" s="44"/>
      <c r="B556" s="44"/>
      <c r="C556" s="44"/>
      <c r="D556" s="44"/>
      <c r="E556" s="44"/>
      <c r="F556" s="44"/>
      <c r="G556" s="44"/>
      <c r="H556" s="44"/>
      <c r="I556" s="44"/>
      <c r="J556" s="44"/>
      <c r="K556" s="44"/>
      <c r="L556" s="44"/>
      <c r="M556" s="44"/>
      <c r="N556" s="44"/>
      <c r="O556" s="44"/>
    </row>
    <row r="557" spans="1:15" ht="17.25" customHeight="1">
      <c r="A557" s="44"/>
      <c r="B557" s="44"/>
      <c r="C557" s="44"/>
      <c r="D557" s="44"/>
      <c r="E557" s="44"/>
      <c r="F557" s="44"/>
      <c r="G557" s="44"/>
      <c r="H557" s="44"/>
      <c r="I557" s="44"/>
      <c r="J557" s="44"/>
      <c r="K557" s="44"/>
      <c r="L557" s="44"/>
      <c r="M557" s="44"/>
      <c r="N557" s="44"/>
      <c r="O557" s="44"/>
    </row>
    <row r="558" spans="1:15" ht="17.25" customHeight="1">
      <c r="A558" s="44"/>
      <c r="B558" s="44"/>
      <c r="C558" s="44"/>
      <c r="D558" s="44"/>
      <c r="E558" s="44"/>
      <c r="F558" s="44"/>
      <c r="G558" s="44"/>
      <c r="H558" s="44"/>
      <c r="I558" s="44"/>
      <c r="J558" s="44"/>
      <c r="K558" s="44"/>
      <c r="L558" s="44"/>
      <c r="M558" s="44"/>
      <c r="N558" s="44"/>
      <c r="O558" s="44"/>
    </row>
    <row r="559" spans="1:15" ht="17.25" customHeight="1">
      <c r="A559" s="44"/>
      <c r="B559" s="44"/>
      <c r="C559" s="44"/>
      <c r="D559" s="44"/>
      <c r="E559" s="44"/>
      <c r="F559" s="44"/>
      <c r="G559" s="44"/>
      <c r="H559" s="44"/>
      <c r="I559" s="44"/>
      <c r="J559" s="44"/>
      <c r="K559" s="44"/>
      <c r="L559" s="44"/>
      <c r="M559" s="44"/>
      <c r="N559" s="44"/>
      <c r="O559" s="44"/>
    </row>
    <row r="560" spans="1:15" ht="17.25" customHeight="1">
      <c r="A560" s="44"/>
      <c r="B560" s="44"/>
      <c r="C560" s="44"/>
      <c r="D560" s="44"/>
      <c r="E560" s="44"/>
      <c r="F560" s="44"/>
      <c r="G560" s="44"/>
      <c r="H560" s="44"/>
      <c r="I560" s="44"/>
      <c r="J560" s="44"/>
      <c r="K560" s="44"/>
      <c r="L560" s="44"/>
      <c r="M560" s="44"/>
      <c r="N560" s="44"/>
      <c r="O560" s="44"/>
    </row>
    <row r="561" spans="1:15" ht="17.25" customHeight="1">
      <c r="A561" s="44"/>
      <c r="B561" s="44"/>
      <c r="C561" s="44"/>
      <c r="D561" s="44"/>
      <c r="E561" s="44"/>
      <c r="F561" s="44"/>
      <c r="G561" s="44"/>
      <c r="H561" s="44"/>
      <c r="I561" s="44"/>
      <c r="J561" s="44"/>
      <c r="K561" s="44"/>
      <c r="L561" s="44"/>
      <c r="M561" s="44"/>
      <c r="N561" s="44"/>
      <c r="O561" s="44"/>
    </row>
    <row r="562" spans="1:15" ht="17.25" customHeight="1">
      <c r="A562" s="44"/>
      <c r="B562" s="44"/>
      <c r="C562" s="44"/>
      <c r="D562" s="44"/>
      <c r="E562" s="44"/>
      <c r="F562" s="44"/>
      <c r="G562" s="44"/>
      <c r="H562" s="44"/>
      <c r="I562" s="44"/>
      <c r="J562" s="44"/>
      <c r="K562" s="44"/>
      <c r="L562" s="44"/>
      <c r="M562" s="44"/>
      <c r="N562" s="44"/>
      <c r="O562" s="44"/>
    </row>
    <row r="563" spans="1:15" ht="17.25" customHeight="1">
      <c r="A563" s="44"/>
      <c r="B563" s="44"/>
      <c r="C563" s="44"/>
      <c r="D563" s="44"/>
      <c r="E563" s="44"/>
      <c r="F563" s="44"/>
      <c r="G563" s="44"/>
      <c r="H563" s="44"/>
      <c r="I563" s="44"/>
      <c r="J563" s="44"/>
      <c r="K563" s="44"/>
      <c r="L563" s="44"/>
      <c r="M563" s="44"/>
      <c r="N563" s="44"/>
      <c r="O563" s="44"/>
    </row>
    <row r="564" spans="1:15" ht="17.25" customHeight="1">
      <c r="A564" s="44"/>
      <c r="B564" s="44"/>
      <c r="C564" s="44"/>
      <c r="D564" s="44"/>
      <c r="E564" s="44"/>
      <c r="F564" s="44"/>
      <c r="G564" s="44"/>
      <c r="H564" s="44"/>
      <c r="I564" s="44"/>
      <c r="J564" s="44"/>
      <c r="K564" s="44"/>
      <c r="L564" s="44"/>
      <c r="M564" s="44"/>
      <c r="N564" s="44"/>
      <c r="O564" s="44"/>
    </row>
    <row r="565" spans="1:15" ht="17.25" customHeight="1">
      <c r="A565" s="44"/>
      <c r="B565" s="44"/>
      <c r="C565" s="44"/>
      <c r="D565" s="44"/>
      <c r="E565" s="44"/>
      <c r="F565" s="44"/>
      <c r="G565" s="44"/>
      <c r="H565" s="44"/>
      <c r="I565" s="44"/>
      <c r="J565" s="44"/>
      <c r="K565" s="44"/>
      <c r="L565" s="44"/>
      <c r="M565" s="44"/>
      <c r="N565" s="44"/>
      <c r="O565" s="44"/>
    </row>
    <row r="566" spans="1:15" ht="17.25" customHeight="1">
      <c r="A566" s="44"/>
      <c r="B566" s="44"/>
      <c r="C566" s="44"/>
      <c r="D566" s="44"/>
      <c r="E566" s="44"/>
      <c r="F566" s="44"/>
      <c r="G566" s="44"/>
      <c r="H566" s="44"/>
      <c r="I566" s="44"/>
      <c r="J566" s="44"/>
      <c r="K566" s="44"/>
      <c r="L566" s="44"/>
      <c r="M566" s="44"/>
      <c r="N566" s="44"/>
      <c r="O566" s="44"/>
    </row>
    <row r="567" spans="1:15" ht="17.25" customHeight="1">
      <c r="A567" s="44"/>
      <c r="B567" s="44"/>
      <c r="C567" s="44"/>
      <c r="D567" s="44"/>
      <c r="E567" s="44"/>
      <c r="F567" s="44"/>
      <c r="G567" s="44"/>
      <c r="H567" s="44"/>
      <c r="I567" s="44"/>
      <c r="J567" s="44"/>
      <c r="K567" s="44"/>
      <c r="L567" s="44"/>
      <c r="M567" s="44"/>
      <c r="N567" s="44"/>
      <c r="O567" s="44"/>
    </row>
    <row r="568" spans="1:15" ht="17.25" customHeight="1">
      <c r="A568" s="44"/>
      <c r="B568" s="44"/>
      <c r="C568" s="44"/>
      <c r="D568" s="44"/>
      <c r="E568" s="44"/>
      <c r="F568" s="44"/>
      <c r="G568" s="44"/>
      <c r="H568" s="44"/>
      <c r="I568" s="44"/>
      <c r="J568" s="44"/>
      <c r="K568" s="44"/>
      <c r="L568" s="44"/>
      <c r="M568" s="44"/>
      <c r="N568" s="44"/>
      <c r="O568" s="44"/>
    </row>
    <row r="569" spans="1:15" ht="17.25" customHeight="1">
      <c r="A569" s="44"/>
      <c r="B569" s="44"/>
      <c r="C569" s="44"/>
      <c r="D569" s="44"/>
      <c r="E569" s="44"/>
      <c r="F569" s="44"/>
      <c r="G569" s="44"/>
      <c r="H569" s="44"/>
      <c r="I569" s="44"/>
      <c r="J569" s="44"/>
      <c r="K569" s="44"/>
      <c r="L569" s="44"/>
      <c r="M569" s="44"/>
      <c r="N569" s="44"/>
      <c r="O569" s="44"/>
    </row>
    <row r="570" spans="1:15" ht="17.25" customHeight="1">
      <c r="A570" s="44"/>
      <c r="B570" s="44"/>
      <c r="C570" s="44"/>
      <c r="D570" s="44"/>
      <c r="E570" s="44"/>
      <c r="F570" s="44"/>
      <c r="G570" s="44"/>
      <c r="H570" s="44"/>
      <c r="I570" s="44"/>
      <c r="J570" s="44"/>
      <c r="K570" s="44"/>
      <c r="L570" s="44"/>
      <c r="M570" s="44"/>
      <c r="N570" s="44"/>
      <c r="O570" s="44"/>
    </row>
    <row r="571" spans="1:15" ht="17.25" customHeight="1">
      <c r="A571" s="44"/>
      <c r="B571" s="44"/>
      <c r="C571" s="44"/>
      <c r="D571" s="44"/>
      <c r="E571" s="44"/>
      <c r="F571" s="44"/>
      <c r="G571" s="44"/>
      <c r="H571" s="44"/>
      <c r="I571" s="44"/>
      <c r="J571" s="44"/>
      <c r="K571" s="44"/>
      <c r="L571" s="44"/>
      <c r="M571" s="44"/>
      <c r="N571" s="44"/>
      <c r="O571" s="44"/>
    </row>
    <row r="572" spans="1:15" ht="17.25" customHeight="1">
      <c r="A572" s="44"/>
      <c r="B572" s="44"/>
      <c r="C572" s="44"/>
      <c r="D572" s="44"/>
      <c r="E572" s="44"/>
      <c r="F572" s="44"/>
      <c r="G572" s="44"/>
      <c r="H572" s="44"/>
      <c r="I572" s="44"/>
      <c r="J572" s="44"/>
      <c r="K572" s="44"/>
      <c r="L572" s="44"/>
      <c r="M572" s="44"/>
      <c r="N572" s="44"/>
      <c r="O572" s="44"/>
    </row>
    <row r="573" spans="1:15" ht="17.25" customHeight="1">
      <c r="A573" s="44"/>
      <c r="B573" s="44"/>
      <c r="C573" s="44"/>
      <c r="D573" s="44"/>
      <c r="E573" s="44"/>
      <c r="F573" s="44"/>
      <c r="G573" s="44"/>
      <c r="H573" s="44"/>
      <c r="I573" s="44"/>
      <c r="J573" s="44"/>
      <c r="K573" s="44"/>
      <c r="L573" s="44"/>
      <c r="M573" s="44"/>
      <c r="N573" s="44"/>
      <c r="O573" s="44"/>
    </row>
    <row r="574" spans="1:15" ht="17.25" customHeight="1">
      <c r="A574" s="44"/>
      <c r="B574" s="44"/>
      <c r="C574" s="44"/>
      <c r="D574" s="44"/>
      <c r="E574" s="44"/>
      <c r="F574" s="44"/>
      <c r="G574" s="44"/>
      <c r="H574" s="44"/>
      <c r="I574" s="44"/>
      <c r="J574" s="44"/>
      <c r="K574" s="44"/>
      <c r="L574" s="44"/>
      <c r="M574" s="44"/>
      <c r="N574" s="44"/>
      <c r="O574" s="44"/>
    </row>
    <row r="575" spans="1:15" ht="17.25" customHeight="1">
      <c r="A575" s="44"/>
      <c r="B575" s="44"/>
      <c r="C575" s="44"/>
      <c r="D575" s="44"/>
      <c r="E575" s="44"/>
      <c r="F575" s="44"/>
      <c r="G575" s="44"/>
      <c r="H575" s="44"/>
      <c r="I575" s="44"/>
      <c r="J575" s="44"/>
      <c r="K575" s="44"/>
      <c r="L575" s="44"/>
      <c r="M575" s="44"/>
      <c r="N575" s="44"/>
      <c r="O575" s="44"/>
    </row>
    <row r="576" spans="1:15" ht="17.25" customHeight="1">
      <c r="A576" s="44"/>
      <c r="B576" s="44"/>
      <c r="C576" s="44"/>
      <c r="D576" s="44"/>
      <c r="E576" s="44"/>
      <c r="F576" s="44"/>
      <c r="G576" s="44"/>
      <c r="H576" s="44"/>
      <c r="I576" s="44"/>
      <c r="J576" s="44"/>
      <c r="K576" s="44"/>
      <c r="L576" s="44"/>
      <c r="M576" s="44"/>
      <c r="N576" s="44"/>
      <c r="O576" s="44"/>
    </row>
    <row r="577" spans="1:15" ht="17.25" customHeight="1">
      <c r="A577" s="44"/>
      <c r="B577" s="44"/>
      <c r="C577" s="44"/>
      <c r="D577" s="44"/>
      <c r="E577" s="44"/>
      <c r="F577" s="44"/>
      <c r="G577" s="44"/>
      <c r="H577" s="44"/>
      <c r="I577" s="44"/>
      <c r="J577" s="44"/>
      <c r="K577" s="44"/>
      <c r="L577" s="44"/>
      <c r="M577" s="44"/>
      <c r="N577" s="44"/>
      <c r="O577" s="44"/>
    </row>
    <row r="578" spans="1:15" ht="17.25" customHeight="1">
      <c r="A578" s="44"/>
      <c r="B578" s="44"/>
      <c r="C578" s="44"/>
      <c r="D578" s="44"/>
      <c r="E578" s="44"/>
      <c r="F578" s="44"/>
      <c r="G578" s="44"/>
      <c r="H578" s="44"/>
      <c r="I578" s="44"/>
      <c r="J578" s="44"/>
      <c r="K578" s="44"/>
      <c r="L578" s="44"/>
      <c r="M578" s="44"/>
      <c r="N578" s="44"/>
      <c r="O578" s="44"/>
    </row>
    <row r="579" spans="1:15" ht="17.25" customHeight="1">
      <c r="A579" s="44"/>
      <c r="B579" s="44"/>
      <c r="C579" s="44"/>
      <c r="D579" s="44"/>
      <c r="E579" s="44"/>
      <c r="F579" s="44"/>
      <c r="G579" s="44"/>
      <c r="H579" s="44"/>
      <c r="I579" s="44"/>
      <c r="J579" s="44"/>
      <c r="K579" s="44"/>
      <c r="L579" s="44"/>
      <c r="M579" s="44"/>
      <c r="N579" s="44"/>
      <c r="O579" s="44"/>
    </row>
    <row r="580" spans="1:15" ht="17.25" customHeight="1">
      <c r="A580" s="44"/>
      <c r="B580" s="44"/>
      <c r="C580" s="44"/>
      <c r="D580" s="44"/>
      <c r="E580" s="44"/>
      <c r="F580" s="44"/>
      <c r="G580" s="44"/>
      <c r="H580" s="44"/>
      <c r="I580" s="44"/>
      <c r="J580" s="44"/>
      <c r="K580" s="44"/>
      <c r="L580" s="44"/>
      <c r="M580" s="44"/>
      <c r="N580" s="44"/>
      <c r="O580" s="44"/>
    </row>
    <row r="581" spans="1:15" ht="17.25" customHeight="1">
      <c r="A581" s="44"/>
      <c r="B581" s="44"/>
      <c r="C581" s="44"/>
      <c r="D581" s="44"/>
      <c r="E581" s="44"/>
      <c r="F581" s="44"/>
      <c r="G581" s="44"/>
      <c r="H581" s="44"/>
      <c r="I581" s="44"/>
      <c r="J581" s="44"/>
      <c r="K581" s="44"/>
      <c r="L581" s="44"/>
      <c r="M581" s="44"/>
      <c r="N581" s="44"/>
      <c r="O581" s="44"/>
    </row>
    <row r="582" spans="1:15" ht="17.25" customHeight="1">
      <c r="A582" s="44"/>
      <c r="B582" s="44"/>
      <c r="C582" s="44"/>
      <c r="D582" s="44"/>
      <c r="E582" s="44"/>
      <c r="F582" s="44"/>
      <c r="G582" s="44"/>
      <c r="H582" s="44"/>
      <c r="I582" s="44"/>
      <c r="J582" s="44"/>
      <c r="K582" s="44"/>
      <c r="L582" s="44"/>
      <c r="M582" s="44"/>
      <c r="N582" s="44"/>
      <c r="O582" s="44"/>
    </row>
    <row r="583" spans="1:15" ht="17.25" customHeight="1">
      <c r="A583" s="44"/>
      <c r="B583" s="44"/>
      <c r="C583" s="44"/>
      <c r="D583" s="44"/>
      <c r="E583" s="44"/>
      <c r="F583" s="44"/>
      <c r="G583" s="44"/>
      <c r="H583" s="44"/>
      <c r="I583" s="44"/>
      <c r="J583" s="44"/>
      <c r="K583" s="44"/>
      <c r="L583" s="44"/>
      <c r="M583" s="44"/>
      <c r="N583" s="44"/>
      <c r="O583" s="44"/>
    </row>
    <row r="584" spans="1:15" ht="17.25" customHeight="1">
      <c r="A584" s="44"/>
      <c r="B584" s="44"/>
      <c r="C584" s="44"/>
      <c r="D584" s="44"/>
      <c r="E584" s="44"/>
      <c r="F584" s="44"/>
      <c r="G584" s="44"/>
      <c r="H584" s="44"/>
      <c r="I584" s="44"/>
      <c r="J584" s="44"/>
      <c r="K584" s="44"/>
      <c r="L584" s="44"/>
      <c r="M584" s="44"/>
      <c r="N584" s="44"/>
      <c r="O584" s="44"/>
    </row>
    <row r="585" spans="1:15" ht="17.25" customHeight="1">
      <c r="A585" s="44"/>
      <c r="B585" s="44"/>
      <c r="C585" s="44"/>
      <c r="D585" s="44"/>
      <c r="E585" s="44"/>
      <c r="F585" s="44"/>
      <c r="G585" s="44"/>
      <c r="H585" s="44"/>
      <c r="I585" s="44"/>
      <c r="J585" s="44"/>
      <c r="K585" s="44"/>
      <c r="L585" s="44"/>
      <c r="M585" s="44"/>
      <c r="N585" s="44"/>
      <c r="O585" s="44"/>
    </row>
    <row r="586" spans="1:15" ht="17.25" customHeight="1">
      <c r="A586" s="44"/>
      <c r="B586" s="44"/>
      <c r="C586" s="44"/>
      <c r="D586" s="44"/>
      <c r="E586" s="44"/>
      <c r="F586" s="44"/>
      <c r="G586" s="44"/>
      <c r="H586" s="44"/>
      <c r="I586" s="44"/>
      <c r="J586" s="44"/>
      <c r="K586" s="44"/>
      <c r="L586" s="44"/>
      <c r="M586" s="44"/>
      <c r="N586" s="44"/>
      <c r="O586" s="44"/>
    </row>
    <row r="587" spans="1:15" ht="17.25" customHeight="1">
      <c r="A587" s="44"/>
      <c r="B587" s="44"/>
      <c r="C587" s="44"/>
      <c r="D587" s="44"/>
      <c r="E587" s="44"/>
      <c r="F587" s="44"/>
      <c r="G587" s="44"/>
      <c r="H587" s="44"/>
      <c r="I587" s="44"/>
      <c r="J587" s="44"/>
      <c r="K587" s="44"/>
      <c r="L587" s="44"/>
      <c r="M587" s="44"/>
      <c r="N587" s="44"/>
      <c r="O587" s="44"/>
    </row>
    <row r="588" spans="1:15" ht="17.25" customHeight="1">
      <c r="A588" s="44"/>
      <c r="B588" s="44"/>
      <c r="C588" s="44"/>
      <c r="D588" s="44"/>
      <c r="E588" s="44"/>
      <c r="F588" s="44"/>
      <c r="G588" s="44"/>
      <c r="H588" s="44"/>
      <c r="I588" s="44"/>
      <c r="J588" s="44"/>
      <c r="K588" s="44"/>
      <c r="L588" s="44"/>
      <c r="M588" s="44"/>
      <c r="N588" s="44"/>
      <c r="O588" s="44"/>
    </row>
    <row r="589" spans="1:15" ht="17.25" customHeight="1">
      <c r="A589" s="44"/>
      <c r="B589" s="44"/>
      <c r="C589" s="44"/>
      <c r="D589" s="44"/>
      <c r="E589" s="44"/>
      <c r="F589" s="44"/>
      <c r="G589" s="44"/>
      <c r="H589" s="44"/>
      <c r="I589" s="44"/>
      <c r="J589" s="44"/>
      <c r="K589" s="44"/>
      <c r="L589" s="44"/>
      <c r="M589" s="44"/>
      <c r="N589" s="44"/>
      <c r="O589" s="44"/>
    </row>
    <row r="590" spans="1:15" ht="17.25" customHeight="1">
      <c r="A590" s="44"/>
      <c r="B590" s="44"/>
      <c r="C590" s="44"/>
      <c r="D590" s="44"/>
      <c r="E590" s="44"/>
      <c r="F590" s="44"/>
      <c r="G590" s="44"/>
      <c r="H590" s="44"/>
      <c r="I590" s="44"/>
      <c r="J590" s="44"/>
      <c r="K590" s="44"/>
      <c r="L590" s="44"/>
      <c r="M590" s="44"/>
      <c r="N590" s="44"/>
      <c r="O590" s="44"/>
    </row>
    <row r="591" spans="1:15" ht="17.25" customHeight="1">
      <c r="A591" s="44"/>
      <c r="B591" s="44"/>
      <c r="C591" s="44"/>
      <c r="D591" s="44"/>
      <c r="E591" s="44"/>
      <c r="F591" s="44"/>
      <c r="G591" s="44"/>
      <c r="H591" s="44"/>
      <c r="I591" s="44"/>
      <c r="J591" s="44"/>
      <c r="K591" s="44"/>
      <c r="L591" s="44"/>
      <c r="M591" s="44"/>
      <c r="N591" s="44"/>
      <c r="O591" s="44"/>
    </row>
    <row r="592" spans="1:15" ht="17.25" customHeight="1">
      <c r="A592" s="44"/>
      <c r="B592" s="44"/>
      <c r="C592" s="44"/>
      <c r="D592" s="44"/>
      <c r="E592" s="44"/>
      <c r="F592" s="44"/>
      <c r="G592" s="44"/>
      <c r="H592" s="44"/>
      <c r="I592" s="44"/>
      <c r="J592" s="44"/>
      <c r="K592" s="44"/>
      <c r="L592" s="44"/>
      <c r="M592" s="44"/>
      <c r="N592" s="44"/>
      <c r="O592" s="44"/>
    </row>
    <row r="593" spans="1:15" ht="17.25" customHeight="1">
      <c r="A593" s="44"/>
      <c r="B593" s="44"/>
      <c r="C593" s="44"/>
      <c r="D593" s="44"/>
      <c r="E593" s="44"/>
      <c r="F593" s="44"/>
      <c r="G593" s="44"/>
      <c r="H593" s="44"/>
      <c r="I593" s="44"/>
      <c r="J593" s="44"/>
      <c r="K593" s="44"/>
      <c r="L593" s="44"/>
      <c r="M593" s="44"/>
      <c r="N593" s="44"/>
      <c r="O593" s="44"/>
    </row>
    <row r="594" spans="1:15" ht="17.25" customHeight="1">
      <c r="A594" s="44"/>
      <c r="B594" s="44"/>
      <c r="C594" s="44"/>
      <c r="D594" s="44"/>
      <c r="E594" s="44"/>
      <c r="F594" s="44"/>
      <c r="G594" s="44"/>
      <c r="H594" s="44"/>
      <c r="I594" s="44"/>
      <c r="J594" s="44"/>
      <c r="K594" s="44"/>
      <c r="L594" s="44"/>
      <c r="M594" s="44"/>
      <c r="N594" s="44"/>
      <c r="O594" s="44"/>
    </row>
    <row r="595" spans="1:15" ht="17.25" customHeight="1">
      <c r="A595" s="44"/>
      <c r="B595" s="44"/>
      <c r="C595" s="44"/>
      <c r="D595" s="44"/>
      <c r="E595" s="44"/>
      <c r="F595" s="44"/>
      <c r="G595" s="44"/>
      <c r="H595" s="44"/>
      <c r="I595" s="44"/>
      <c r="J595" s="44"/>
      <c r="K595" s="44"/>
      <c r="L595" s="44"/>
      <c r="M595" s="44"/>
      <c r="N595" s="44"/>
      <c r="O595" s="44"/>
    </row>
    <row r="596" spans="1:15" ht="17.25" customHeight="1">
      <c r="A596" s="44"/>
      <c r="B596" s="44"/>
      <c r="C596" s="44"/>
      <c r="D596" s="44"/>
      <c r="E596" s="44"/>
      <c r="F596" s="44"/>
      <c r="G596" s="44"/>
      <c r="H596" s="44"/>
      <c r="I596" s="44"/>
      <c r="J596" s="44"/>
      <c r="K596" s="44"/>
      <c r="L596" s="44"/>
      <c r="M596" s="44"/>
      <c r="N596" s="44"/>
      <c r="O596" s="44"/>
    </row>
    <row r="597" spans="1:15" ht="17.25" customHeight="1">
      <c r="A597" s="44"/>
      <c r="B597" s="44"/>
      <c r="C597" s="44"/>
      <c r="D597" s="44"/>
      <c r="E597" s="44"/>
      <c r="F597" s="44"/>
      <c r="G597" s="44"/>
      <c r="H597" s="44"/>
      <c r="I597" s="44"/>
      <c r="J597" s="44"/>
      <c r="K597" s="44"/>
      <c r="L597" s="44"/>
      <c r="M597" s="44"/>
      <c r="N597" s="44"/>
      <c r="O597" s="44"/>
    </row>
    <row r="598" spans="1:15" ht="17.25" customHeight="1">
      <c r="A598" s="44"/>
      <c r="B598" s="44"/>
      <c r="C598" s="44"/>
      <c r="D598" s="44"/>
      <c r="E598" s="44"/>
      <c r="F598" s="44"/>
      <c r="G598" s="44"/>
      <c r="H598" s="44"/>
      <c r="I598" s="44"/>
      <c r="J598" s="44"/>
      <c r="K598" s="44"/>
      <c r="L598" s="44"/>
      <c r="M598" s="44"/>
      <c r="N598" s="44"/>
      <c r="O598" s="44"/>
    </row>
    <row r="599" spans="1:15" ht="17.25" customHeight="1">
      <c r="A599" s="44"/>
      <c r="B599" s="44"/>
      <c r="C599" s="44"/>
      <c r="D599" s="44"/>
      <c r="E599" s="44"/>
      <c r="F599" s="44"/>
      <c r="G599" s="44"/>
      <c r="H599" s="44"/>
      <c r="I599" s="44"/>
      <c r="J599" s="44"/>
      <c r="K599" s="44"/>
      <c r="L599" s="44"/>
      <c r="M599" s="44"/>
      <c r="N599" s="44"/>
      <c r="O599" s="44"/>
    </row>
    <row r="600" spans="1:15" ht="17.25" customHeight="1">
      <c r="A600" s="44"/>
      <c r="B600" s="44"/>
      <c r="C600" s="44"/>
      <c r="D600" s="44"/>
      <c r="E600" s="44"/>
      <c r="F600" s="44"/>
      <c r="G600" s="44"/>
      <c r="H600" s="44"/>
      <c r="I600" s="44"/>
      <c r="J600" s="44"/>
      <c r="K600" s="44"/>
      <c r="L600" s="44"/>
      <c r="M600" s="44"/>
      <c r="N600" s="44"/>
      <c r="O600" s="44"/>
    </row>
    <row r="601" spans="1:15" ht="17.25" customHeight="1">
      <c r="A601" s="44"/>
      <c r="B601" s="44"/>
      <c r="C601" s="44"/>
      <c r="D601" s="44"/>
      <c r="E601" s="44"/>
      <c r="F601" s="44"/>
      <c r="G601" s="44"/>
      <c r="H601" s="44"/>
      <c r="I601" s="44"/>
      <c r="J601" s="44"/>
      <c r="K601" s="44"/>
      <c r="L601" s="44"/>
      <c r="M601" s="44"/>
      <c r="N601" s="44"/>
      <c r="O601" s="44"/>
    </row>
    <row r="602" spans="1:15" ht="17.25" customHeight="1">
      <c r="A602" s="44"/>
      <c r="B602" s="44"/>
      <c r="C602" s="44"/>
      <c r="D602" s="44"/>
      <c r="E602" s="44"/>
      <c r="F602" s="44"/>
      <c r="G602" s="44"/>
      <c r="H602" s="44"/>
      <c r="I602" s="44"/>
      <c r="J602" s="44"/>
      <c r="K602" s="44"/>
      <c r="L602" s="44"/>
      <c r="M602" s="44"/>
      <c r="N602" s="44"/>
      <c r="O602" s="44"/>
    </row>
    <row r="603" spans="1:15" ht="17.25" customHeight="1">
      <c r="A603" s="44"/>
      <c r="B603" s="44"/>
      <c r="C603" s="44"/>
      <c r="D603" s="44"/>
      <c r="E603" s="44"/>
      <c r="F603" s="44"/>
      <c r="G603" s="44"/>
      <c r="H603" s="44"/>
      <c r="I603" s="44"/>
      <c r="J603" s="44"/>
      <c r="K603" s="44"/>
      <c r="L603" s="44"/>
      <c r="M603" s="44"/>
      <c r="N603" s="44"/>
      <c r="O603" s="44"/>
    </row>
    <row r="604" spans="1:15" ht="17.25" customHeight="1">
      <c r="A604" s="44"/>
      <c r="B604" s="44"/>
      <c r="C604" s="44"/>
      <c r="D604" s="44"/>
      <c r="E604" s="44"/>
      <c r="F604" s="44"/>
      <c r="G604" s="44"/>
      <c r="H604" s="44"/>
      <c r="I604" s="44"/>
      <c r="J604" s="44"/>
      <c r="K604" s="44"/>
      <c r="L604" s="44"/>
      <c r="M604" s="44"/>
      <c r="N604" s="44"/>
      <c r="O604" s="44"/>
    </row>
    <row r="605" spans="1:15" ht="17.25" customHeight="1">
      <c r="A605" s="44"/>
      <c r="B605" s="44"/>
      <c r="C605" s="44"/>
      <c r="D605" s="44"/>
      <c r="E605" s="44"/>
      <c r="F605" s="44"/>
      <c r="G605" s="44"/>
      <c r="H605" s="44"/>
      <c r="I605" s="44"/>
      <c r="J605" s="44"/>
      <c r="K605" s="44"/>
      <c r="L605" s="44"/>
      <c r="M605" s="44"/>
      <c r="N605" s="44"/>
      <c r="O605" s="44"/>
    </row>
    <row r="606" spans="1:15" ht="17.25" customHeight="1">
      <c r="A606" s="44"/>
      <c r="B606" s="44"/>
      <c r="C606" s="44"/>
      <c r="D606" s="44"/>
      <c r="E606" s="44"/>
      <c r="F606" s="44"/>
      <c r="G606" s="44"/>
      <c r="H606" s="44"/>
      <c r="I606" s="44"/>
      <c r="J606" s="44"/>
      <c r="K606" s="44"/>
      <c r="L606" s="44"/>
      <c r="M606" s="44"/>
      <c r="N606" s="44"/>
      <c r="O606" s="44"/>
    </row>
    <row r="607" spans="1:15" ht="17.25" customHeight="1">
      <c r="A607" s="44"/>
      <c r="B607" s="44"/>
      <c r="C607" s="44"/>
      <c r="D607" s="44"/>
      <c r="E607" s="44"/>
      <c r="F607" s="44"/>
      <c r="G607" s="44"/>
      <c r="H607" s="44"/>
      <c r="I607" s="44"/>
      <c r="J607" s="44"/>
      <c r="K607" s="44"/>
      <c r="L607" s="44"/>
      <c r="M607" s="44"/>
      <c r="N607" s="44"/>
      <c r="O607" s="44"/>
    </row>
    <row r="608" spans="1:15" ht="17.25" customHeight="1">
      <c r="A608" s="44"/>
      <c r="B608" s="44"/>
      <c r="C608" s="44"/>
      <c r="D608" s="44"/>
      <c r="E608" s="44"/>
      <c r="F608" s="44"/>
      <c r="G608" s="44"/>
      <c r="H608" s="44"/>
      <c r="I608" s="44"/>
      <c r="J608" s="44"/>
      <c r="K608" s="44"/>
      <c r="L608" s="44"/>
      <c r="M608" s="44"/>
      <c r="N608" s="44"/>
      <c r="O608" s="44"/>
    </row>
    <row r="609" spans="1:15" ht="17.25" customHeight="1">
      <c r="A609" s="44"/>
      <c r="B609" s="44"/>
      <c r="C609" s="44"/>
      <c r="D609" s="44"/>
      <c r="E609" s="44"/>
      <c r="F609" s="44"/>
      <c r="G609" s="44"/>
      <c r="H609" s="44"/>
      <c r="I609" s="44"/>
      <c r="J609" s="44"/>
      <c r="K609" s="44"/>
      <c r="L609" s="44"/>
      <c r="M609" s="44"/>
      <c r="N609" s="44"/>
      <c r="O609" s="44"/>
    </row>
    <row r="610" spans="1:15" ht="17.25" customHeight="1">
      <c r="A610" s="44"/>
      <c r="B610" s="44"/>
      <c r="C610" s="44"/>
      <c r="D610" s="44"/>
      <c r="E610" s="44"/>
      <c r="F610" s="44"/>
      <c r="G610" s="44"/>
      <c r="H610" s="44"/>
      <c r="I610" s="44"/>
      <c r="J610" s="44"/>
      <c r="K610" s="44"/>
      <c r="L610" s="44"/>
      <c r="M610" s="44"/>
      <c r="N610" s="44"/>
      <c r="O610" s="44"/>
    </row>
    <row r="611" spans="1:15" ht="17.25" customHeight="1">
      <c r="A611" s="44"/>
      <c r="B611" s="44"/>
      <c r="C611" s="44"/>
      <c r="D611" s="44"/>
      <c r="E611" s="44"/>
      <c r="F611" s="44"/>
      <c r="G611" s="44"/>
      <c r="H611" s="44"/>
      <c r="I611" s="44"/>
      <c r="J611" s="44"/>
      <c r="K611" s="44"/>
      <c r="L611" s="44"/>
      <c r="M611" s="44"/>
      <c r="N611" s="44"/>
      <c r="O611" s="44"/>
    </row>
    <row r="612" spans="1:15" ht="17.25" customHeight="1">
      <c r="A612" s="44"/>
      <c r="B612" s="44"/>
      <c r="C612" s="44"/>
      <c r="D612" s="44"/>
      <c r="E612" s="44"/>
      <c r="F612" s="44"/>
      <c r="G612" s="44"/>
      <c r="H612" s="44"/>
      <c r="I612" s="44"/>
      <c r="J612" s="44"/>
      <c r="K612" s="44"/>
      <c r="L612" s="44"/>
      <c r="M612" s="44"/>
      <c r="N612" s="44"/>
      <c r="O612" s="44"/>
    </row>
    <row r="613" spans="1:15" ht="17.25" customHeight="1">
      <c r="A613" s="44"/>
      <c r="B613" s="44"/>
      <c r="C613" s="44"/>
      <c r="D613" s="44"/>
      <c r="E613" s="44"/>
      <c r="F613" s="44"/>
      <c r="G613" s="44"/>
      <c r="H613" s="44"/>
      <c r="I613" s="44"/>
      <c r="J613" s="44"/>
      <c r="K613" s="44"/>
      <c r="L613" s="44"/>
      <c r="M613" s="44"/>
      <c r="N613" s="44"/>
      <c r="O613" s="44"/>
    </row>
    <row r="614" spans="1:15" ht="17.25" customHeight="1">
      <c r="A614" s="44"/>
      <c r="B614" s="44"/>
      <c r="C614" s="44"/>
      <c r="D614" s="44"/>
      <c r="E614" s="44"/>
      <c r="F614" s="44"/>
      <c r="G614" s="44"/>
      <c r="H614" s="44"/>
      <c r="I614" s="44"/>
      <c r="J614" s="44"/>
      <c r="K614" s="44"/>
      <c r="L614" s="44"/>
      <c r="M614" s="44"/>
      <c r="N614" s="44"/>
      <c r="O614" s="44"/>
    </row>
    <row r="615" spans="1:15" ht="17.25" customHeight="1">
      <c r="A615" s="44"/>
      <c r="B615" s="44"/>
      <c r="C615" s="44"/>
      <c r="D615" s="44"/>
      <c r="E615" s="44"/>
      <c r="F615" s="44"/>
      <c r="G615" s="44"/>
      <c r="H615" s="44"/>
      <c r="I615" s="44"/>
      <c r="J615" s="44"/>
      <c r="K615" s="44"/>
      <c r="L615" s="44"/>
      <c r="M615" s="44"/>
      <c r="N615" s="44"/>
      <c r="O615" s="44"/>
    </row>
    <row r="616" spans="1:15" ht="17.25" customHeight="1">
      <c r="A616" s="44"/>
      <c r="B616" s="44"/>
      <c r="C616" s="44"/>
      <c r="D616" s="44"/>
      <c r="E616" s="44"/>
      <c r="F616" s="44"/>
      <c r="G616" s="44"/>
      <c r="H616" s="44"/>
      <c r="I616" s="44"/>
      <c r="J616" s="44"/>
      <c r="K616" s="44"/>
      <c r="L616" s="44"/>
      <c r="M616" s="44"/>
      <c r="N616" s="44"/>
      <c r="O616" s="44"/>
    </row>
    <row r="617" spans="1:15" ht="17.25" customHeight="1">
      <c r="A617" s="44"/>
      <c r="B617" s="44"/>
      <c r="C617" s="44"/>
      <c r="D617" s="44"/>
      <c r="E617" s="44"/>
      <c r="F617" s="44"/>
      <c r="G617" s="44"/>
      <c r="H617" s="44"/>
      <c r="I617" s="44"/>
      <c r="J617" s="44"/>
      <c r="K617" s="44"/>
      <c r="L617" s="44"/>
      <c r="M617" s="44"/>
      <c r="N617" s="44"/>
      <c r="O617" s="44"/>
    </row>
    <row r="618" spans="1:15" ht="17.25" customHeight="1">
      <c r="A618" s="44"/>
      <c r="B618" s="44"/>
      <c r="C618" s="44"/>
      <c r="D618" s="44"/>
      <c r="E618" s="44"/>
      <c r="F618" s="44"/>
      <c r="G618" s="44"/>
      <c r="H618" s="44"/>
      <c r="I618" s="44"/>
      <c r="J618" s="44"/>
      <c r="K618" s="44"/>
      <c r="L618" s="44"/>
      <c r="M618" s="44"/>
      <c r="N618" s="44"/>
      <c r="O618" s="44"/>
    </row>
    <row r="619" spans="1:15" ht="17.25" customHeight="1">
      <c r="A619" s="44"/>
      <c r="B619" s="44"/>
      <c r="C619" s="44"/>
      <c r="D619" s="44"/>
      <c r="E619" s="44"/>
      <c r="F619" s="44"/>
      <c r="G619" s="44"/>
      <c r="H619" s="44"/>
      <c r="I619" s="44"/>
      <c r="J619" s="44"/>
      <c r="K619" s="44"/>
      <c r="L619" s="44"/>
      <c r="M619" s="44"/>
      <c r="N619" s="44"/>
      <c r="O619" s="44"/>
    </row>
    <row r="620" spans="1:15" ht="17.25" customHeight="1">
      <c r="A620" s="44"/>
      <c r="B620" s="44"/>
      <c r="C620" s="44"/>
      <c r="D620" s="44"/>
      <c r="E620" s="44"/>
      <c r="F620" s="44"/>
      <c r="G620" s="44"/>
      <c r="H620" s="44"/>
      <c r="I620" s="44"/>
      <c r="J620" s="44"/>
      <c r="K620" s="44"/>
      <c r="L620" s="44"/>
      <c r="M620" s="44"/>
      <c r="N620" s="44"/>
      <c r="O620" s="44"/>
    </row>
    <row r="621" spans="1:15" ht="17.25" customHeight="1">
      <c r="A621" s="44"/>
      <c r="B621" s="44"/>
      <c r="C621" s="44"/>
      <c r="D621" s="44"/>
      <c r="E621" s="44"/>
      <c r="F621" s="44"/>
      <c r="G621" s="44"/>
      <c r="H621" s="44"/>
      <c r="I621" s="44"/>
      <c r="J621" s="44"/>
      <c r="K621" s="44"/>
      <c r="L621" s="44"/>
      <c r="M621" s="44"/>
      <c r="N621" s="44"/>
      <c r="O621" s="44"/>
    </row>
    <row r="622" spans="1:15" ht="17.25" customHeight="1">
      <c r="A622" s="44"/>
      <c r="B622" s="44"/>
      <c r="C622" s="44"/>
      <c r="D622" s="44"/>
      <c r="E622" s="44"/>
      <c r="F622" s="44"/>
      <c r="G622" s="44"/>
      <c r="H622" s="44"/>
      <c r="I622" s="44"/>
      <c r="J622" s="44"/>
      <c r="K622" s="44"/>
      <c r="L622" s="44"/>
      <c r="M622" s="44"/>
      <c r="N622" s="44"/>
      <c r="O622" s="44"/>
    </row>
    <row r="623" spans="1:15" ht="17.25" customHeight="1">
      <c r="A623" s="44"/>
      <c r="B623" s="44"/>
      <c r="C623" s="44"/>
      <c r="D623" s="44"/>
      <c r="E623" s="44"/>
      <c r="F623" s="44"/>
      <c r="G623" s="44"/>
      <c r="H623" s="44"/>
      <c r="I623" s="44"/>
      <c r="J623" s="44"/>
      <c r="K623" s="44"/>
      <c r="L623" s="44"/>
      <c r="M623" s="44"/>
      <c r="N623" s="44"/>
      <c r="O623" s="44"/>
    </row>
    <row r="624" spans="1:15" ht="17.25" customHeight="1">
      <c r="A624" s="44"/>
      <c r="B624" s="44"/>
      <c r="C624" s="44"/>
      <c r="D624" s="44"/>
      <c r="E624" s="44"/>
      <c r="F624" s="44"/>
      <c r="G624" s="44"/>
      <c r="H624" s="44"/>
      <c r="I624" s="44"/>
      <c r="J624" s="44"/>
      <c r="K624" s="44"/>
      <c r="L624" s="44"/>
      <c r="M624" s="44"/>
      <c r="N624" s="44"/>
      <c r="O624" s="44"/>
    </row>
    <row r="625" spans="1:15" ht="17.25" customHeight="1">
      <c r="A625" s="44"/>
      <c r="B625" s="44"/>
      <c r="C625" s="44"/>
      <c r="D625" s="44"/>
      <c r="E625" s="44"/>
      <c r="F625" s="44"/>
      <c r="G625" s="44"/>
      <c r="H625" s="44"/>
      <c r="I625" s="44"/>
      <c r="J625" s="44"/>
      <c r="K625" s="44"/>
      <c r="L625" s="44"/>
      <c r="M625" s="44"/>
      <c r="N625" s="44"/>
      <c r="O625" s="44"/>
    </row>
    <row r="626" spans="1:15" ht="17.25" customHeight="1">
      <c r="A626" s="44"/>
      <c r="B626" s="44"/>
      <c r="C626" s="44"/>
      <c r="D626" s="44"/>
      <c r="E626" s="44"/>
      <c r="F626" s="44"/>
      <c r="G626" s="44"/>
      <c r="H626" s="44"/>
      <c r="I626" s="44"/>
      <c r="J626" s="44"/>
      <c r="K626" s="44"/>
      <c r="L626" s="44"/>
      <c r="M626" s="44"/>
      <c r="N626" s="44"/>
      <c r="O626" s="44"/>
    </row>
    <row r="627" spans="1:15" ht="17.25" customHeight="1">
      <c r="A627" s="44"/>
      <c r="B627" s="44"/>
      <c r="C627" s="44"/>
      <c r="D627" s="44"/>
      <c r="E627" s="44"/>
      <c r="F627" s="44"/>
      <c r="G627" s="44"/>
      <c r="H627" s="44"/>
      <c r="I627" s="44"/>
      <c r="J627" s="44"/>
      <c r="K627" s="44"/>
      <c r="L627" s="44"/>
      <c r="M627" s="44"/>
      <c r="N627" s="44"/>
      <c r="O627" s="44"/>
    </row>
    <row r="628" spans="1:15" ht="17.25" customHeight="1">
      <c r="A628" s="44"/>
      <c r="B628" s="44"/>
      <c r="C628" s="44"/>
      <c r="D628" s="44"/>
      <c r="E628" s="44"/>
      <c r="F628" s="44"/>
      <c r="G628" s="44"/>
      <c r="H628" s="44"/>
      <c r="I628" s="44"/>
      <c r="J628" s="44"/>
      <c r="K628" s="44"/>
      <c r="L628" s="44"/>
      <c r="M628" s="44"/>
      <c r="N628" s="44"/>
      <c r="O628" s="44"/>
    </row>
    <row r="629" spans="1:15" ht="17.25" customHeight="1">
      <c r="A629" s="44"/>
      <c r="B629" s="44"/>
      <c r="C629" s="44"/>
      <c r="D629" s="44"/>
      <c r="E629" s="44"/>
      <c r="F629" s="44"/>
      <c r="G629" s="44"/>
      <c r="H629" s="44"/>
      <c r="I629" s="44"/>
      <c r="J629" s="44"/>
      <c r="K629" s="44"/>
      <c r="L629" s="44"/>
      <c r="M629" s="44"/>
      <c r="N629" s="44"/>
      <c r="O629" s="44"/>
    </row>
    <row r="630" spans="1:15" ht="17.25" customHeight="1">
      <c r="A630" s="44"/>
      <c r="B630" s="44"/>
      <c r="C630" s="44"/>
      <c r="D630" s="44"/>
      <c r="E630" s="44"/>
      <c r="F630" s="44"/>
      <c r="G630" s="44"/>
      <c r="H630" s="44"/>
      <c r="I630" s="44"/>
      <c r="J630" s="44"/>
      <c r="K630" s="44"/>
      <c r="L630" s="44"/>
      <c r="M630" s="44"/>
      <c r="N630" s="44"/>
      <c r="O630" s="44"/>
    </row>
    <row r="631" spans="1:15" ht="17.25" customHeight="1">
      <c r="A631" s="44"/>
      <c r="B631" s="44"/>
      <c r="C631" s="44"/>
      <c r="D631" s="44"/>
      <c r="E631" s="44"/>
      <c r="F631" s="44"/>
      <c r="G631" s="44"/>
      <c r="H631" s="44"/>
      <c r="I631" s="44"/>
      <c r="J631" s="44"/>
      <c r="K631" s="44"/>
      <c r="L631" s="44"/>
      <c r="M631" s="44"/>
      <c r="N631" s="44"/>
      <c r="O631" s="44"/>
    </row>
    <row r="632" spans="1:15" ht="17.25" customHeight="1">
      <c r="A632" s="44"/>
      <c r="B632" s="44"/>
      <c r="C632" s="44"/>
      <c r="D632" s="44"/>
      <c r="E632" s="44"/>
      <c r="F632" s="44"/>
      <c r="G632" s="44"/>
      <c r="H632" s="44"/>
      <c r="I632" s="44"/>
      <c r="J632" s="44"/>
      <c r="K632" s="44"/>
      <c r="L632" s="44"/>
      <c r="M632" s="44"/>
      <c r="N632" s="44"/>
      <c r="O632" s="44"/>
    </row>
    <row r="633" spans="1:15" ht="17.25" customHeight="1">
      <c r="A633" s="44"/>
      <c r="B633" s="44"/>
      <c r="C633" s="44"/>
      <c r="D633" s="44"/>
      <c r="E633" s="44"/>
      <c r="F633" s="44"/>
      <c r="G633" s="44"/>
      <c r="H633" s="44"/>
      <c r="I633" s="44"/>
      <c r="J633" s="44"/>
      <c r="K633" s="44"/>
      <c r="L633" s="44"/>
      <c r="M633" s="44"/>
      <c r="N633" s="44"/>
      <c r="O633" s="44"/>
    </row>
    <row r="634" spans="1:15" ht="17.25" customHeight="1">
      <c r="A634" s="44"/>
      <c r="B634" s="44"/>
      <c r="C634" s="44"/>
      <c r="D634" s="44"/>
      <c r="E634" s="44"/>
      <c r="F634" s="44"/>
      <c r="G634" s="44"/>
      <c r="H634" s="44"/>
      <c r="I634" s="44"/>
      <c r="J634" s="44"/>
      <c r="K634" s="44"/>
      <c r="L634" s="44"/>
      <c r="M634" s="44"/>
      <c r="N634" s="44"/>
      <c r="O634" s="44"/>
    </row>
    <row r="635" spans="1:15" ht="17.25" customHeight="1">
      <c r="A635" s="44"/>
      <c r="B635" s="44"/>
      <c r="C635" s="44"/>
      <c r="D635" s="44"/>
      <c r="E635" s="44"/>
      <c r="F635" s="44"/>
      <c r="G635" s="44"/>
      <c r="H635" s="44"/>
      <c r="I635" s="44"/>
      <c r="J635" s="44"/>
      <c r="K635" s="44"/>
      <c r="L635" s="44"/>
      <c r="M635" s="44"/>
      <c r="N635" s="44"/>
      <c r="O635" s="44"/>
    </row>
    <row r="636" spans="1:15" ht="17.25" customHeight="1">
      <c r="A636" s="44"/>
      <c r="B636" s="44"/>
      <c r="C636" s="44"/>
      <c r="D636" s="44"/>
      <c r="E636" s="44"/>
      <c r="F636" s="44"/>
      <c r="G636" s="44"/>
      <c r="H636" s="44"/>
      <c r="I636" s="44"/>
      <c r="J636" s="44"/>
      <c r="K636" s="44"/>
      <c r="L636" s="44"/>
      <c r="M636" s="44"/>
      <c r="N636" s="44"/>
      <c r="O636" s="44"/>
    </row>
    <row r="637" spans="1:15" ht="17.25" customHeight="1">
      <c r="A637" s="44"/>
      <c r="B637" s="44"/>
      <c r="C637" s="44"/>
      <c r="D637" s="44"/>
      <c r="E637" s="44"/>
      <c r="F637" s="44"/>
      <c r="G637" s="44"/>
      <c r="H637" s="44"/>
      <c r="I637" s="44"/>
      <c r="J637" s="44"/>
      <c r="K637" s="44"/>
      <c r="L637" s="44"/>
      <c r="M637" s="44"/>
      <c r="N637" s="44"/>
      <c r="O637" s="44"/>
    </row>
    <row r="638" spans="1:15" ht="17.25" customHeight="1">
      <c r="A638" s="44"/>
      <c r="B638" s="44"/>
      <c r="C638" s="44"/>
      <c r="D638" s="44"/>
      <c r="E638" s="44"/>
      <c r="F638" s="44"/>
      <c r="G638" s="44"/>
      <c r="H638" s="44"/>
      <c r="I638" s="44"/>
      <c r="J638" s="44"/>
      <c r="K638" s="44"/>
      <c r="L638" s="44"/>
      <c r="M638" s="44"/>
      <c r="N638" s="44"/>
      <c r="O638" s="44"/>
    </row>
    <row r="639" spans="1:15" ht="17.25" customHeight="1">
      <c r="A639" s="44"/>
      <c r="B639" s="44"/>
      <c r="C639" s="44"/>
      <c r="D639" s="44"/>
      <c r="E639" s="44"/>
      <c r="F639" s="44"/>
      <c r="G639" s="44"/>
      <c r="H639" s="44"/>
      <c r="I639" s="44"/>
      <c r="J639" s="44"/>
      <c r="K639" s="44"/>
      <c r="L639" s="44"/>
      <c r="M639" s="44"/>
      <c r="N639" s="44"/>
      <c r="O639" s="44"/>
    </row>
    <row r="640" spans="1:15" ht="17.25" customHeight="1">
      <c r="A640" s="44"/>
      <c r="B640" s="44"/>
      <c r="C640" s="44"/>
      <c r="D640" s="44"/>
      <c r="E640" s="44"/>
      <c r="F640" s="44"/>
      <c r="G640" s="44"/>
      <c r="H640" s="44"/>
      <c r="I640" s="44"/>
      <c r="J640" s="44"/>
      <c r="K640" s="44"/>
      <c r="L640" s="44"/>
      <c r="M640" s="44"/>
      <c r="N640" s="44"/>
      <c r="O640" s="44"/>
    </row>
    <row r="641" spans="1:15" ht="17.25" customHeight="1">
      <c r="A641" s="44"/>
      <c r="B641" s="44"/>
      <c r="C641" s="44"/>
      <c r="D641" s="44"/>
      <c r="E641" s="44"/>
      <c r="F641" s="44"/>
      <c r="G641" s="44"/>
      <c r="H641" s="44"/>
      <c r="I641" s="44"/>
      <c r="J641" s="44"/>
      <c r="K641" s="44"/>
      <c r="L641" s="44"/>
      <c r="M641" s="44"/>
      <c r="N641" s="44"/>
      <c r="O641" s="44"/>
    </row>
    <row r="642" spans="1:15" ht="17.25" customHeight="1">
      <c r="A642" s="44"/>
      <c r="B642" s="44"/>
      <c r="C642" s="44"/>
      <c r="D642" s="44"/>
      <c r="E642" s="44"/>
      <c r="F642" s="44"/>
      <c r="G642" s="44"/>
      <c r="H642" s="44"/>
      <c r="I642" s="44"/>
      <c r="J642" s="44"/>
      <c r="K642" s="44"/>
      <c r="L642" s="44"/>
      <c r="M642" s="44"/>
      <c r="N642" s="44"/>
      <c r="O642" s="44"/>
    </row>
    <row r="643" spans="1:15" ht="17.25" customHeight="1">
      <c r="A643" s="44"/>
      <c r="B643" s="44"/>
      <c r="C643" s="44"/>
      <c r="D643" s="44"/>
      <c r="E643" s="44"/>
      <c r="F643" s="44"/>
      <c r="G643" s="44"/>
      <c r="H643" s="44"/>
      <c r="I643" s="44"/>
      <c r="J643" s="44"/>
      <c r="K643" s="44"/>
      <c r="L643" s="44"/>
      <c r="M643" s="44"/>
      <c r="N643" s="44"/>
      <c r="O643" s="44"/>
    </row>
    <row r="644" spans="1:15" ht="17.25" customHeight="1">
      <c r="A644" s="44"/>
      <c r="B644" s="44"/>
      <c r="C644" s="44"/>
      <c r="D644" s="44"/>
      <c r="E644" s="44"/>
      <c r="F644" s="44"/>
      <c r="G644" s="44"/>
      <c r="H644" s="44"/>
      <c r="I644" s="44"/>
      <c r="J644" s="44"/>
      <c r="K644" s="44"/>
      <c r="L644" s="44"/>
      <c r="M644" s="44"/>
      <c r="N644" s="44"/>
      <c r="O644" s="44"/>
    </row>
    <row r="645" spans="1:15" ht="17.25" customHeight="1">
      <c r="A645" s="44"/>
      <c r="B645" s="44"/>
      <c r="C645" s="44"/>
      <c r="D645" s="44"/>
      <c r="E645" s="44"/>
      <c r="F645" s="44"/>
      <c r="G645" s="44"/>
      <c r="H645" s="44"/>
      <c r="I645" s="44"/>
      <c r="J645" s="44"/>
      <c r="K645" s="44"/>
      <c r="L645" s="44"/>
      <c r="M645" s="44"/>
      <c r="N645" s="44"/>
      <c r="O645" s="44"/>
    </row>
    <row r="646" spans="1:15" ht="17.25" customHeight="1">
      <c r="A646" s="44"/>
      <c r="B646" s="44"/>
      <c r="C646" s="44"/>
      <c r="D646" s="44"/>
      <c r="E646" s="44"/>
      <c r="F646" s="44"/>
      <c r="G646" s="44"/>
      <c r="H646" s="44"/>
      <c r="I646" s="44"/>
      <c r="J646" s="44"/>
      <c r="K646" s="44"/>
      <c r="L646" s="44"/>
      <c r="M646" s="44"/>
      <c r="N646" s="44"/>
      <c r="O646" s="44"/>
    </row>
    <row r="647" spans="1:15" ht="17.25" customHeight="1">
      <c r="A647" s="44"/>
      <c r="B647" s="44"/>
      <c r="C647" s="44"/>
      <c r="D647" s="44"/>
      <c r="E647" s="44"/>
      <c r="F647" s="44"/>
      <c r="G647" s="44"/>
      <c r="H647" s="44"/>
      <c r="I647" s="44"/>
      <c r="J647" s="44"/>
      <c r="K647" s="44"/>
      <c r="L647" s="44"/>
      <c r="M647" s="44"/>
      <c r="N647" s="44"/>
      <c r="O647" s="44"/>
    </row>
    <row r="648" spans="1:15" ht="17.25" customHeight="1">
      <c r="A648" s="44"/>
      <c r="B648" s="44"/>
      <c r="C648" s="44"/>
      <c r="D648" s="44"/>
      <c r="E648" s="44"/>
      <c r="F648" s="44"/>
      <c r="G648" s="44"/>
      <c r="H648" s="44"/>
      <c r="I648" s="44"/>
      <c r="J648" s="44"/>
      <c r="K648" s="44"/>
      <c r="L648" s="44"/>
      <c r="M648" s="44"/>
      <c r="N648" s="44"/>
      <c r="O648" s="44"/>
    </row>
    <row r="649" spans="1:15" ht="17.25" customHeight="1">
      <c r="A649" s="44"/>
      <c r="B649" s="44"/>
      <c r="C649" s="44"/>
      <c r="D649" s="44"/>
      <c r="E649" s="44"/>
      <c r="F649" s="44"/>
      <c r="G649" s="44"/>
      <c r="H649" s="44"/>
      <c r="I649" s="44"/>
      <c r="J649" s="44"/>
      <c r="K649" s="44"/>
      <c r="L649" s="44"/>
      <c r="M649" s="44"/>
      <c r="N649" s="44"/>
      <c r="O649" s="44"/>
    </row>
    <row r="650" spans="1:15" ht="17.25" customHeight="1">
      <c r="A650" s="44"/>
      <c r="B650" s="44"/>
      <c r="C650" s="44"/>
      <c r="D650" s="44"/>
      <c r="E650" s="44"/>
      <c r="F650" s="44"/>
      <c r="G650" s="44"/>
      <c r="H650" s="44"/>
      <c r="I650" s="44"/>
      <c r="J650" s="44"/>
      <c r="K650" s="44"/>
      <c r="L650" s="44"/>
      <c r="M650" s="44"/>
      <c r="N650" s="44"/>
      <c r="O650" s="44"/>
    </row>
    <row r="651" spans="1:15" ht="17.25" customHeight="1">
      <c r="A651" s="44"/>
      <c r="B651" s="44"/>
      <c r="C651" s="44"/>
      <c r="D651" s="44"/>
      <c r="E651" s="44"/>
      <c r="F651" s="44"/>
      <c r="G651" s="44"/>
      <c r="H651" s="44"/>
      <c r="I651" s="44"/>
      <c r="J651" s="44"/>
      <c r="K651" s="44"/>
      <c r="L651" s="44"/>
      <c r="M651" s="44"/>
      <c r="N651" s="44"/>
      <c r="O651" s="44"/>
    </row>
    <row r="652" spans="1:15" ht="17.25" customHeight="1">
      <c r="A652" s="44"/>
      <c r="B652" s="44"/>
      <c r="C652" s="44"/>
      <c r="D652" s="44"/>
      <c r="E652" s="44"/>
      <c r="F652" s="44"/>
      <c r="G652" s="44"/>
      <c r="H652" s="44"/>
      <c r="I652" s="44"/>
      <c r="J652" s="44"/>
      <c r="K652" s="44"/>
      <c r="L652" s="44"/>
      <c r="M652" s="44"/>
      <c r="N652" s="44"/>
      <c r="O652" s="44"/>
    </row>
    <row r="653" spans="1:15" ht="17.25" customHeight="1">
      <c r="A653" s="44"/>
      <c r="B653" s="44"/>
      <c r="C653" s="44"/>
      <c r="D653" s="44"/>
      <c r="E653" s="44"/>
      <c r="F653" s="44"/>
      <c r="G653" s="44"/>
      <c r="H653" s="44"/>
      <c r="I653" s="44"/>
      <c r="J653" s="44"/>
      <c r="K653" s="44"/>
      <c r="L653" s="44"/>
      <c r="M653" s="44"/>
      <c r="N653" s="44"/>
      <c r="O653" s="44"/>
    </row>
    <row r="654" spans="1:15" ht="17.25" customHeight="1">
      <c r="A654" s="44"/>
      <c r="B654" s="44"/>
      <c r="C654" s="44"/>
      <c r="D654" s="44"/>
      <c r="E654" s="44"/>
      <c r="F654" s="44"/>
      <c r="G654" s="44"/>
      <c r="H654" s="44"/>
      <c r="I654" s="44"/>
      <c r="J654" s="44"/>
      <c r="K654" s="44"/>
      <c r="L654" s="44"/>
      <c r="M654" s="44"/>
      <c r="N654" s="44"/>
      <c r="O654" s="44"/>
    </row>
    <row r="655" spans="1:15" ht="17.25" customHeight="1">
      <c r="A655" s="44"/>
      <c r="B655" s="44"/>
      <c r="C655" s="44"/>
      <c r="D655" s="44"/>
      <c r="E655" s="44"/>
      <c r="F655" s="44"/>
      <c r="G655" s="44"/>
      <c r="H655" s="44"/>
      <c r="I655" s="44"/>
      <c r="J655" s="44"/>
      <c r="K655" s="44"/>
      <c r="L655" s="44"/>
      <c r="M655" s="44"/>
      <c r="N655" s="44"/>
      <c r="O655" s="44"/>
    </row>
    <row r="656" spans="1:15" ht="17.25" customHeight="1">
      <c r="A656" s="44"/>
      <c r="B656" s="44"/>
      <c r="C656" s="44"/>
      <c r="D656" s="44"/>
      <c r="E656" s="44"/>
      <c r="F656" s="44"/>
      <c r="G656" s="44"/>
      <c r="H656" s="44"/>
      <c r="I656" s="44"/>
      <c r="J656" s="44"/>
      <c r="K656" s="44"/>
      <c r="L656" s="44"/>
      <c r="M656" s="44"/>
      <c r="N656" s="44"/>
      <c r="O656" s="44"/>
    </row>
    <row r="657" spans="1:15" ht="17.25" customHeight="1">
      <c r="A657" s="44"/>
      <c r="B657" s="44"/>
      <c r="C657" s="44"/>
      <c r="D657" s="44"/>
      <c r="E657" s="44"/>
      <c r="F657" s="44"/>
      <c r="G657" s="44"/>
      <c r="H657" s="44"/>
      <c r="I657" s="44"/>
      <c r="J657" s="44"/>
      <c r="K657" s="44"/>
      <c r="L657" s="44"/>
      <c r="M657" s="44"/>
      <c r="N657" s="44"/>
      <c r="O657" s="44"/>
    </row>
    <row r="658" spans="1:15" ht="17.25" customHeight="1">
      <c r="A658" s="44"/>
      <c r="B658" s="44"/>
      <c r="C658" s="44"/>
      <c r="D658" s="44"/>
      <c r="E658" s="44"/>
      <c r="F658" s="44"/>
      <c r="G658" s="44"/>
      <c r="H658" s="44"/>
      <c r="I658" s="44"/>
      <c r="J658" s="44"/>
      <c r="K658" s="44"/>
      <c r="L658" s="44"/>
      <c r="M658" s="44"/>
      <c r="N658" s="44"/>
      <c r="O658" s="44"/>
    </row>
    <row r="659" spans="1:15" ht="17.25" customHeight="1">
      <c r="A659" s="44"/>
      <c r="B659" s="44"/>
      <c r="C659" s="44"/>
      <c r="D659" s="44"/>
      <c r="E659" s="44"/>
      <c r="F659" s="44"/>
      <c r="G659" s="44"/>
      <c r="H659" s="44"/>
      <c r="I659" s="44"/>
      <c r="J659" s="44"/>
      <c r="K659" s="44"/>
      <c r="L659" s="44"/>
      <c r="M659" s="44"/>
      <c r="N659" s="44"/>
      <c r="O659" s="44"/>
    </row>
    <row r="660" spans="1:15" ht="17.25" customHeight="1">
      <c r="A660" s="44"/>
      <c r="B660" s="44"/>
      <c r="C660" s="44"/>
      <c r="D660" s="44"/>
      <c r="E660" s="44"/>
      <c r="F660" s="44"/>
      <c r="G660" s="44"/>
      <c r="H660" s="44"/>
      <c r="I660" s="44"/>
      <c r="J660" s="44"/>
      <c r="K660" s="44"/>
      <c r="L660" s="44"/>
      <c r="M660" s="44"/>
      <c r="N660" s="44"/>
      <c r="O660" s="44"/>
    </row>
    <row r="661" spans="1:15" ht="17.25" customHeight="1">
      <c r="A661" s="44"/>
      <c r="B661" s="44"/>
      <c r="C661" s="44"/>
      <c r="D661" s="44"/>
      <c r="E661" s="44"/>
      <c r="F661" s="44"/>
      <c r="G661" s="44"/>
      <c r="H661" s="44"/>
      <c r="I661" s="44"/>
      <c r="J661" s="44"/>
      <c r="K661" s="44"/>
      <c r="L661" s="44"/>
      <c r="M661" s="44"/>
      <c r="N661" s="44"/>
      <c r="O661" s="44"/>
    </row>
    <row r="662" spans="1:15" ht="17.25" customHeight="1">
      <c r="A662" s="44"/>
      <c r="B662" s="44"/>
      <c r="C662" s="44"/>
      <c r="D662" s="44"/>
      <c r="E662" s="44"/>
      <c r="F662" s="44"/>
      <c r="G662" s="44"/>
      <c r="H662" s="44"/>
      <c r="I662" s="44"/>
      <c r="J662" s="44"/>
      <c r="K662" s="44"/>
      <c r="L662" s="44"/>
      <c r="M662" s="44"/>
      <c r="N662" s="44"/>
      <c r="O662" s="44"/>
    </row>
    <row r="663" spans="1:15" ht="17.25" customHeight="1">
      <c r="A663" s="44"/>
      <c r="B663" s="44"/>
      <c r="C663" s="44"/>
      <c r="D663" s="44"/>
      <c r="E663" s="44"/>
      <c r="F663" s="44"/>
      <c r="G663" s="44"/>
      <c r="H663" s="44"/>
      <c r="I663" s="44"/>
      <c r="J663" s="44"/>
      <c r="K663" s="44"/>
      <c r="L663" s="44"/>
      <c r="M663" s="44"/>
      <c r="N663" s="44"/>
      <c r="O663" s="44"/>
    </row>
    <row r="664" spans="1:15" ht="17.25" customHeight="1">
      <c r="A664" s="44"/>
      <c r="B664" s="44"/>
      <c r="C664" s="44"/>
      <c r="D664" s="44"/>
      <c r="E664" s="44"/>
      <c r="F664" s="44"/>
      <c r="G664" s="44"/>
      <c r="H664" s="44"/>
      <c r="I664" s="44"/>
      <c r="J664" s="44"/>
      <c r="K664" s="44"/>
      <c r="L664" s="44"/>
      <c r="M664" s="44"/>
      <c r="N664" s="44"/>
      <c r="O664" s="44"/>
    </row>
    <row r="665" spans="1:15" ht="17.25" customHeight="1">
      <c r="A665" s="44"/>
      <c r="B665" s="44"/>
      <c r="C665" s="44"/>
      <c r="D665" s="44"/>
      <c r="E665" s="44"/>
      <c r="F665" s="44"/>
      <c r="G665" s="44"/>
      <c r="H665" s="44"/>
      <c r="I665" s="44"/>
      <c r="J665" s="44"/>
      <c r="K665" s="44"/>
      <c r="L665" s="44"/>
      <c r="M665" s="44"/>
      <c r="N665" s="44"/>
      <c r="O665" s="44"/>
    </row>
    <row r="666" spans="1:15" ht="17.25" customHeight="1">
      <c r="A666" s="44"/>
      <c r="B666" s="44"/>
      <c r="C666" s="44"/>
      <c r="D666" s="44"/>
      <c r="E666" s="44"/>
      <c r="F666" s="44"/>
      <c r="G666" s="44"/>
      <c r="H666" s="44"/>
      <c r="I666" s="44"/>
      <c r="J666" s="44"/>
      <c r="K666" s="44"/>
      <c r="L666" s="44"/>
      <c r="M666" s="44"/>
      <c r="N666" s="44"/>
      <c r="O666" s="44"/>
    </row>
    <row r="667" spans="1:15" ht="17.25" customHeight="1">
      <c r="A667" s="44"/>
      <c r="B667" s="44"/>
      <c r="C667" s="44"/>
      <c r="D667" s="44"/>
      <c r="E667" s="44"/>
      <c r="F667" s="44"/>
      <c r="G667" s="44"/>
      <c r="H667" s="44"/>
      <c r="I667" s="44"/>
      <c r="J667" s="44"/>
      <c r="K667" s="44"/>
      <c r="L667" s="44"/>
      <c r="M667" s="44"/>
      <c r="N667" s="44"/>
      <c r="O667" s="44"/>
    </row>
    <row r="668" spans="1:15" ht="17.25" customHeight="1">
      <c r="A668" s="44"/>
      <c r="B668" s="44"/>
      <c r="C668" s="44"/>
      <c r="D668" s="44"/>
      <c r="E668" s="44"/>
      <c r="F668" s="44"/>
      <c r="G668" s="44"/>
      <c r="H668" s="44"/>
      <c r="I668" s="44"/>
      <c r="J668" s="44"/>
      <c r="K668" s="44"/>
      <c r="L668" s="44"/>
      <c r="M668" s="44"/>
      <c r="N668" s="44"/>
      <c r="O668" s="44"/>
    </row>
    <row r="669" spans="1:15" ht="17.25" customHeight="1">
      <c r="A669" s="44"/>
      <c r="B669" s="44"/>
      <c r="C669" s="44"/>
      <c r="D669" s="44"/>
      <c r="E669" s="44"/>
      <c r="F669" s="44"/>
      <c r="G669" s="44"/>
      <c r="H669" s="44"/>
      <c r="I669" s="44"/>
      <c r="J669" s="44"/>
      <c r="K669" s="44"/>
      <c r="L669" s="44"/>
      <c r="M669" s="44"/>
      <c r="N669" s="44"/>
      <c r="O669" s="44"/>
    </row>
    <row r="670" spans="1:15" ht="17.25" customHeight="1">
      <c r="A670" s="44"/>
      <c r="B670" s="44"/>
      <c r="C670" s="44"/>
      <c r="D670" s="44"/>
      <c r="E670" s="44"/>
      <c r="F670" s="44"/>
      <c r="G670" s="44"/>
      <c r="H670" s="44"/>
      <c r="I670" s="44"/>
      <c r="J670" s="44"/>
      <c r="K670" s="44"/>
      <c r="L670" s="44"/>
      <c r="M670" s="44"/>
      <c r="N670" s="44"/>
      <c r="O670" s="44"/>
    </row>
    <row r="671" spans="1:15" ht="17.25" customHeight="1">
      <c r="A671" s="44"/>
      <c r="B671" s="44"/>
      <c r="C671" s="44"/>
      <c r="D671" s="44"/>
      <c r="E671" s="44"/>
      <c r="F671" s="44"/>
      <c r="G671" s="44"/>
      <c r="H671" s="44"/>
      <c r="I671" s="44"/>
      <c r="J671" s="44"/>
      <c r="K671" s="44"/>
      <c r="L671" s="44"/>
      <c r="M671" s="44"/>
      <c r="N671" s="44"/>
      <c r="O671" s="44"/>
    </row>
    <row r="672" spans="1:15" ht="17.25" customHeight="1">
      <c r="A672" s="44"/>
      <c r="B672" s="44"/>
      <c r="C672" s="44"/>
      <c r="D672" s="44"/>
      <c r="E672" s="44"/>
      <c r="F672" s="44"/>
      <c r="G672" s="44"/>
      <c r="H672" s="44"/>
      <c r="I672" s="44"/>
      <c r="J672" s="44"/>
      <c r="K672" s="44"/>
      <c r="L672" s="44"/>
      <c r="M672" s="44"/>
      <c r="N672" s="44"/>
      <c r="O672" s="44"/>
    </row>
    <row r="673" spans="1:15" ht="17.25" customHeight="1">
      <c r="A673" s="44"/>
      <c r="B673" s="44"/>
      <c r="C673" s="44"/>
      <c r="D673" s="44"/>
      <c r="E673" s="44"/>
      <c r="F673" s="44"/>
      <c r="G673" s="44"/>
      <c r="H673" s="44"/>
      <c r="I673" s="44"/>
      <c r="J673" s="44"/>
      <c r="K673" s="44"/>
      <c r="L673" s="44"/>
      <c r="M673" s="44"/>
      <c r="N673" s="44"/>
      <c r="O673" s="44"/>
    </row>
    <row r="674" spans="1:15" ht="17.25" customHeight="1">
      <c r="A674" s="44"/>
      <c r="B674" s="44"/>
      <c r="C674" s="44"/>
      <c r="D674" s="44"/>
      <c r="E674" s="44"/>
      <c r="F674" s="44"/>
      <c r="G674" s="44"/>
      <c r="H674" s="44"/>
      <c r="I674" s="44"/>
      <c r="J674" s="44"/>
      <c r="K674" s="44"/>
      <c r="L674" s="44"/>
      <c r="M674" s="44"/>
      <c r="N674" s="44"/>
      <c r="O674" s="44"/>
    </row>
    <row r="675" spans="1:15" ht="17.25" customHeight="1">
      <c r="A675" s="44"/>
      <c r="B675" s="44"/>
      <c r="C675" s="44"/>
      <c r="D675" s="44"/>
      <c r="E675" s="44"/>
      <c r="F675" s="44"/>
      <c r="G675" s="44"/>
      <c r="H675" s="44"/>
      <c r="I675" s="44"/>
      <c r="J675" s="44"/>
      <c r="K675" s="44"/>
      <c r="L675" s="44"/>
      <c r="M675" s="44"/>
      <c r="N675" s="44"/>
      <c r="O675" s="44"/>
    </row>
    <row r="676" spans="1:15" ht="17.25" customHeight="1">
      <c r="A676" s="44"/>
      <c r="B676" s="44"/>
      <c r="C676" s="44"/>
      <c r="D676" s="44"/>
      <c r="E676" s="44"/>
      <c r="F676" s="44"/>
      <c r="G676" s="44"/>
      <c r="H676" s="44"/>
      <c r="I676" s="44"/>
      <c r="J676" s="44"/>
      <c r="K676" s="44"/>
      <c r="L676" s="44"/>
      <c r="M676" s="44"/>
      <c r="N676" s="44"/>
      <c r="O676" s="44"/>
    </row>
    <row r="677" spans="1:15" ht="17.25" customHeight="1">
      <c r="A677" s="44"/>
      <c r="B677" s="44"/>
      <c r="C677" s="44"/>
      <c r="D677" s="44"/>
      <c r="E677" s="44"/>
      <c r="F677" s="44"/>
      <c r="G677" s="44"/>
      <c r="H677" s="44"/>
      <c r="I677" s="44"/>
      <c r="J677" s="44"/>
      <c r="K677" s="44"/>
      <c r="L677" s="44"/>
      <c r="M677" s="44"/>
      <c r="N677" s="44"/>
      <c r="O677" s="44"/>
    </row>
    <row r="678" spans="1:15" ht="17.25" customHeight="1">
      <c r="A678" s="44"/>
      <c r="B678" s="44"/>
      <c r="C678" s="44"/>
      <c r="D678" s="44"/>
      <c r="E678" s="44"/>
      <c r="F678" s="44"/>
      <c r="G678" s="44"/>
      <c r="H678" s="44"/>
      <c r="I678" s="44"/>
      <c r="J678" s="44"/>
      <c r="K678" s="44"/>
      <c r="L678" s="44"/>
      <c r="M678" s="44"/>
      <c r="N678" s="44"/>
      <c r="O678" s="44"/>
    </row>
    <row r="679" spans="1:15" ht="17.25" customHeight="1">
      <c r="A679" s="44"/>
      <c r="B679" s="44"/>
      <c r="C679" s="44"/>
      <c r="D679" s="44"/>
      <c r="E679" s="44"/>
      <c r="F679" s="44"/>
      <c r="G679" s="44"/>
      <c r="H679" s="44"/>
      <c r="I679" s="44"/>
      <c r="J679" s="44"/>
      <c r="K679" s="44"/>
      <c r="L679" s="44"/>
      <c r="M679" s="44"/>
      <c r="N679" s="44"/>
      <c r="O679" s="44"/>
    </row>
    <row r="680" spans="1:15" ht="17.25" customHeight="1">
      <c r="A680" s="44"/>
      <c r="B680" s="44"/>
      <c r="C680" s="44"/>
      <c r="D680" s="44"/>
      <c r="E680" s="44"/>
      <c r="F680" s="44"/>
      <c r="G680" s="44"/>
      <c r="H680" s="44"/>
      <c r="I680" s="44"/>
      <c r="J680" s="44"/>
      <c r="K680" s="44"/>
      <c r="L680" s="44"/>
      <c r="M680" s="44"/>
      <c r="N680" s="44"/>
      <c r="O680" s="44"/>
    </row>
    <row r="681" spans="1:15" ht="17.25" customHeight="1">
      <c r="A681" s="44"/>
      <c r="B681" s="44"/>
      <c r="C681" s="44"/>
      <c r="D681" s="44"/>
      <c r="E681" s="44"/>
      <c r="F681" s="44"/>
      <c r="G681" s="44"/>
      <c r="H681" s="44"/>
      <c r="I681" s="44"/>
      <c r="J681" s="44"/>
      <c r="K681" s="44"/>
      <c r="L681" s="44"/>
      <c r="M681" s="44"/>
      <c r="N681" s="44"/>
      <c r="O681" s="44"/>
    </row>
    <row r="682" spans="1:15" ht="17.25" customHeight="1">
      <c r="A682" s="44"/>
      <c r="B682" s="44"/>
      <c r="C682" s="44"/>
      <c r="D682" s="44"/>
      <c r="E682" s="44"/>
      <c r="F682" s="44"/>
      <c r="G682" s="44"/>
      <c r="H682" s="44"/>
      <c r="I682" s="44"/>
      <c r="J682" s="44"/>
      <c r="K682" s="44"/>
      <c r="L682" s="44"/>
      <c r="M682" s="44"/>
      <c r="N682" s="44"/>
      <c r="O682" s="44"/>
    </row>
    <row r="683" spans="1:15" ht="17.25" customHeight="1">
      <c r="A683" s="44"/>
      <c r="B683" s="44"/>
      <c r="C683" s="44"/>
      <c r="D683" s="44"/>
      <c r="E683" s="44"/>
      <c r="F683" s="44"/>
      <c r="G683" s="44"/>
      <c r="H683" s="44"/>
      <c r="I683" s="44"/>
      <c r="J683" s="44"/>
      <c r="K683" s="44"/>
      <c r="L683" s="44"/>
      <c r="M683" s="44"/>
      <c r="N683" s="44"/>
      <c r="O683" s="44"/>
    </row>
    <row r="684" spans="1:15" ht="17.25" customHeight="1">
      <c r="A684" s="44"/>
      <c r="B684" s="44"/>
      <c r="C684" s="44"/>
      <c r="D684" s="44"/>
      <c r="E684" s="44"/>
      <c r="F684" s="44"/>
      <c r="G684" s="44"/>
      <c r="H684" s="44"/>
      <c r="I684" s="44"/>
      <c r="J684" s="44"/>
      <c r="K684" s="44"/>
      <c r="L684" s="44"/>
      <c r="M684" s="44"/>
      <c r="N684" s="44"/>
      <c r="O684" s="44"/>
    </row>
    <row r="685" spans="1:15" ht="17.25" customHeight="1">
      <c r="A685" s="44"/>
      <c r="B685" s="44"/>
      <c r="C685" s="44"/>
      <c r="D685" s="44"/>
      <c r="E685" s="44"/>
      <c r="F685" s="44"/>
      <c r="G685" s="44"/>
      <c r="H685" s="44"/>
      <c r="I685" s="44"/>
      <c r="J685" s="44"/>
      <c r="K685" s="44"/>
      <c r="L685" s="44"/>
      <c r="M685" s="44"/>
      <c r="N685" s="44"/>
      <c r="O685" s="44"/>
    </row>
    <row r="686" spans="1:15" ht="17.25" customHeight="1">
      <c r="A686" s="44"/>
      <c r="B686" s="44"/>
      <c r="C686" s="44"/>
      <c r="D686" s="44"/>
      <c r="E686" s="44"/>
      <c r="F686" s="44"/>
      <c r="G686" s="44"/>
      <c r="H686" s="44"/>
      <c r="I686" s="44"/>
      <c r="J686" s="44"/>
      <c r="K686" s="44"/>
      <c r="L686" s="44"/>
      <c r="M686" s="44"/>
      <c r="N686" s="44"/>
      <c r="O686" s="44"/>
    </row>
    <row r="687" spans="1:15" ht="17.25" customHeight="1">
      <c r="A687" s="44"/>
      <c r="B687" s="44"/>
      <c r="C687" s="44"/>
      <c r="D687" s="44"/>
      <c r="E687" s="44"/>
      <c r="F687" s="44"/>
      <c r="G687" s="44"/>
      <c r="H687" s="44"/>
      <c r="I687" s="44"/>
      <c r="J687" s="44"/>
      <c r="K687" s="44"/>
      <c r="L687" s="44"/>
      <c r="M687" s="44"/>
      <c r="N687" s="44"/>
      <c r="O687" s="44"/>
    </row>
    <row r="688" spans="1:15" ht="17.25" customHeight="1">
      <c r="A688" s="44"/>
      <c r="B688" s="44"/>
      <c r="C688" s="44"/>
      <c r="D688" s="44"/>
      <c r="E688" s="44"/>
      <c r="F688" s="44"/>
      <c r="G688" s="44"/>
      <c r="H688" s="44"/>
      <c r="I688" s="44"/>
      <c r="J688" s="44"/>
      <c r="K688" s="44"/>
      <c r="L688" s="44"/>
      <c r="M688" s="44"/>
      <c r="N688" s="44"/>
      <c r="O688" s="44"/>
    </row>
    <row r="689" spans="1:15" ht="17.25" customHeight="1">
      <c r="A689" s="44"/>
      <c r="B689" s="44"/>
      <c r="C689" s="44"/>
      <c r="D689" s="44"/>
      <c r="E689" s="44"/>
      <c r="F689" s="44"/>
      <c r="G689" s="44"/>
      <c r="H689" s="44"/>
      <c r="I689" s="44"/>
      <c r="J689" s="44"/>
      <c r="K689" s="44"/>
      <c r="L689" s="44"/>
      <c r="M689" s="44"/>
      <c r="N689" s="44"/>
      <c r="O689" s="44"/>
    </row>
    <row r="690" spans="1:15" ht="17.25" customHeight="1">
      <c r="A690" s="44"/>
      <c r="B690" s="44"/>
      <c r="C690" s="44"/>
      <c r="D690" s="44"/>
      <c r="E690" s="44"/>
      <c r="F690" s="44"/>
      <c r="G690" s="44"/>
      <c r="H690" s="44"/>
      <c r="I690" s="44"/>
      <c r="J690" s="44"/>
      <c r="K690" s="44"/>
      <c r="L690" s="44"/>
      <c r="M690" s="44"/>
      <c r="N690" s="44"/>
      <c r="O690" s="44"/>
    </row>
    <row r="691" spans="1:15" ht="17.25" customHeight="1">
      <c r="A691" s="44"/>
      <c r="B691" s="44"/>
      <c r="C691" s="44"/>
      <c r="D691" s="44"/>
      <c r="E691" s="44"/>
      <c r="F691" s="44"/>
      <c r="G691" s="44"/>
      <c r="H691" s="44"/>
      <c r="I691" s="44"/>
      <c r="J691" s="44"/>
      <c r="K691" s="44"/>
      <c r="L691" s="44"/>
      <c r="M691" s="44"/>
      <c r="N691" s="44"/>
      <c r="O691" s="44"/>
    </row>
    <row r="692" spans="1:15" ht="17.25" customHeight="1">
      <c r="A692" s="44"/>
      <c r="B692" s="44"/>
      <c r="C692" s="44"/>
      <c r="D692" s="44"/>
      <c r="E692" s="44"/>
      <c r="F692" s="44"/>
      <c r="G692" s="44"/>
      <c r="H692" s="44"/>
      <c r="I692" s="44"/>
      <c r="J692" s="44"/>
      <c r="K692" s="44"/>
      <c r="L692" s="44"/>
      <c r="M692" s="44"/>
      <c r="N692" s="44"/>
      <c r="O692" s="44"/>
    </row>
    <row r="693" spans="1:15" ht="17.25" customHeight="1">
      <c r="A693" s="44"/>
      <c r="B693" s="44"/>
      <c r="C693" s="44"/>
      <c r="D693" s="44"/>
      <c r="E693" s="44"/>
      <c r="F693" s="44"/>
      <c r="G693" s="44"/>
      <c r="H693" s="44"/>
      <c r="I693" s="44"/>
      <c r="J693" s="44"/>
      <c r="K693" s="44"/>
      <c r="L693" s="44"/>
      <c r="M693" s="44"/>
      <c r="N693" s="44"/>
      <c r="O693" s="44"/>
    </row>
    <row r="694" spans="1:15" ht="17.25" customHeight="1">
      <c r="A694" s="44"/>
      <c r="B694" s="44"/>
      <c r="C694" s="44"/>
      <c r="D694" s="44"/>
      <c r="E694" s="44"/>
      <c r="F694" s="44"/>
      <c r="G694" s="44"/>
      <c r="H694" s="44"/>
      <c r="I694" s="44"/>
      <c r="J694" s="44"/>
      <c r="K694" s="44"/>
      <c r="L694" s="44"/>
      <c r="M694" s="44"/>
      <c r="N694" s="44"/>
      <c r="O694" s="44"/>
    </row>
    <row r="695" spans="1:15" ht="17.25" customHeight="1">
      <c r="A695" s="44"/>
      <c r="B695" s="44"/>
      <c r="C695" s="44"/>
      <c r="D695" s="44"/>
      <c r="E695" s="44"/>
      <c r="F695" s="44"/>
      <c r="G695" s="44"/>
      <c r="H695" s="44"/>
      <c r="I695" s="44"/>
      <c r="J695" s="44"/>
      <c r="K695" s="44"/>
      <c r="L695" s="44"/>
      <c r="M695" s="44"/>
      <c r="N695" s="44"/>
      <c r="O695" s="44"/>
    </row>
    <row r="696" spans="1:15" ht="17.25" customHeight="1">
      <c r="A696" s="44"/>
      <c r="B696" s="44"/>
      <c r="C696" s="44"/>
      <c r="D696" s="44"/>
      <c r="E696" s="44"/>
      <c r="F696" s="44"/>
      <c r="G696" s="44"/>
      <c r="H696" s="44"/>
      <c r="I696" s="44"/>
      <c r="J696" s="44"/>
      <c r="K696" s="44"/>
      <c r="L696" s="44"/>
      <c r="M696" s="44"/>
      <c r="N696" s="44"/>
      <c r="O696" s="44"/>
    </row>
    <row r="697" spans="1:15" ht="17.25" customHeight="1">
      <c r="A697" s="44"/>
      <c r="B697" s="44"/>
      <c r="C697" s="44"/>
      <c r="D697" s="44"/>
      <c r="E697" s="44"/>
      <c r="F697" s="44"/>
      <c r="G697" s="44"/>
      <c r="H697" s="44"/>
      <c r="I697" s="44"/>
      <c r="J697" s="44"/>
      <c r="K697" s="44"/>
      <c r="L697" s="44"/>
      <c r="M697" s="44"/>
      <c r="N697" s="44"/>
      <c r="O697" s="44"/>
    </row>
    <row r="698" spans="1:15" ht="17.25" customHeight="1">
      <c r="A698" s="44"/>
      <c r="B698" s="44"/>
      <c r="C698" s="44"/>
      <c r="D698" s="44"/>
      <c r="E698" s="44"/>
      <c r="F698" s="44"/>
      <c r="G698" s="44"/>
      <c r="H698" s="44"/>
      <c r="I698" s="44"/>
      <c r="J698" s="44"/>
      <c r="K698" s="44"/>
      <c r="L698" s="44"/>
      <c r="M698" s="44"/>
      <c r="N698" s="44"/>
      <c r="O698" s="44"/>
    </row>
    <row r="699" spans="1:15" ht="17.25" customHeight="1">
      <c r="A699" s="44"/>
      <c r="B699" s="44"/>
      <c r="C699" s="44"/>
      <c r="D699" s="44"/>
      <c r="E699" s="44"/>
      <c r="F699" s="44"/>
      <c r="G699" s="44"/>
      <c r="H699" s="44"/>
      <c r="I699" s="44"/>
      <c r="J699" s="44"/>
      <c r="K699" s="44"/>
      <c r="L699" s="44"/>
      <c r="M699" s="44"/>
      <c r="N699" s="44"/>
      <c r="O699" s="44"/>
    </row>
    <row r="700" spans="1:15" ht="17.25" customHeight="1">
      <c r="A700" s="44"/>
      <c r="B700" s="44"/>
      <c r="C700" s="44"/>
      <c r="D700" s="44"/>
      <c r="E700" s="44"/>
      <c r="F700" s="44"/>
      <c r="G700" s="44"/>
      <c r="H700" s="44"/>
      <c r="I700" s="44"/>
      <c r="J700" s="44"/>
      <c r="K700" s="44"/>
      <c r="L700" s="44"/>
      <c r="M700" s="44"/>
      <c r="N700" s="44"/>
      <c r="O700" s="44"/>
    </row>
    <row r="701" spans="1:15" ht="17.25" customHeight="1">
      <c r="A701" s="44"/>
      <c r="B701" s="44"/>
      <c r="C701" s="44"/>
      <c r="D701" s="44"/>
      <c r="E701" s="44"/>
      <c r="F701" s="44"/>
      <c r="G701" s="44"/>
      <c r="H701" s="44"/>
      <c r="I701" s="44"/>
      <c r="J701" s="44"/>
      <c r="K701" s="44"/>
      <c r="L701" s="44"/>
      <c r="M701" s="44"/>
      <c r="N701" s="44"/>
      <c r="O701" s="44"/>
    </row>
    <row r="702" spans="1:15" ht="17.25" customHeight="1">
      <c r="A702" s="44"/>
      <c r="B702" s="44"/>
      <c r="C702" s="44"/>
      <c r="D702" s="44"/>
      <c r="E702" s="44"/>
      <c r="F702" s="44"/>
      <c r="G702" s="44"/>
      <c r="H702" s="44"/>
      <c r="I702" s="44"/>
      <c r="J702" s="44"/>
      <c r="K702" s="44"/>
      <c r="L702" s="44"/>
      <c r="M702" s="44"/>
      <c r="N702" s="44"/>
      <c r="O702" s="44"/>
    </row>
    <row r="703" spans="1:15" ht="17.25" customHeight="1">
      <c r="A703" s="44"/>
      <c r="B703" s="44"/>
      <c r="C703" s="44"/>
      <c r="D703" s="44"/>
      <c r="E703" s="44"/>
      <c r="F703" s="44"/>
      <c r="G703" s="44"/>
      <c r="H703" s="44"/>
      <c r="I703" s="44"/>
      <c r="J703" s="44"/>
      <c r="K703" s="44"/>
      <c r="L703" s="44"/>
      <c r="M703" s="44"/>
      <c r="N703" s="44"/>
      <c r="O703" s="44"/>
    </row>
    <row r="704" spans="1:15" ht="17.25" customHeight="1">
      <c r="A704" s="44"/>
      <c r="B704" s="44"/>
      <c r="C704" s="44"/>
      <c r="D704" s="44"/>
      <c r="E704" s="44"/>
      <c r="F704" s="44"/>
      <c r="G704" s="44"/>
      <c r="H704" s="44"/>
      <c r="I704" s="44"/>
      <c r="J704" s="44"/>
      <c r="K704" s="44"/>
      <c r="L704" s="44"/>
      <c r="M704" s="44"/>
      <c r="N704" s="44"/>
      <c r="O704" s="44"/>
    </row>
    <row r="705" spans="1:15" ht="17.25" customHeight="1">
      <c r="A705" s="44"/>
      <c r="B705" s="44"/>
      <c r="C705" s="44"/>
      <c r="D705" s="44"/>
      <c r="E705" s="44"/>
      <c r="F705" s="44"/>
      <c r="G705" s="44"/>
      <c r="H705" s="44"/>
      <c r="I705" s="44"/>
      <c r="J705" s="44"/>
      <c r="K705" s="44"/>
      <c r="L705" s="44"/>
      <c r="M705" s="44"/>
      <c r="N705" s="44"/>
      <c r="O705" s="44"/>
    </row>
    <row r="706" spans="1:15" ht="17.25" customHeight="1">
      <c r="A706" s="44"/>
      <c r="B706" s="44"/>
      <c r="C706" s="44"/>
      <c r="D706" s="44"/>
      <c r="E706" s="44"/>
      <c r="F706" s="44"/>
      <c r="G706" s="44"/>
      <c r="H706" s="44"/>
      <c r="I706" s="44"/>
      <c r="J706" s="44"/>
      <c r="K706" s="44"/>
      <c r="L706" s="44"/>
      <c r="M706" s="44"/>
      <c r="N706" s="44"/>
      <c r="O706" s="44"/>
    </row>
    <row r="707" spans="1:15" ht="17.25" customHeight="1">
      <c r="A707" s="44"/>
      <c r="B707" s="44"/>
      <c r="C707" s="44"/>
      <c r="D707" s="44"/>
      <c r="E707" s="44"/>
      <c r="F707" s="44"/>
      <c r="G707" s="44"/>
      <c r="H707" s="44"/>
      <c r="I707" s="44"/>
      <c r="J707" s="44"/>
      <c r="K707" s="44"/>
      <c r="L707" s="44"/>
      <c r="M707" s="44"/>
      <c r="N707" s="44"/>
      <c r="O707" s="44"/>
    </row>
    <row r="708" spans="1:15" ht="17.25" customHeight="1">
      <c r="A708" s="44"/>
      <c r="B708" s="44"/>
      <c r="C708" s="44"/>
      <c r="D708" s="44"/>
      <c r="E708" s="44"/>
      <c r="F708" s="44"/>
      <c r="G708" s="44"/>
      <c r="H708" s="44"/>
      <c r="I708" s="44"/>
      <c r="J708" s="44"/>
      <c r="K708" s="44"/>
      <c r="L708" s="44"/>
      <c r="M708" s="44"/>
      <c r="N708" s="44"/>
      <c r="O708" s="44"/>
    </row>
    <row r="709" spans="1:15" ht="17.25" customHeight="1">
      <c r="A709" s="44"/>
      <c r="B709" s="44"/>
      <c r="C709" s="44"/>
      <c r="D709" s="44"/>
      <c r="E709" s="44"/>
      <c r="F709" s="44"/>
      <c r="G709" s="44"/>
      <c r="H709" s="44"/>
      <c r="I709" s="44"/>
      <c r="J709" s="44"/>
      <c r="K709" s="44"/>
      <c r="L709" s="44"/>
      <c r="M709" s="44"/>
      <c r="N709" s="44"/>
      <c r="O709" s="44"/>
    </row>
    <row r="710" spans="1:15" ht="17.25" customHeight="1">
      <c r="A710" s="44"/>
      <c r="B710" s="44"/>
      <c r="C710" s="44"/>
      <c r="D710" s="44"/>
      <c r="E710" s="44"/>
      <c r="F710" s="44"/>
      <c r="G710" s="44"/>
      <c r="H710" s="44"/>
      <c r="I710" s="44"/>
      <c r="J710" s="44"/>
      <c r="K710" s="44"/>
      <c r="L710" s="44"/>
      <c r="M710" s="44"/>
      <c r="N710" s="44"/>
      <c r="O710" s="44"/>
    </row>
    <row r="711" spans="1:15" ht="17.25" customHeight="1">
      <c r="A711" s="44"/>
      <c r="B711" s="44"/>
      <c r="C711" s="44"/>
      <c r="D711" s="44"/>
      <c r="E711" s="44"/>
      <c r="F711" s="44"/>
      <c r="G711" s="44"/>
      <c r="H711" s="44"/>
      <c r="I711" s="44"/>
      <c r="J711" s="44"/>
      <c r="K711" s="44"/>
      <c r="L711" s="44"/>
      <c r="M711" s="44"/>
      <c r="N711" s="44"/>
      <c r="O711" s="44"/>
    </row>
    <row r="712" spans="1:15" ht="17.25" customHeight="1">
      <c r="A712" s="44"/>
      <c r="B712" s="44"/>
      <c r="C712" s="44"/>
      <c r="D712" s="44"/>
      <c r="E712" s="44"/>
      <c r="F712" s="44"/>
      <c r="G712" s="44"/>
      <c r="H712" s="44"/>
      <c r="I712" s="44"/>
      <c r="J712" s="44"/>
      <c r="K712" s="44"/>
      <c r="L712" s="44"/>
      <c r="M712" s="44"/>
      <c r="N712" s="44"/>
      <c r="O712" s="44"/>
    </row>
    <row r="713" spans="1:15" ht="17.25" customHeight="1">
      <c r="A713" s="44"/>
      <c r="B713" s="44"/>
      <c r="C713" s="44"/>
      <c r="D713" s="44"/>
      <c r="E713" s="44"/>
      <c r="F713" s="44"/>
      <c r="G713" s="44"/>
      <c r="H713" s="44"/>
      <c r="I713" s="44"/>
      <c r="J713" s="44"/>
      <c r="K713" s="44"/>
      <c r="L713" s="44"/>
      <c r="M713" s="44"/>
      <c r="N713" s="44"/>
      <c r="O713" s="44"/>
    </row>
    <row r="714" spans="1:15" ht="17.25" customHeight="1">
      <c r="A714" s="44"/>
      <c r="B714" s="44"/>
      <c r="C714" s="44"/>
      <c r="D714" s="44"/>
      <c r="E714" s="44"/>
      <c r="F714" s="44"/>
      <c r="G714" s="44"/>
      <c r="H714" s="44"/>
      <c r="I714" s="44"/>
      <c r="J714" s="44"/>
      <c r="K714" s="44"/>
      <c r="L714" s="44"/>
      <c r="M714" s="44"/>
      <c r="N714" s="44"/>
      <c r="O714" s="44"/>
    </row>
    <row r="715" spans="1:15" ht="17.25" customHeight="1">
      <c r="A715" s="44"/>
      <c r="B715" s="44"/>
      <c r="C715" s="44"/>
      <c r="D715" s="44"/>
      <c r="E715" s="44"/>
      <c r="F715" s="44"/>
      <c r="G715" s="44"/>
      <c r="H715" s="44"/>
      <c r="I715" s="44"/>
      <c r="J715" s="44"/>
      <c r="K715" s="44"/>
      <c r="L715" s="44"/>
      <c r="M715" s="44"/>
      <c r="N715" s="44"/>
      <c r="O715" s="44"/>
    </row>
    <row r="716" spans="1:15" ht="17.25" customHeight="1">
      <c r="A716" s="44"/>
      <c r="B716" s="44"/>
      <c r="C716" s="44"/>
      <c r="D716" s="44"/>
      <c r="E716" s="44"/>
      <c r="F716" s="44"/>
      <c r="G716" s="44"/>
      <c r="H716" s="44"/>
      <c r="I716" s="44"/>
      <c r="J716" s="44"/>
      <c r="K716" s="44"/>
      <c r="L716" s="44"/>
      <c r="M716" s="44"/>
      <c r="N716" s="44"/>
      <c r="O716" s="44"/>
    </row>
    <row r="717" spans="1:15" ht="17.25" customHeight="1">
      <c r="A717" s="44"/>
      <c r="B717" s="44"/>
      <c r="C717" s="44"/>
      <c r="D717" s="44"/>
      <c r="E717" s="44"/>
      <c r="F717" s="44"/>
      <c r="G717" s="44"/>
      <c r="H717" s="44"/>
      <c r="I717" s="44"/>
      <c r="J717" s="44"/>
      <c r="K717" s="44"/>
      <c r="L717" s="44"/>
      <c r="M717" s="44"/>
      <c r="N717" s="44"/>
      <c r="O717" s="44"/>
    </row>
    <row r="718" spans="1:15" ht="17.25" customHeight="1">
      <c r="A718" s="44"/>
      <c r="B718" s="44"/>
      <c r="C718" s="44"/>
      <c r="D718" s="44"/>
      <c r="E718" s="44"/>
      <c r="F718" s="44"/>
      <c r="G718" s="44"/>
      <c r="H718" s="44"/>
      <c r="I718" s="44"/>
      <c r="J718" s="44"/>
      <c r="K718" s="44"/>
      <c r="L718" s="44"/>
      <c r="M718" s="44"/>
      <c r="N718" s="44"/>
      <c r="O718" s="44"/>
    </row>
    <row r="719" spans="1:15" ht="17.25" customHeight="1">
      <c r="A719" s="44"/>
      <c r="B719" s="44"/>
      <c r="C719" s="44"/>
      <c r="D719" s="44"/>
      <c r="E719" s="44"/>
      <c r="F719" s="44"/>
      <c r="G719" s="44"/>
      <c r="H719" s="44"/>
      <c r="I719" s="44"/>
      <c r="J719" s="44"/>
      <c r="K719" s="44"/>
      <c r="L719" s="44"/>
      <c r="M719" s="44"/>
      <c r="N719" s="44"/>
      <c r="O719" s="44"/>
    </row>
    <row r="720" spans="1:15" ht="17.25" customHeight="1">
      <c r="A720" s="44"/>
      <c r="B720" s="44"/>
      <c r="C720" s="44"/>
      <c r="D720" s="44"/>
      <c r="E720" s="44"/>
      <c r="F720" s="44"/>
      <c r="G720" s="44"/>
      <c r="H720" s="44"/>
      <c r="I720" s="44"/>
      <c r="J720" s="44"/>
      <c r="K720" s="44"/>
      <c r="L720" s="44"/>
      <c r="M720" s="44"/>
      <c r="N720" s="44"/>
      <c r="O720" s="44"/>
    </row>
    <row r="721" spans="1:15" ht="17.25" customHeight="1">
      <c r="A721" s="44"/>
      <c r="B721" s="44"/>
      <c r="C721" s="44"/>
      <c r="D721" s="44"/>
      <c r="E721" s="44"/>
      <c r="F721" s="44"/>
      <c r="G721" s="44"/>
      <c r="H721" s="44"/>
      <c r="I721" s="44"/>
      <c r="J721" s="44"/>
      <c r="K721" s="44"/>
      <c r="L721" s="44"/>
      <c r="M721" s="44"/>
      <c r="N721" s="44"/>
      <c r="O721" s="44"/>
    </row>
    <row r="722" spans="1:15" ht="17.25" customHeight="1">
      <c r="A722" s="44"/>
      <c r="B722" s="44"/>
      <c r="C722" s="44"/>
      <c r="D722" s="44"/>
      <c r="E722" s="44"/>
      <c r="F722" s="44"/>
      <c r="G722" s="44"/>
      <c r="H722" s="44"/>
      <c r="I722" s="44"/>
      <c r="J722" s="44"/>
      <c r="K722" s="44"/>
      <c r="L722" s="44"/>
      <c r="M722" s="44"/>
      <c r="N722" s="44"/>
      <c r="O722" s="44"/>
    </row>
    <row r="723" spans="1:15" ht="17.25" customHeight="1">
      <c r="A723" s="44"/>
      <c r="B723" s="44"/>
      <c r="C723" s="44"/>
      <c r="D723" s="44"/>
      <c r="E723" s="44"/>
      <c r="F723" s="44"/>
      <c r="G723" s="44"/>
      <c r="H723" s="44"/>
      <c r="I723" s="44"/>
      <c r="J723" s="44"/>
      <c r="K723" s="44"/>
      <c r="L723" s="44"/>
      <c r="M723" s="44"/>
      <c r="N723" s="44"/>
      <c r="O723" s="44"/>
    </row>
    <row r="724" spans="1:15" ht="17.25" customHeight="1">
      <c r="A724" s="44"/>
      <c r="B724" s="44"/>
      <c r="C724" s="44"/>
      <c r="D724" s="44"/>
      <c r="E724" s="44"/>
      <c r="F724" s="44"/>
      <c r="G724" s="44"/>
      <c r="H724" s="44"/>
      <c r="I724" s="44"/>
      <c r="J724" s="44"/>
      <c r="K724" s="44"/>
      <c r="L724" s="44"/>
      <c r="M724" s="44"/>
      <c r="N724" s="44"/>
      <c r="O724" s="44"/>
    </row>
    <row r="725" spans="1:15" ht="17.25" customHeight="1">
      <c r="A725" s="44"/>
      <c r="B725" s="44"/>
      <c r="C725" s="44"/>
      <c r="D725" s="44"/>
      <c r="E725" s="44"/>
      <c r="F725" s="44"/>
      <c r="G725" s="44"/>
      <c r="H725" s="44"/>
      <c r="I725" s="44"/>
      <c r="J725" s="44"/>
      <c r="K725" s="44"/>
      <c r="L725" s="44"/>
      <c r="M725" s="44"/>
      <c r="N725" s="44"/>
      <c r="O725" s="44"/>
    </row>
    <row r="726" spans="1:15" ht="17.25" customHeight="1">
      <c r="A726" s="44"/>
      <c r="B726" s="44"/>
      <c r="C726" s="44"/>
      <c r="D726" s="44"/>
      <c r="E726" s="44"/>
      <c r="F726" s="44"/>
      <c r="G726" s="44"/>
      <c r="H726" s="44"/>
      <c r="I726" s="44"/>
      <c r="J726" s="44"/>
      <c r="K726" s="44"/>
      <c r="L726" s="44"/>
      <c r="M726" s="44"/>
      <c r="N726" s="44"/>
      <c r="O726" s="44"/>
    </row>
    <row r="727" spans="1:15" ht="17.25" customHeight="1">
      <c r="A727" s="44"/>
      <c r="B727" s="44"/>
      <c r="C727" s="44"/>
      <c r="D727" s="44"/>
      <c r="E727" s="44"/>
      <c r="F727" s="44"/>
      <c r="G727" s="44"/>
      <c r="H727" s="44"/>
      <c r="I727" s="44"/>
      <c r="J727" s="44"/>
      <c r="K727" s="44"/>
      <c r="L727" s="44"/>
      <c r="M727" s="44"/>
      <c r="N727" s="44"/>
      <c r="O727" s="44"/>
    </row>
    <row r="728" spans="1:15" ht="17.25" customHeight="1">
      <c r="A728" s="44"/>
      <c r="B728" s="44"/>
      <c r="C728" s="44"/>
      <c r="D728" s="44"/>
      <c r="E728" s="44"/>
      <c r="F728" s="44"/>
      <c r="G728" s="44"/>
      <c r="H728" s="44"/>
      <c r="I728" s="44"/>
      <c r="J728" s="44"/>
      <c r="K728" s="44"/>
      <c r="L728" s="44"/>
      <c r="M728" s="44"/>
      <c r="N728" s="44"/>
      <c r="O728" s="44"/>
    </row>
    <row r="729" spans="1:15" ht="17.25" customHeight="1">
      <c r="A729" s="44"/>
      <c r="B729" s="44"/>
      <c r="C729" s="44"/>
      <c r="D729" s="44"/>
      <c r="E729" s="44"/>
      <c r="F729" s="44"/>
      <c r="G729" s="44"/>
      <c r="H729" s="44"/>
      <c r="I729" s="44"/>
      <c r="J729" s="44"/>
      <c r="K729" s="44"/>
      <c r="L729" s="44"/>
      <c r="M729" s="44"/>
      <c r="N729" s="44"/>
      <c r="O729" s="44"/>
    </row>
    <row r="730" spans="1:15" ht="17.25" customHeight="1">
      <c r="A730" s="44"/>
      <c r="B730" s="44"/>
      <c r="C730" s="44"/>
      <c r="D730" s="44"/>
      <c r="E730" s="44"/>
      <c r="F730" s="44"/>
      <c r="G730" s="44"/>
      <c r="H730" s="44"/>
      <c r="I730" s="44"/>
      <c r="J730" s="44"/>
      <c r="K730" s="44"/>
      <c r="L730" s="44"/>
      <c r="M730" s="44"/>
      <c r="N730" s="44"/>
      <c r="O730" s="44"/>
    </row>
    <row r="731" spans="1:15" ht="17.25" customHeight="1">
      <c r="A731" s="44"/>
      <c r="B731" s="44"/>
      <c r="C731" s="44"/>
      <c r="D731" s="44"/>
      <c r="E731" s="44"/>
      <c r="F731" s="44"/>
      <c r="G731" s="44"/>
      <c r="H731" s="44"/>
      <c r="I731" s="44"/>
      <c r="J731" s="44"/>
      <c r="K731" s="44"/>
      <c r="L731" s="44"/>
      <c r="M731" s="44"/>
      <c r="N731" s="44"/>
      <c r="O731" s="44"/>
    </row>
    <row r="732" spans="1:15" ht="17.25" customHeight="1">
      <c r="A732" s="44"/>
      <c r="B732" s="44"/>
      <c r="C732" s="44"/>
      <c r="D732" s="44"/>
      <c r="E732" s="44"/>
      <c r="F732" s="44"/>
      <c r="G732" s="44"/>
      <c r="H732" s="44"/>
      <c r="I732" s="44"/>
      <c r="J732" s="44"/>
      <c r="K732" s="44"/>
      <c r="L732" s="44"/>
      <c r="M732" s="44"/>
      <c r="N732" s="44"/>
      <c r="O732" s="44"/>
    </row>
    <row r="733" spans="1:15" ht="17.25" customHeight="1">
      <c r="A733" s="44"/>
      <c r="B733" s="44"/>
      <c r="C733" s="44"/>
      <c r="D733" s="44"/>
      <c r="E733" s="44"/>
      <c r="F733" s="44"/>
      <c r="G733" s="44"/>
      <c r="H733" s="44"/>
      <c r="I733" s="44"/>
      <c r="J733" s="44"/>
      <c r="K733" s="44"/>
      <c r="L733" s="44"/>
      <c r="M733" s="44"/>
      <c r="N733" s="44"/>
      <c r="O733" s="44"/>
    </row>
    <row r="734" spans="1:15" ht="17.25" customHeight="1">
      <c r="A734" s="44"/>
      <c r="B734" s="44"/>
      <c r="C734" s="44"/>
      <c r="D734" s="44"/>
      <c r="E734" s="44"/>
      <c r="F734" s="44"/>
      <c r="G734" s="44"/>
      <c r="H734" s="44"/>
      <c r="I734" s="44"/>
      <c r="J734" s="44"/>
      <c r="K734" s="44"/>
      <c r="L734" s="44"/>
      <c r="M734" s="44"/>
      <c r="N734" s="44"/>
      <c r="O734" s="44"/>
    </row>
    <row r="735" spans="1:15" ht="17.25" customHeight="1">
      <c r="A735" s="44"/>
      <c r="B735" s="44"/>
      <c r="C735" s="44"/>
      <c r="D735" s="44"/>
      <c r="E735" s="44"/>
      <c r="F735" s="44"/>
      <c r="G735" s="44"/>
      <c r="H735" s="44"/>
      <c r="I735" s="44"/>
      <c r="J735" s="44"/>
      <c r="K735" s="44"/>
      <c r="L735" s="44"/>
      <c r="M735" s="44"/>
      <c r="N735" s="44"/>
      <c r="O735" s="44"/>
    </row>
    <row r="736" spans="1:15" ht="17.25" customHeight="1">
      <c r="A736" s="44"/>
      <c r="B736" s="44"/>
      <c r="C736" s="44"/>
      <c r="D736" s="44"/>
      <c r="E736" s="44"/>
      <c r="F736" s="44"/>
      <c r="G736" s="44"/>
      <c r="H736" s="44"/>
      <c r="I736" s="44"/>
      <c r="J736" s="44"/>
      <c r="K736" s="44"/>
      <c r="L736" s="44"/>
      <c r="M736" s="44"/>
      <c r="N736" s="44"/>
      <c r="O736" s="44"/>
    </row>
    <row r="737" spans="1:15" ht="17.25" customHeight="1">
      <c r="A737" s="44"/>
      <c r="B737" s="44"/>
      <c r="C737" s="44"/>
      <c r="D737" s="44"/>
      <c r="E737" s="44"/>
      <c r="F737" s="44"/>
      <c r="G737" s="44"/>
      <c r="H737" s="44"/>
      <c r="I737" s="44"/>
      <c r="J737" s="44"/>
      <c r="K737" s="44"/>
      <c r="L737" s="44"/>
      <c r="M737" s="44"/>
      <c r="N737" s="44"/>
      <c r="O737" s="44"/>
    </row>
    <row r="738" spans="1:15" ht="17.25" customHeight="1">
      <c r="A738" s="44"/>
      <c r="B738" s="44"/>
      <c r="C738" s="44"/>
      <c r="D738" s="44"/>
      <c r="E738" s="44"/>
      <c r="F738" s="44"/>
      <c r="G738" s="44"/>
      <c r="H738" s="44"/>
      <c r="I738" s="44"/>
      <c r="J738" s="44"/>
      <c r="K738" s="44"/>
      <c r="L738" s="44"/>
      <c r="M738" s="44"/>
      <c r="N738" s="44"/>
      <c r="O738" s="44"/>
    </row>
    <row r="739" spans="1:15" ht="17.25" customHeight="1">
      <c r="A739" s="44"/>
      <c r="B739" s="44"/>
      <c r="C739" s="44"/>
      <c r="D739" s="44"/>
      <c r="E739" s="44"/>
      <c r="F739" s="44"/>
      <c r="G739" s="44"/>
      <c r="H739" s="44"/>
      <c r="I739" s="44"/>
      <c r="J739" s="44"/>
      <c r="K739" s="44"/>
      <c r="L739" s="44"/>
      <c r="M739" s="44"/>
      <c r="N739" s="44"/>
      <c r="O739" s="44"/>
    </row>
    <row r="740" spans="1:15" ht="17.25" customHeight="1">
      <c r="A740" s="44"/>
      <c r="B740" s="44"/>
      <c r="C740" s="44"/>
      <c r="D740" s="44"/>
      <c r="E740" s="44"/>
      <c r="F740" s="44"/>
      <c r="G740" s="44"/>
      <c r="H740" s="44"/>
      <c r="I740" s="44"/>
      <c r="J740" s="44"/>
      <c r="K740" s="44"/>
      <c r="L740" s="44"/>
      <c r="M740" s="44"/>
      <c r="N740" s="44"/>
      <c r="O740" s="44"/>
    </row>
    <row r="741" spans="1:15" ht="17.25" customHeight="1">
      <c r="A741" s="44"/>
      <c r="B741" s="44"/>
      <c r="C741" s="44"/>
      <c r="D741" s="44"/>
      <c r="E741" s="44"/>
      <c r="F741" s="44"/>
      <c r="G741" s="44"/>
      <c r="H741" s="44"/>
      <c r="I741" s="44"/>
      <c r="J741" s="44"/>
      <c r="K741" s="44"/>
      <c r="L741" s="44"/>
      <c r="M741" s="44"/>
      <c r="N741" s="44"/>
      <c r="O741" s="44"/>
    </row>
    <row r="742" spans="1:15" ht="17.25" customHeight="1">
      <c r="A742" s="44"/>
      <c r="B742" s="44"/>
      <c r="C742" s="44"/>
      <c r="D742" s="44"/>
      <c r="E742" s="44"/>
      <c r="F742" s="44"/>
      <c r="G742" s="44"/>
      <c r="H742" s="44"/>
      <c r="I742" s="44"/>
      <c r="J742" s="44"/>
      <c r="K742" s="44"/>
      <c r="L742" s="44"/>
      <c r="M742" s="44"/>
      <c r="N742" s="44"/>
      <c r="O742" s="44"/>
    </row>
    <row r="743" spans="1:15" ht="17.25" customHeight="1">
      <c r="A743" s="44"/>
      <c r="B743" s="44"/>
      <c r="C743" s="44"/>
      <c r="D743" s="44"/>
      <c r="E743" s="44"/>
      <c r="F743" s="44"/>
      <c r="G743" s="44"/>
      <c r="H743" s="44"/>
      <c r="I743" s="44"/>
      <c r="J743" s="44"/>
      <c r="K743" s="44"/>
      <c r="L743" s="44"/>
      <c r="M743" s="44"/>
      <c r="N743" s="44"/>
      <c r="O743" s="44"/>
    </row>
    <row r="744" spans="1:15" ht="17.25" customHeight="1">
      <c r="A744" s="44"/>
      <c r="B744" s="44"/>
      <c r="C744" s="44"/>
      <c r="D744" s="44"/>
      <c r="E744" s="44"/>
      <c r="F744" s="44"/>
      <c r="G744" s="44"/>
      <c r="H744" s="44"/>
      <c r="I744" s="44"/>
      <c r="J744" s="44"/>
      <c r="K744" s="44"/>
      <c r="L744" s="44"/>
      <c r="M744" s="44"/>
      <c r="N744" s="44"/>
      <c r="O744" s="44"/>
    </row>
    <row r="745" spans="1:15" ht="17.25" customHeight="1">
      <c r="A745" s="44"/>
      <c r="B745" s="44"/>
      <c r="C745" s="44"/>
      <c r="D745" s="44"/>
      <c r="E745" s="44"/>
      <c r="F745" s="44"/>
      <c r="G745" s="44"/>
      <c r="H745" s="44"/>
      <c r="I745" s="44"/>
      <c r="J745" s="44"/>
      <c r="K745" s="44"/>
      <c r="L745" s="44"/>
      <c r="M745" s="44"/>
      <c r="N745" s="44"/>
      <c r="O745" s="44"/>
    </row>
    <row r="746" spans="1:15" ht="17.25" customHeight="1">
      <c r="A746" s="44"/>
      <c r="B746" s="44"/>
      <c r="C746" s="44"/>
      <c r="D746" s="44"/>
      <c r="E746" s="44"/>
      <c r="F746" s="44"/>
      <c r="G746" s="44"/>
      <c r="H746" s="44"/>
      <c r="I746" s="44"/>
      <c r="J746" s="44"/>
      <c r="K746" s="44"/>
      <c r="L746" s="44"/>
      <c r="M746" s="44"/>
      <c r="N746" s="44"/>
      <c r="O746" s="44"/>
    </row>
    <row r="747" spans="1:15" ht="17.25" customHeight="1">
      <c r="A747" s="44"/>
      <c r="B747" s="44"/>
      <c r="C747" s="44"/>
      <c r="D747" s="44"/>
      <c r="E747" s="44"/>
      <c r="F747" s="44"/>
      <c r="G747" s="44"/>
      <c r="H747" s="44"/>
      <c r="I747" s="44"/>
      <c r="J747" s="44"/>
      <c r="K747" s="44"/>
      <c r="L747" s="44"/>
      <c r="M747" s="44"/>
      <c r="N747" s="44"/>
      <c r="O747" s="44"/>
    </row>
    <row r="748" spans="1:15" ht="17.25" customHeight="1">
      <c r="A748" s="44"/>
      <c r="B748" s="44"/>
      <c r="C748" s="44"/>
      <c r="D748" s="44"/>
      <c r="E748" s="44"/>
      <c r="F748" s="44"/>
      <c r="G748" s="44"/>
      <c r="H748" s="44"/>
      <c r="I748" s="44"/>
      <c r="J748" s="44"/>
      <c r="K748" s="44"/>
      <c r="L748" s="44"/>
      <c r="M748" s="44"/>
      <c r="N748" s="44"/>
      <c r="O748" s="44"/>
    </row>
    <row r="749" spans="1:15" ht="17.25" customHeight="1">
      <c r="A749" s="44"/>
      <c r="B749" s="44"/>
      <c r="C749" s="44"/>
      <c r="D749" s="44"/>
      <c r="E749" s="44"/>
      <c r="F749" s="44"/>
      <c r="G749" s="44"/>
      <c r="H749" s="44"/>
      <c r="I749" s="44"/>
      <c r="J749" s="44"/>
      <c r="K749" s="44"/>
      <c r="L749" s="44"/>
      <c r="M749" s="44"/>
      <c r="N749" s="44"/>
      <c r="O749" s="44"/>
    </row>
    <row r="750" spans="1:15" ht="17.25" customHeight="1">
      <c r="A750" s="44"/>
      <c r="B750" s="44"/>
      <c r="C750" s="44"/>
      <c r="D750" s="44"/>
      <c r="E750" s="44"/>
      <c r="F750" s="44"/>
      <c r="G750" s="44"/>
      <c r="H750" s="44"/>
      <c r="I750" s="44"/>
      <c r="J750" s="44"/>
      <c r="K750" s="44"/>
      <c r="L750" s="44"/>
      <c r="M750" s="44"/>
      <c r="N750" s="44"/>
      <c r="O750" s="44"/>
    </row>
    <row r="751" spans="1:15" ht="17.25" customHeight="1">
      <c r="A751" s="44"/>
      <c r="B751" s="44"/>
      <c r="C751" s="44"/>
      <c r="D751" s="44"/>
      <c r="E751" s="44"/>
      <c r="F751" s="44"/>
      <c r="G751" s="44"/>
      <c r="H751" s="44"/>
      <c r="I751" s="44"/>
      <c r="J751" s="44"/>
      <c r="K751" s="44"/>
      <c r="L751" s="44"/>
      <c r="M751" s="44"/>
      <c r="N751" s="44"/>
      <c r="O751" s="44"/>
    </row>
    <row r="752" spans="1:15" ht="17.25" customHeight="1">
      <c r="A752" s="44"/>
      <c r="B752" s="44"/>
      <c r="C752" s="44"/>
      <c r="D752" s="44"/>
      <c r="E752" s="44"/>
      <c r="F752" s="44"/>
      <c r="G752" s="44"/>
      <c r="H752" s="44"/>
      <c r="I752" s="44"/>
      <c r="J752" s="44"/>
      <c r="K752" s="44"/>
      <c r="L752" s="44"/>
      <c r="M752" s="44"/>
      <c r="N752" s="44"/>
      <c r="O752" s="44"/>
    </row>
    <row r="753" spans="1:15" ht="17.25" customHeight="1">
      <c r="A753" s="44"/>
      <c r="B753" s="44"/>
      <c r="C753" s="44"/>
      <c r="D753" s="44"/>
      <c r="E753" s="44"/>
      <c r="F753" s="44"/>
      <c r="G753" s="44"/>
      <c r="H753" s="44"/>
      <c r="I753" s="44"/>
      <c r="J753" s="44"/>
      <c r="K753" s="44"/>
      <c r="L753" s="44"/>
      <c r="M753" s="44"/>
      <c r="N753" s="44"/>
      <c r="O753" s="44"/>
    </row>
    <row r="754" spans="1:15" ht="17.25" customHeight="1">
      <c r="A754" s="44"/>
      <c r="B754" s="44"/>
      <c r="C754" s="44"/>
      <c r="D754" s="44"/>
      <c r="E754" s="44"/>
      <c r="F754" s="44"/>
      <c r="G754" s="44"/>
      <c r="H754" s="44"/>
      <c r="I754" s="44"/>
      <c r="J754" s="44"/>
      <c r="K754" s="44"/>
      <c r="L754" s="44"/>
      <c r="M754" s="44"/>
      <c r="N754" s="44"/>
      <c r="O754" s="44"/>
    </row>
    <row r="755" spans="1:15" ht="17.25" customHeight="1">
      <c r="A755" s="44"/>
      <c r="B755" s="44"/>
      <c r="C755" s="44"/>
      <c r="D755" s="44"/>
      <c r="E755" s="44"/>
      <c r="F755" s="44"/>
      <c r="G755" s="44"/>
      <c r="H755" s="44"/>
      <c r="I755" s="44"/>
      <c r="J755" s="44"/>
      <c r="K755" s="44"/>
      <c r="L755" s="44"/>
      <c r="M755" s="44"/>
      <c r="N755" s="44"/>
      <c r="O755" s="44"/>
    </row>
    <row r="756" spans="1:15" ht="17.25" customHeight="1">
      <c r="A756" s="44"/>
      <c r="B756" s="44"/>
      <c r="C756" s="44"/>
      <c r="D756" s="44"/>
      <c r="E756" s="44"/>
      <c r="F756" s="44"/>
      <c r="G756" s="44"/>
      <c r="H756" s="44"/>
      <c r="I756" s="44"/>
      <c r="J756" s="44"/>
      <c r="K756" s="44"/>
      <c r="L756" s="44"/>
      <c r="M756" s="44"/>
      <c r="N756" s="44"/>
      <c r="O756" s="44"/>
    </row>
    <row r="757" spans="1:15" ht="17.25" customHeight="1">
      <c r="A757" s="44"/>
      <c r="B757" s="44"/>
      <c r="C757" s="44"/>
      <c r="D757" s="44"/>
      <c r="E757" s="44"/>
      <c r="F757" s="44"/>
      <c r="G757" s="44"/>
      <c r="H757" s="44"/>
      <c r="I757" s="44"/>
      <c r="J757" s="44"/>
      <c r="K757" s="44"/>
      <c r="L757" s="44"/>
      <c r="M757" s="44"/>
      <c r="N757" s="44"/>
      <c r="O757" s="44"/>
    </row>
    <row r="758" spans="1:15" ht="17.25" customHeight="1">
      <c r="A758" s="44"/>
      <c r="B758" s="44"/>
      <c r="C758" s="44"/>
      <c r="D758" s="44"/>
      <c r="E758" s="44"/>
      <c r="F758" s="44"/>
      <c r="G758" s="44"/>
      <c r="H758" s="44"/>
      <c r="I758" s="44"/>
      <c r="J758" s="44"/>
      <c r="K758" s="44"/>
      <c r="L758" s="44"/>
      <c r="M758" s="44"/>
      <c r="N758" s="44"/>
      <c r="O758" s="44"/>
    </row>
    <row r="759" spans="1:15" ht="17.25" customHeight="1">
      <c r="A759" s="44"/>
      <c r="B759" s="44"/>
      <c r="C759" s="44"/>
      <c r="D759" s="44"/>
      <c r="E759" s="44"/>
      <c r="F759" s="44"/>
      <c r="G759" s="44"/>
      <c r="H759" s="44"/>
      <c r="I759" s="44"/>
      <c r="J759" s="44"/>
      <c r="K759" s="44"/>
      <c r="L759" s="44"/>
      <c r="M759" s="44"/>
      <c r="N759" s="44"/>
      <c r="O759" s="44"/>
    </row>
    <row r="760" spans="1:15" ht="17.25" customHeight="1">
      <c r="A760" s="44"/>
      <c r="B760" s="44"/>
      <c r="C760" s="44"/>
      <c r="D760" s="44"/>
      <c r="E760" s="44"/>
      <c r="F760" s="44"/>
      <c r="G760" s="44"/>
      <c r="H760" s="44"/>
      <c r="I760" s="44"/>
      <c r="J760" s="44"/>
      <c r="K760" s="44"/>
      <c r="L760" s="44"/>
      <c r="M760" s="44"/>
      <c r="N760" s="44"/>
      <c r="O760" s="44"/>
    </row>
    <row r="761" spans="1:15" ht="17.25" customHeight="1">
      <c r="A761" s="44"/>
      <c r="B761" s="44"/>
      <c r="C761" s="44"/>
      <c r="D761" s="44"/>
      <c r="E761" s="44"/>
      <c r="F761" s="44"/>
      <c r="G761" s="44"/>
      <c r="H761" s="44"/>
      <c r="I761" s="44"/>
      <c r="J761" s="44"/>
      <c r="K761" s="44"/>
      <c r="L761" s="44"/>
      <c r="M761" s="44"/>
      <c r="N761" s="44"/>
      <c r="O761" s="44"/>
    </row>
    <row r="762" spans="1:15" ht="17.25" customHeight="1">
      <c r="A762" s="44"/>
      <c r="B762" s="44"/>
      <c r="C762" s="44"/>
      <c r="D762" s="44"/>
      <c r="E762" s="44"/>
      <c r="F762" s="44"/>
      <c r="G762" s="44"/>
      <c r="H762" s="44"/>
      <c r="I762" s="44"/>
      <c r="J762" s="44"/>
      <c r="K762" s="44"/>
      <c r="L762" s="44"/>
      <c r="M762" s="44"/>
      <c r="N762" s="44"/>
      <c r="O762" s="44"/>
    </row>
    <row r="763" spans="1:15" ht="17.25" customHeight="1">
      <c r="A763" s="44"/>
      <c r="B763" s="44"/>
      <c r="C763" s="44"/>
      <c r="D763" s="44"/>
      <c r="E763" s="44"/>
      <c r="F763" s="44"/>
      <c r="G763" s="44"/>
      <c r="H763" s="44"/>
      <c r="I763" s="44"/>
      <c r="J763" s="44"/>
      <c r="K763" s="44"/>
      <c r="L763" s="44"/>
      <c r="M763" s="44"/>
      <c r="N763" s="44"/>
      <c r="O763" s="44"/>
    </row>
    <row r="764" spans="1:15" ht="17.25" customHeight="1">
      <c r="A764" s="44"/>
      <c r="B764" s="44"/>
      <c r="C764" s="44"/>
      <c r="D764" s="44"/>
      <c r="E764" s="44"/>
      <c r="F764" s="44"/>
      <c r="G764" s="44"/>
      <c r="H764" s="44"/>
      <c r="I764" s="44"/>
      <c r="J764" s="44"/>
      <c r="K764" s="44"/>
      <c r="L764" s="44"/>
      <c r="M764" s="44"/>
      <c r="N764" s="44"/>
      <c r="O764" s="44"/>
    </row>
    <row r="765" spans="1:15" ht="17.25" customHeight="1">
      <c r="A765" s="44"/>
      <c r="B765" s="44"/>
      <c r="C765" s="44"/>
      <c r="D765" s="44"/>
      <c r="E765" s="44"/>
      <c r="F765" s="44"/>
      <c r="G765" s="44"/>
      <c r="H765" s="44"/>
      <c r="I765" s="44"/>
      <c r="J765" s="44"/>
      <c r="K765" s="44"/>
      <c r="L765" s="44"/>
      <c r="M765" s="44"/>
      <c r="N765" s="44"/>
      <c r="O765" s="44"/>
    </row>
    <row r="766" spans="1:15" ht="17.25" customHeight="1">
      <c r="A766" s="44"/>
      <c r="B766" s="44"/>
      <c r="C766" s="44"/>
      <c r="D766" s="44"/>
      <c r="E766" s="44"/>
      <c r="F766" s="44"/>
      <c r="G766" s="44"/>
      <c r="H766" s="44"/>
      <c r="I766" s="44"/>
      <c r="J766" s="44"/>
      <c r="K766" s="44"/>
      <c r="L766" s="44"/>
      <c r="M766" s="44"/>
      <c r="N766" s="44"/>
      <c r="O766" s="44"/>
    </row>
    <row r="767" spans="1:15" ht="17.25" customHeight="1">
      <c r="A767" s="44"/>
      <c r="B767" s="44"/>
      <c r="C767" s="44"/>
      <c r="D767" s="44"/>
      <c r="E767" s="44"/>
      <c r="F767" s="44"/>
      <c r="G767" s="44"/>
      <c r="H767" s="44"/>
      <c r="I767" s="44"/>
      <c r="J767" s="44"/>
      <c r="K767" s="44"/>
      <c r="L767" s="44"/>
      <c r="M767" s="44"/>
      <c r="N767" s="44"/>
      <c r="O767" s="44"/>
    </row>
    <row r="768" spans="1:15" ht="17.25" customHeight="1">
      <c r="A768" s="44"/>
      <c r="B768" s="44"/>
      <c r="C768" s="44"/>
      <c r="D768" s="44"/>
      <c r="E768" s="44"/>
      <c r="F768" s="44"/>
      <c r="G768" s="44"/>
      <c r="H768" s="44"/>
      <c r="I768" s="44"/>
      <c r="J768" s="44"/>
      <c r="K768" s="44"/>
      <c r="L768" s="44"/>
      <c r="M768" s="44"/>
      <c r="N768" s="44"/>
      <c r="O768" s="44"/>
    </row>
    <row r="769" spans="1:15" ht="17.25" customHeight="1">
      <c r="A769" s="44"/>
      <c r="B769" s="44"/>
      <c r="C769" s="44"/>
      <c r="D769" s="44"/>
      <c r="E769" s="44"/>
      <c r="F769" s="44"/>
      <c r="G769" s="44"/>
      <c r="H769" s="44"/>
      <c r="I769" s="44"/>
      <c r="J769" s="44"/>
      <c r="K769" s="44"/>
      <c r="L769" s="44"/>
      <c r="M769" s="44"/>
      <c r="N769" s="44"/>
      <c r="O769" s="44"/>
    </row>
    <row r="770" spans="1:15" ht="17.25" customHeight="1">
      <c r="A770" s="44"/>
      <c r="B770" s="44"/>
      <c r="C770" s="44"/>
      <c r="D770" s="44"/>
      <c r="E770" s="44"/>
      <c r="F770" s="44"/>
      <c r="G770" s="44"/>
      <c r="H770" s="44"/>
      <c r="I770" s="44"/>
      <c r="J770" s="44"/>
      <c r="K770" s="44"/>
      <c r="L770" s="44"/>
      <c r="M770" s="44"/>
      <c r="N770" s="44"/>
      <c r="O770" s="44"/>
    </row>
    <row r="771" spans="1:15" ht="17.25" customHeight="1">
      <c r="A771" s="44"/>
      <c r="B771" s="44"/>
      <c r="C771" s="44"/>
      <c r="D771" s="44"/>
      <c r="E771" s="44"/>
      <c r="F771" s="44"/>
      <c r="G771" s="44"/>
      <c r="H771" s="44"/>
      <c r="I771" s="44"/>
      <c r="J771" s="44"/>
      <c r="K771" s="44"/>
      <c r="L771" s="44"/>
      <c r="M771" s="44"/>
      <c r="N771" s="44"/>
      <c r="O771" s="44"/>
    </row>
    <row r="772" spans="1:15" ht="17.25" customHeight="1">
      <c r="A772" s="44"/>
      <c r="B772" s="44"/>
      <c r="C772" s="44"/>
      <c r="D772" s="44"/>
      <c r="E772" s="44"/>
      <c r="F772" s="44"/>
      <c r="G772" s="44"/>
      <c r="H772" s="44"/>
      <c r="I772" s="44"/>
      <c r="J772" s="44"/>
      <c r="K772" s="44"/>
      <c r="L772" s="44"/>
      <c r="M772" s="44"/>
      <c r="N772" s="44"/>
      <c r="O772" s="44"/>
    </row>
    <row r="773" spans="1:15" ht="17.25" customHeight="1">
      <c r="A773" s="44"/>
      <c r="B773" s="44"/>
      <c r="C773" s="44"/>
      <c r="D773" s="44"/>
      <c r="E773" s="44"/>
      <c r="F773" s="44"/>
      <c r="G773" s="44"/>
      <c r="H773" s="44"/>
      <c r="I773" s="44"/>
      <c r="J773" s="44"/>
      <c r="K773" s="44"/>
      <c r="L773" s="44"/>
      <c r="M773" s="44"/>
      <c r="N773" s="44"/>
      <c r="O773" s="44"/>
    </row>
    <row r="774" spans="1:15" ht="17.25" customHeight="1">
      <c r="A774" s="44"/>
      <c r="B774" s="44"/>
      <c r="C774" s="44"/>
      <c r="D774" s="44"/>
      <c r="E774" s="44"/>
      <c r="F774" s="44"/>
      <c r="G774" s="44"/>
      <c r="H774" s="44"/>
      <c r="I774" s="44"/>
      <c r="J774" s="44"/>
      <c r="K774" s="44"/>
      <c r="L774" s="44"/>
      <c r="M774" s="44"/>
      <c r="N774" s="44"/>
      <c r="O774" s="44"/>
    </row>
    <row r="775" spans="1:15" ht="17.25" customHeight="1">
      <c r="A775" s="44"/>
      <c r="B775" s="44"/>
      <c r="C775" s="44"/>
      <c r="D775" s="44"/>
      <c r="E775" s="44"/>
      <c r="F775" s="44"/>
      <c r="G775" s="44"/>
      <c r="H775" s="44"/>
      <c r="I775" s="44"/>
      <c r="J775" s="44"/>
      <c r="K775" s="44"/>
      <c r="L775" s="44"/>
      <c r="M775" s="44"/>
      <c r="N775" s="44"/>
      <c r="O775" s="44"/>
    </row>
    <row r="776" spans="1:15" ht="17.25" customHeight="1">
      <c r="A776" s="44"/>
      <c r="B776" s="44"/>
      <c r="C776" s="44"/>
      <c r="D776" s="44"/>
      <c r="E776" s="44"/>
      <c r="F776" s="44"/>
      <c r="G776" s="44"/>
      <c r="H776" s="44"/>
      <c r="I776" s="44"/>
      <c r="J776" s="44"/>
      <c r="K776" s="44"/>
      <c r="L776" s="44"/>
      <c r="M776" s="44"/>
      <c r="N776" s="44"/>
      <c r="O776" s="44"/>
    </row>
    <row r="777" spans="1:15" ht="17.25" customHeight="1">
      <c r="A777" s="44"/>
      <c r="B777" s="44"/>
      <c r="C777" s="44"/>
      <c r="D777" s="44"/>
      <c r="E777" s="44"/>
      <c r="F777" s="44"/>
      <c r="G777" s="44"/>
      <c r="H777" s="44"/>
      <c r="I777" s="44"/>
      <c r="J777" s="44"/>
      <c r="K777" s="44"/>
      <c r="L777" s="44"/>
      <c r="M777" s="44"/>
      <c r="N777" s="44"/>
      <c r="O777" s="44"/>
    </row>
    <row r="778" spans="1:15" ht="17.25" customHeight="1">
      <c r="A778" s="44"/>
      <c r="B778" s="44"/>
      <c r="C778" s="44"/>
      <c r="D778" s="44"/>
      <c r="E778" s="44"/>
      <c r="F778" s="44"/>
      <c r="G778" s="44"/>
      <c r="H778" s="44"/>
      <c r="I778" s="44"/>
      <c r="J778" s="44"/>
      <c r="K778" s="44"/>
      <c r="L778" s="44"/>
      <c r="M778" s="44"/>
      <c r="N778" s="44"/>
      <c r="O778" s="44"/>
    </row>
    <row r="779" spans="1:15" ht="17.25" customHeight="1">
      <c r="A779" s="44"/>
      <c r="B779" s="44"/>
      <c r="C779" s="44"/>
      <c r="D779" s="44"/>
      <c r="E779" s="44"/>
      <c r="F779" s="44"/>
      <c r="G779" s="44"/>
      <c r="H779" s="44"/>
      <c r="I779" s="44"/>
      <c r="J779" s="44"/>
      <c r="K779" s="44"/>
      <c r="L779" s="44"/>
      <c r="M779" s="44"/>
      <c r="N779" s="44"/>
      <c r="O779" s="44"/>
    </row>
    <row r="780" spans="1:15" ht="17.25" customHeight="1">
      <c r="A780" s="44"/>
      <c r="B780" s="44"/>
      <c r="C780" s="44"/>
      <c r="D780" s="44"/>
      <c r="E780" s="44"/>
      <c r="F780" s="44"/>
      <c r="G780" s="44"/>
      <c r="H780" s="44"/>
      <c r="I780" s="44"/>
      <c r="J780" s="44"/>
      <c r="K780" s="44"/>
      <c r="L780" s="44"/>
      <c r="M780" s="44"/>
      <c r="N780" s="44"/>
      <c r="O780" s="44"/>
    </row>
    <row r="781" spans="1:15" ht="17.25" customHeight="1">
      <c r="A781" s="44"/>
      <c r="B781" s="44"/>
      <c r="C781" s="44"/>
      <c r="D781" s="44"/>
      <c r="E781" s="44"/>
      <c r="F781" s="44"/>
      <c r="G781" s="44"/>
      <c r="H781" s="44"/>
      <c r="I781" s="44"/>
      <c r="J781" s="44"/>
      <c r="K781" s="44"/>
      <c r="L781" s="44"/>
      <c r="M781" s="44"/>
      <c r="N781" s="44"/>
      <c r="O781" s="44"/>
    </row>
    <row r="782" spans="1:15" ht="17.25" customHeight="1">
      <c r="A782" s="44"/>
      <c r="B782" s="44"/>
      <c r="C782" s="44"/>
      <c r="D782" s="44"/>
      <c r="E782" s="44"/>
      <c r="F782" s="44"/>
      <c r="G782" s="44"/>
      <c r="H782" s="44"/>
      <c r="I782" s="44"/>
      <c r="J782" s="44"/>
      <c r="K782" s="44"/>
      <c r="L782" s="44"/>
      <c r="M782" s="44"/>
      <c r="N782" s="44"/>
      <c r="O782" s="44"/>
    </row>
    <row r="783" spans="1:15" ht="17.25" customHeight="1">
      <c r="A783" s="44"/>
      <c r="B783" s="44"/>
      <c r="C783" s="44"/>
      <c r="D783" s="44"/>
      <c r="E783" s="44"/>
      <c r="F783" s="44"/>
      <c r="G783" s="44"/>
      <c r="H783" s="44"/>
      <c r="I783" s="44"/>
      <c r="J783" s="44"/>
      <c r="K783" s="44"/>
      <c r="L783" s="44"/>
      <c r="M783" s="44"/>
      <c r="N783" s="44"/>
      <c r="O783" s="44"/>
    </row>
    <row r="784" spans="1:15" ht="17.25" customHeight="1">
      <c r="A784" s="44"/>
      <c r="B784" s="44"/>
      <c r="C784" s="44"/>
      <c r="D784" s="44"/>
      <c r="E784" s="44"/>
      <c r="F784" s="44"/>
      <c r="G784" s="44"/>
      <c r="H784" s="44"/>
      <c r="I784" s="44"/>
      <c r="J784" s="44"/>
      <c r="K784" s="44"/>
      <c r="L784" s="44"/>
      <c r="M784" s="44"/>
      <c r="N784" s="44"/>
      <c r="O784" s="44"/>
    </row>
    <row r="785" spans="1:15" ht="17.25" customHeight="1">
      <c r="A785" s="44"/>
      <c r="B785" s="44"/>
      <c r="C785" s="44"/>
      <c r="D785" s="44"/>
      <c r="E785" s="44"/>
      <c r="F785" s="44"/>
      <c r="G785" s="44"/>
      <c r="H785" s="44"/>
      <c r="I785" s="44"/>
      <c r="J785" s="44"/>
      <c r="K785" s="44"/>
      <c r="L785" s="44"/>
      <c r="M785" s="44"/>
      <c r="N785" s="44"/>
      <c r="O785" s="44"/>
    </row>
    <row r="786" spans="1:15" ht="17.25" customHeight="1">
      <c r="A786" s="44"/>
      <c r="B786" s="44"/>
      <c r="C786" s="44"/>
      <c r="D786" s="44"/>
      <c r="E786" s="44"/>
      <c r="F786" s="44"/>
      <c r="G786" s="44"/>
      <c r="H786" s="44"/>
      <c r="I786" s="44"/>
      <c r="J786" s="44"/>
      <c r="K786" s="44"/>
      <c r="L786" s="44"/>
      <c r="M786" s="44"/>
      <c r="N786" s="44"/>
      <c r="O786" s="44"/>
    </row>
    <row r="787" spans="1:15" ht="17.25" customHeight="1">
      <c r="A787" s="44"/>
      <c r="B787" s="44"/>
      <c r="C787" s="44"/>
      <c r="D787" s="44"/>
      <c r="E787" s="44"/>
      <c r="F787" s="44"/>
      <c r="G787" s="44"/>
      <c r="H787" s="44"/>
      <c r="I787" s="44"/>
      <c r="J787" s="44"/>
      <c r="K787" s="44"/>
      <c r="L787" s="44"/>
      <c r="M787" s="44"/>
      <c r="N787" s="44"/>
      <c r="O787" s="44"/>
    </row>
    <row r="788" spans="1:15" ht="17.25" customHeight="1">
      <c r="A788" s="44"/>
      <c r="B788" s="44"/>
      <c r="C788" s="44"/>
      <c r="D788" s="44"/>
      <c r="E788" s="44"/>
      <c r="F788" s="44"/>
      <c r="G788" s="44"/>
      <c r="H788" s="44"/>
      <c r="I788" s="44"/>
      <c r="J788" s="44"/>
      <c r="K788" s="44"/>
      <c r="L788" s="44"/>
      <c r="M788" s="44"/>
      <c r="N788" s="44"/>
      <c r="O788" s="44"/>
    </row>
    <row r="789" spans="1:15" ht="17.25" customHeight="1">
      <c r="A789" s="44"/>
      <c r="B789" s="44"/>
      <c r="C789" s="44"/>
      <c r="D789" s="44"/>
      <c r="E789" s="44"/>
      <c r="F789" s="44"/>
      <c r="G789" s="44"/>
      <c r="H789" s="44"/>
      <c r="I789" s="44"/>
      <c r="J789" s="44"/>
      <c r="K789" s="44"/>
      <c r="L789" s="44"/>
      <c r="M789" s="44"/>
      <c r="N789" s="44"/>
      <c r="O789" s="44"/>
    </row>
    <row r="790" spans="1:15" ht="17.25" customHeight="1">
      <c r="A790" s="44"/>
      <c r="B790" s="44"/>
      <c r="C790" s="44"/>
      <c r="D790" s="44"/>
      <c r="E790" s="44"/>
      <c r="F790" s="44"/>
      <c r="G790" s="44"/>
      <c r="H790" s="44"/>
      <c r="I790" s="44"/>
      <c r="J790" s="44"/>
      <c r="K790" s="44"/>
      <c r="L790" s="44"/>
      <c r="M790" s="44"/>
      <c r="N790" s="44"/>
      <c r="O790" s="44"/>
    </row>
    <row r="791" spans="1:15" ht="17.25" customHeight="1">
      <c r="A791" s="44"/>
      <c r="B791" s="44"/>
      <c r="C791" s="44"/>
      <c r="D791" s="44"/>
      <c r="E791" s="44"/>
      <c r="F791" s="44"/>
      <c r="G791" s="44"/>
      <c r="H791" s="44"/>
      <c r="I791" s="44"/>
      <c r="J791" s="44"/>
      <c r="K791" s="44"/>
      <c r="L791" s="44"/>
      <c r="M791" s="44"/>
      <c r="N791" s="44"/>
      <c r="O791" s="44"/>
    </row>
    <row r="792" spans="1:15" ht="17.25" customHeight="1">
      <c r="A792" s="44"/>
      <c r="B792" s="44"/>
      <c r="C792" s="44"/>
      <c r="D792" s="44"/>
      <c r="E792" s="44"/>
      <c r="F792" s="44"/>
      <c r="G792" s="44"/>
      <c r="H792" s="44"/>
      <c r="I792" s="44"/>
      <c r="J792" s="44"/>
      <c r="K792" s="44"/>
      <c r="L792" s="44"/>
      <c r="M792" s="44"/>
      <c r="N792" s="44"/>
      <c r="O792" s="44"/>
    </row>
    <row r="793" spans="1:15" ht="17.25" customHeight="1">
      <c r="A793" s="44"/>
      <c r="B793" s="44"/>
      <c r="C793" s="44"/>
      <c r="D793" s="44"/>
      <c r="E793" s="44"/>
      <c r="F793" s="44"/>
      <c r="G793" s="44"/>
      <c r="H793" s="44"/>
      <c r="I793" s="44"/>
      <c r="J793" s="44"/>
      <c r="K793" s="44"/>
      <c r="L793" s="44"/>
      <c r="M793" s="44"/>
      <c r="N793" s="44"/>
      <c r="O793" s="44"/>
    </row>
    <row r="794" spans="1:15" ht="17.25" customHeight="1">
      <c r="A794" s="44"/>
      <c r="B794" s="44"/>
      <c r="C794" s="44"/>
      <c r="D794" s="44"/>
      <c r="E794" s="44"/>
      <c r="F794" s="44"/>
      <c r="G794" s="44"/>
      <c r="H794" s="44"/>
      <c r="I794" s="44"/>
      <c r="J794" s="44"/>
      <c r="K794" s="44"/>
      <c r="L794" s="44"/>
      <c r="M794" s="44"/>
      <c r="N794" s="44"/>
      <c r="O794" s="44"/>
    </row>
    <row r="795" spans="1:15" ht="17.25" customHeight="1">
      <c r="A795" s="44"/>
      <c r="B795" s="44"/>
      <c r="C795" s="44"/>
      <c r="D795" s="44"/>
      <c r="E795" s="44"/>
      <c r="F795" s="44"/>
      <c r="G795" s="44"/>
      <c r="H795" s="44"/>
      <c r="I795" s="44"/>
      <c r="J795" s="44"/>
      <c r="K795" s="44"/>
      <c r="L795" s="44"/>
      <c r="M795" s="44"/>
      <c r="N795" s="44"/>
      <c r="O795" s="44"/>
    </row>
    <row r="796" spans="1:15" ht="17.25" customHeight="1">
      <c r="A796" s="44"/>
      <c r="B796" s="44"/>
      <c r="C796" s="44"/>
      <c r="D796" s="44"/>
      <c r="E796" s="44"/>
      <c r="F796" s="44"/>
      <c r="G796" s="44"/>
      <c r="H796" s="44"/>
      <c r="I796" s="44"/>
      <c r="J796" s="44"/>
      <c r="K796" s="44"/>
      <c r="L796" s="44"/>
      <c r="M796" s="44"/>
      <c r="N796" s="44"/>
      <c r="O796" s="44"/>
    </row>
    <row r="797" spans="1:15" ht="17.25" customHeight="1">
      <c r="A797" s="44"/>
      <c r="B797" s="44"/>
      <c r="C797" s="44"/>
      <c r="D797" s="44"/>
      <c r="E797" s="44"/>
      <c r="F797" s="44"/>
      <c r="G797" s="44"/>
      <c r="H797" s="44"/>
      <c r="I797" s="44"/>
      <c r="J797" s="44"/>
      <c r="K797" s="44"/>
      <c r="L797" s="44"/>
      <c r="M797" s="44"/>
      <c r="N797" s="44"/>
      <c r="O797" s="44"/>
    </row>
    <row r="798" spans="1:15" ht="17.25" customHeight="1">
      <c r="A798" s="44"/>
      <c r="B798" s="44"/>
      <c r="C798" s="44"/>
      <c r="D798" s="44"/>
      <c r="E798" s="44"/>
      <c r="F798" s="44"/>
      <c r="G798" s="44"/>
      <c r="H798" s="44"/>
      <c r="I798" s="44"/>
      <c r="J798" s="44"/>
      <c r="K798" s="44"/>
      <c r="L798" s="44"/>
      <c r="M798" s="44"/>
      <c r="N798" s="44"/>
      <c r="O798" s="44"/>
    </row>
    <row r="799" spans="1:15" ht="17.25" customHeight="1">
      <c r="A799" s="44"/>
      <c r="B799" s="44"/>
      <c r="C799" s="44"/>
      <c r="D799" s="44"/>
      <c r="E799" s="44"/>
      <c r="F799" s="44"/>
      <c r="G799" s="44"/>
      <c r="H799" s="44"/>
      <c r="I799" s="44"/>
      <c r="J799" s="44"/>
      <c r="K799" s="44"/>
      <c r="L799" s="44"/>
      <c r="M799" s="44"/>
      <c r="N799" s="44"/>
      <c r="O799" s="44"/>
    </row>
    <row r="800" spans="1:15" ht="17.25" customHeight="1">
      <c r="A800" s="44"/>
      <c r="B800" s="44"/>
      <c r="C800" s="44"/>
      <c r="D800" s="44"/>
      <c r="E800" s="44"/>
      <c r="F800" s="44"/>
      <c r="G800" s="44"/>
      <c r="H800" s="44"/>
      <c r="I800" s="44"/>
      <c r="J800" s="44"/>
      <c r="K800" s="44"/>
      <c r="L800" s="44"/>
      <c r="M800" s="44"/>
      <c r="N800" s="44"/>
      <c r="O800" s="44"/>
    </row>
    <row r="801" spans="1:15" ht="17.25" customHeight="1">
      <c r="A801" s="44"/>
      <c r="B801" s="44"/>
      <c r="C801" s="44"/>
      <c r="D801" s="44"/>
      <c r="E801" s="44"/>
      <c r="F801" s="44"/>
      <c r="G801" s="44"/>
      <c r="H801" s="44"/>
      <c r="I801" s="44"/>
      <c r="J801" s="44"/>
      <c r="K801" s="44"/>
      <c r="L801" s="44"/>
      <c r="M801" s="44"/>
      <c r="N801" s="44"/>
      <c r="O801" s="44"/>
    </row>
    <row r="802" spans="1:15" ht="17.25" customHeight="1">
      <c r="A802" s="44"/>
      <c r="B802" s="44"/>
      <c r="C802" s="44"/>
      <c r="D802" s="44"/>
      <c r="E802" s="44"/>
      <c r="F802" s="44"/>
      <c r="G802" s="44"/>
      <c r="H802" s="44"/>
      <c r="I802" s="44"/>
      <c r="J802" s="44"/>
      <c r="K802" s="44"/>
      <c r="L802" s="44"/>
      <c r="M802" s="44"/>
      <c r="N802" s="44"/>
      <c r="O802" s="44"/>
    </row>
    <row r="803" spans="1:15" ht="17.25" customHeight="1">
      <c r="A803" s="44"/>
      <c r="B803" s="44"/>
      <c r="C803" s="44"/>
      <c r="D803" s="44"/>
      <c r="E803" s="44"/>
      <c r="F803" s="44"/>
      <c r="G803" s="44"/>
      <c r="H803" s="44"/>
      <c r="I803" s="44"/>
      <c r="J803" s="44"/>
      <c r="K803" s="44"/>
      <c r="L803" s="44"/>
      <c r="M803" s="44"/>
      <c r="N803" s="44"/>
      <c r="O803" s="44"/>
    </row>
    <row r="804" spans="1:15" ht="17.25" customHeight="1">
      <c r="A804" s="44"/>
      <c r="B804" s="44"/>
      <c r="C804" s="44"/>
      <c r="D804" s="44"/>
      <c r="E804" s="44"/>
      <c r="F804" s="44"/>
      <c r="G804" s="44"/>
      <c r="H804" s="44"/>
      <c r="I804" s="44"/>
      <c r="J804" s="44"/>
      <c r="K804" s="44"/>
      <c r="L804" s="44"/>
      <c r="M804" s="44"/>
      <c r="N804" s="44"/>
      <c r="O804" s="44"/>
    </row>
    <row r="805" spans="1:15" ht="17.25" customHeight="1">
      <c r="A805" s="44"/>
      <c r="B805" s="44"/>
      <c r="C805" s="44"/>
      <c r="D805" s="44"/>
      <c r="E805" s="44"/>
      <c r="F805" s="44"/>
      <c r="G805" s="44"/>
      <c r="H805" s="44"/>
      <c r="I805" s="44"/>
      <c r="J805" s="44"/>
      <c r="K805" s="44"/>
      <c r="L805" s="44"/>
      <c r="M805" s="44"/>
      <c r="N805" s="44"/>
      <c r="O805" s="44"/>
    </row>
    <row r="806" spans="1:15" ht="17.25" customHeight="1">
      <c r="A806" s="44"/>
      <c r="B806" s="44"/>
      <c r="C806" s="44"/>
      <c r="D806" s="44"/>
      <c r="E806" s="44"/>
      <c r="F806" s="44"/>
      <c r="G806" s="44"/>
      <c r="H806" s="44"/>
      <c r="I806" s="44"/>
      <c r="J806" s="44"/>
      <c r="K806" s="44"/>
      <c r="L806" s="44"/>
      <c r="M806" s="44"/>
      <c r="N806" s="44"/>
      <c r="O806" s="44"/>
    </row>
    <row r="807" spans="1:15" ht="17.25" customHeight="1">
      <c r="A807" s="44"/>
      <c r="B807" s="44"/>
      <c r="C807" s="44"/>
      <c r="D807" s="44"/>
      <c r="E807" s="44"/>
      <c r="F807" s="44"/>
      <c r="G807" s="44"/>
      <c r="H807" s="44"/>
      <c r="I807" s="44"/>
      <c r="J807" s="44"/>
      <c r="K807" s="44"/>
      <c r="L807" s="44"/>
      <c r="M807" s="44"/>
      <c r="N807" s="44"/>
      <c r="O807" s="44"/>
    </row>
    <row r="808" spans="1:15" ht="17.25" customHeight="1">
      <c r="A808" s="44"/>
      <c r="B808" s="44"/>
      <c r="C808" s="44"/>
      <c r="D808" s="44"/>
      <c r="E808" s="44"/>
      <c r="F808" s="44"/>
      <c r="G808" s="44"/>
      <c r="H808" s="44"/>
      <c r="I808" s="44"/>
      <c r="J808" s="44"/>
      <c r="K808" s="44"/>
      <c r="L808" s="44"/>
      <c r="M808" s="44"/>
      <c r="N808" s="44"/>
      <c r="O808" s="44"/>
    </row>
    <row r="809" spans="1:15" ht="17.25" customHeight="1">
      <c r="A809" s="44"/>
      <c r="B809" s="44"/>
      <c r="C809" s="44"/>
      <c r="D809" s="44"/>
      <c r="E809" s="44"/>
      <c r="F809" s="44"/>
      <c r="G809" s="44"/>
      <c r="H809" s="44"/>
      <c r="I809" s="44"/>
      <c r="J809" s="44"/>
      <c r="K809" s="44"/>
      <c r="L809" s="44"/>
      <c r="M809" s="44"/>
      <c r="N809" s="44"/>
      <c r="O809" s="44"/>
    </row>
    <row r="810" spans="1:15" ht="17.25" customHeight="1">
      <c r="A810" s="44"/>
      <c r="B810" s="44"/>
      <c r="C810" s="44"/>
      <c r="D810" s="44"/>
      <c r="E810" s="44"/>
      <c r="F810" s="44"/>
      <c r="G810" s="44"/>
      <c r="H810" s="44"/>
      <c r="I810" s="44"/>
      <c r="J810" s="44"/>
      <c r="K810" s="44"/>
      <c r="L810" s="44"/>
      <c r="M810" s="44"/>
      <c r="N810" s="44"/>
      <c r="O810" s="44"/>
    </row>
    <row r="811" spans="1:15" ht="17.25" customHeight="1">
      <c r="A811" s="44"/>
      <c r="B811" s="44"/>
      <c r="C811" s="44"/>
      <c r="D811" s="44"/>
      <c r="E811" s="44"/>
      <c r="F811" s="44"/>
      <c r="G811" s="44"/>
      <c r="H811" s="44"/>
      <c r="I811" s="44"/>
      <c r="J811" s="44"/>
      <c r="K811" s="44"/>
      <c r="L811" s="44"/>
      <c r="M811" s="44"/>
      <c r="N811" s="44"/>
      <c r="O811" s="44"/>
    </row>
    <row r="812" spans="1:15" ht="17.25" customHeight="1">
      <c r="A812" s="44"/>
      <c r="B812" s="44"/>
      <c r="C812" s="44"/>
      <c r="D812" s="44"/>
      <c r="E812" s="44"/>
      <c r="F812" s="44"/>
      <c r="G812" s="44"/>
      <c r="H812" s="44"/>
      <c r="I812" s="44"/>
      <c r="J812" s="44"/>
      <c r="K812" s="44"/>
      <c r="L812" s="44"/>
      <c r="M812" s="44"/>
      <c r="N812" s="44"/>
      <c r="O812" s="44"/>
    </row>
    <row r="813" spans="1:15" ht="17.25" customHeight="1">
      <c r="A813" s="44"/>
      <c r="B813" s="44"/>
      <c r="C813" s="44"/>
      <c r="D813" s="44"/>
      <c r="E813" s="44"/>
      <c r="F813" s="44"/>
      <c r="G813" s="44"/>
      <c r="H813" s="44"/>
      <c r="I813" s="44"/>
      <c r="J813" s="44"/>
      <c r="K813" s="44"/>
      <c r="L813" s="44"/>
      <c r="M813" s="44"/>
      <c r="N813" s="44"/>
      <c r="O813" s="44"/>
    </row>
    <row r="814" spans="1:15" ht="17.25" customHeight="1">
      <c r="A814" s="44"/>
      <c r="B814" s="44"/>
      <c r="C814" s="44"/>
      <c r="D814" s="44"/>
      <c r="E814" s="44"/>
      <c r="F814" s="44"/>
      <c r="G814" s="44"/>
      <c r="H814" s="44"/>
      <c r="I814" s="44"/>
      <c r="J814" s="44"/>
      <c r="K814" s="44"/>
      <c r="L814" s="44"/>
      <c r="M814" s="44"/>
      <c r="N814" s="44"/>
      <c r="O814" s="44"/>
    </row>
    <row r="815" spans="1:15" ht="17.25" customHeight="1">
      <c r="A815" s="44"/>
      <c r="B815" s="44"/>
      <c r="C815" s="44"/>
      <c r="D815" s="44"/>
      <c r="E815" s="44"/>
      <c r="F815" s="44"/>
      <c r="G815" s="44"/>
      <c r="H815" s="44"/>
      <c r="I815" s="44"/>
      <c r="J815" s="44"/>
      <c r="K815" s="44"/>
      <c r="L815" s="44"/>
      <c r="M815" s="44"/>
      <c r="N815" s="44"/>
      <c r="O815" s="44"/>
    </row>
    <row r="816" spans="1:15" ht="17.25" customHeight="1">
      <c r="A816" s="44"/>
      <c r="B816" s="44"/>
      <c r="C816" s="44"/>
      <c r="D816" s="44"/>
      <c r="E816" s="44"/>
      <c r="F816" s="44"/>
      <c r="G816" s="44"/>
      <c r="H816" s="44"/>
      <c r="I816" s="44"/>
      <c r="J816" s="44"/>
      <c r="K816" s="44"/>
      <c r="L816" s="44"/>
      <c r="M816" s="44"/>
      <c r="N816" s="44"/>
      <c r="O816" s="44"/>
    </row>
    <row r="817" spans="1:15" ht="17.25" customHeight="1">
      <c r="A817" s="44"/>
      <c r="B817" s="44"/>
      <c r="C817" s="44"/>
      <c r="D817" s="44"/>
      <c r="E817" s="44"/>
      <c r="F817" s="44"/>
      <c r="G817" s="44"/>
      <c r="H817" s="44"/>
      <c r="I817" s="44"/>
      <c r="J817" s="44"/>
      <c r="K817" s="44"/>
      <c r="L817" s="44"/>
      <c r="M817" s="44"/>
      <c r="N817" s="44"/>
      <c r="O817" s="44"/>
    </row>
    <row r="818" spans="1:15" ht="17.25" customHeight="1">
      <c r="A818" s="44"/>
      <c r="B818" s="44"/>
      <c r="C818" s="44"/>
      <c r="D818" s="44"/>
      <c r="E818" s="44"/>
      <c r="F818" s="44"/>
      <c r="G818" s="44"/>
      <c r="H818" s="44"/>
      <c r="I818" s="44"/>
      <c r="J818" s="44"/>
      <c r="K818" s="44"/>
      <c r="L818" s="44"/>
      <c r="M818" s="44"/>
      <c r="N818" s="44"/>
      <c r="O818" s="44"/>
    </row>
    <row r="819" spans="1:15" ht="17.25" customHeight="1">
      <c r="A819" s="44"/>
      <c r="B819" s="44"/>
      <c r="C819" s="44"/>
      <c r="D819" s="44"/>
      <c r="E819" s="44"/>
      <c r="F819" s="44"/>
      <c r="G819" s="44"/>
      <c r="H819" s="44"/>
      <c r="I819" s="44"/>
      <c r="J819" s="44"/>
      <c r="K819" s="44"/>
      <c r="L819" s="44"/>
      <c r="M819" s="44"/>
      <c r="N819" s="44"/>
      <c r="O819" s="44"/>
    </row>
    <row r="820" spans="1:15" ht="17.25" customHeight="1">
      <c r="A820" s="44"/>
      <c r="B820" s="44"/>
      <c r="C820" s="44"/>
      <c r="D820" s="44"/>
      <c r="E820" s="44"/>
      <c r="F820" s="44"/>
      <c r="G820" s="44"/>
      <c r="H820" s="44"/>
      <c r="I820" s="44"/>
      <c r="J820" s="44"/>
      <c r="K820" s="44"/>
      <c r="L820" s="44"/>
      <c r="M820" s="44"/>
      <c r="N820" s="44"/>
      <c r="O820" s="44"/>
    </row>
    <row r="821" spans="1:15" ht="17.25" customHeight="1">
      <c r="A821" s="44"/>
      <c r="B821" s="44"/>
      <c r="C821" s="44"/>
      <c r="D821" s="44"/>
      <c r="E821" s="44"/>
      <c r="F821" s="44"/>
      <c r="G821" s="44"/>
      <c r="H821" s="44"/>
      <c r="I821" s="44"/>
      <c r="J821" s="44"/>
      <c r="K821" s="44"/>
      <c r="L821" s="44"/>
      <c r="M821" s="44"/>
      <c r="N821" s="44"/>
      <c r="O821" s="44"/>
    </row>
    <row r="822" spans="1:15" ht="17.25" customHeight="1">
      <c r="A822" s="44"/>
      <c r="B822" s="44"/>
      <c r="C822" s="44"/>
      <c r="D822" s="44"/>
      <c r="E822" s="44"/>
      <c r="F822" s="44"/>
      <c r="G822" s="44"/>
      <c r="H822" s="44"/>
      <c r="I822" s="44"/>
      <c r="J822" s="44"/>
      <c r="K822" s="44"/>
      <c r="L822" s="44"/>
      <c r="M822" s="44"/>
      <c r="N822" s="44"/>
      <c r="O822" s="44"/>
    </row>
    <row r="823" spans="1:15" ht="17.25" customHeight="1">
      <c r="A823" s="44"/>
      <c r="B823" s="44"/>
      <c r="C823" s="44"/>
      <c r="D823" s="44"/>
      <c r="E823" s="44"/>
      <c r="F823" s="44"/>
      <c r="G823" s="44"/>
      <c r="H823" s="44"/>
      <c r="I823" s="44"/>
      <c r="J823" s="44"/>
      <c r="K823" s="44"/>
      <c r="L823" s="44"/>
      <c r="M823" s="44"/>
      <c r="N823" s="44"/>
      <c r="O823" s="44"/>
    </row>
    <row r="824" spans="1:15" ht="17.25" customHeight="1">
      <c r="A824" s="44"/>
      <c r="B824" s="44"/>
      <c r="C824" s="44"/>
      <c r="D824" s="44"/>
      <c r="E824" s="44"/>
      <c r="F824" s="44"/>
      <c r="G824" s="44"/>
      <c r="H824" s="44"/>
      <c r="I824" s="44"/>
      <c r="J824" s="44"/>
      <c r="K824" s="44"/>
      <c r="L824" s="44"/>
      <c r="M824" s="44"/>
      <c r="N824" s="44"/>
      <c r="O824" s="44"/>
    </row>
    <row r="825" spans="1:15" ht="17.25" customHeight="1">
      <c r="A825" s="44"/>
      <c r="B825" s="44"/>
      <c r="C825" s="44"/>
      <c r="D825" s="44"/>
      <c r="E825" s="44"/>
      <c r="F825" s="44"/>
      <c r="G825" s="44"/>
      <c r="H825" s="44"/>
      <c r="I825" s="44"/>
      <c r="J825" s="44"/>
      <c r="K825" s="44"/>
      <c r="L825" s="44"/>
      <c r="M825" s="44"/>
      <c r="N825" s="44"/>
      <c r="O825" s="44"/>
    </row>
    <row r="826" spans="1:15" ht="17.25" customHeight="1">
      <c r="A826" s="44"/>
      <c r="B826" s="44"/>
      <c r="C826" s="44"/>
      <c r="D826" s="44"/>
      <c r="E826" s="44"/>
      <c r="F826" s="44"/>
      <c r="G826" s="44"/>
      <c r="H826" s="44"/>
      <c r="I826" s="44"/>
      <c r="J826" s="44"/>
      <c r="K826" s="44"/>
      <c r="L826" s="44"/>
      <c r="M826" s="44"/>
      <c r="N826" s="44"/>
      <c r="O826" s="44"/>
    </row>
    <row r="827" spans="1:15" ht="17.25" customHeight="1">
      <c r="A827" s="44"/>
      <c r="B827" s="44"/>
      <c r="C827" s="44"/>
      <c r="D827" s="44"/>
      <c r="E827" s="44"/>
      <c r="F827" s="44"/>
      <c r="G827" s="44"/>
      <c r="H827" s="44"/>
      <c r="I827" s="44"/>
      <c r="J827" s="44"/>
      <c r="K827" s="44"/>
      <c r="L827" s="44"/>
      <c r="M827" s="44"/>
      <c r="N827" s="44"/>
      <c r="O827" s="44"/>
    </row>
    <row r="828" spans="1:15" ht="17.25" customHeight="1">
      <c r="A828" s="44"/>
      <c r="B828" s="44"/>
      <c r="C828" s="44"/>
      <c r="D828" s="44"/>
      <c r="E828" s="44"/>
      <c r="F828" s="44"/>
      <c r="G828" s="44"/>
      <c r="H828" s="44"/>
      <c r="I828" s="44"/>
      <c r="J828" s="44"/>
      <c r="K828" s="44"/>
      <c r="L828" s="44"/>
      <c r="M828" s="44"/>
      <c r="N828" s="44"/>
      <c r="O828" s="44"/>
    </row>
    <row r="829" spans="1:15" ht="17.25" customHeight="1">
      <c r="A829" s="44"/>
      <c r="B829" s="44"/>
      <c r="C829" s="44"/>
      <c r="D829" s="44"/>
      <c r="E829" s="44"/>
      <c r="F829" s="44"/>
      <c r="G829" s="44"/>
      <c r="H829" s="44"/>
      <c r="I829" s="44"/>
      <c r="J829" s="44"/>
      <c r="K829" s="44"/>
      <c r="L829" s="44"/>
      <c r="M829" s="44"/>
      <c r="N829" s="44"/>
      <c r="O829" s="44"/>
    </row>
    <row r="830" spans="1:15" ht="17.25" customHeight="1">
      <c r="A830" s="44"/>
      <c r="B830" s="44"/>
      <c r="C830" s="44"/>
      <c r="D830" s="44"/>
      <c r="E830" s="44"/>
      <c r="F830" s="44"/>
      <c r="G830" s="44"/>
      <c r="H830" s="44"/>
      <c r="I830" s="44"/>
      <c r="J830" s="44"/>
      <c r="K830" s="44"/>
      <c r="L830" s="44"/>
      <c r="M830" s="44"/>
      <c r="N830" s="44"/>
      <c r="O830" s="44"/>
    </row>
    <row r="831" spans="1:15" ht="17.25" customHeight="1">
      <c r="A831" s="44"/>
      <c r="B831" s="44"/>
      <c r="C831" s="44"/>
      <c r="D831" s="44"/>
      <c r="E831" s="44"/>
      <c r="F831" s="44"/>
      <c r="G831" s="44"/>
      <c r="H831" s="44"/>
      <c r="I831" s="44"/>
      <c r="J831" s="44"/>
      <c r="K831" s="44"/>
      <c r="L831" s="44"/>
      <c r="M831" s="44"/>
      <c r="N831" s="44"/>
      <c r="O831" s="44"/>
    </row>
    <row r="832" spans="1:15" ht="17.25" customHeight="1">
      <c r="A832" s="44"/>
      <c r="B832" s="44"/>
      <c r="C832" s="44"/>
      <c r="D832" s="44"/>
      <c r="E832" s="44"/>
      <c r="F832" s="44"/>
      <c r="G832" s="44"/>
      <c r="H832" s="44"/>
      <c r="I832" s="44"/>
      <c r="J832" s="44"/>
      <c r="K832" s="44"/>
      <c r="L832" s="44"/>
      <c r="M832" s="44"/>
      <c r="N832" s="44"/>
      <c r="O832" s="44"/>
    </row>
    <row r="833" spans="1:15" ht="17.25" customHeight="1">
      <c r="A833" s="44"/>
      <c r="B833" s="44"/>
      <c r="C833" s="44"/>
      <c r="D833" s="44"/>
      <c r="E833" s="44"/>
      <c r="F833" s="44"/>
      <c r="G833" s="44"/>
      <c r="H833" s="44"/>
      <c r="I833" s="44"/>
      <c r="J833" s="44"/>
      <c r="K833" s="44"/>
      <c r="L833" s="44"/>
      <c r="M833" s="44"/>
      <c r="N833" s="44"/>
      <c r="O833" s="44"/>
    </row>
    <row r="834" spans="1:15" ht="17.25" customHeight="1">
      <c r="A834" s="44"/>
      <c r="B834" s="44"/>
      <c r="C834" s="44"/>
      <c r="D834" s="44"/>
      <c r="E834" s="44"/>
      <c r="F834" s="44"/>
      <c r="G834" s="44"/>
      <c r="H834" s="44"/>
      <c r="I834" s="44"/>
      <c r="J834" s="44"/>
      <c r="K834" s="44"/>
      <c r="L834" s="44"/>
      <c r="M834" s="44"/>
      <c r="N834" s="44"/>
      <c r="O834" s="44"/>
    </row>
    <row r="835" spans="1:15" ht="17.25" customHeight="1">
      <c r="A835" s="44"/>
      <c r="B835" s="44"/>
      <c r="C835" s="44"/>
      <c r="D835" s="44"/>
      <c r="E835" s="44"/>
      <c r="F835" s="44"/>
      <c r="G835" s="44"/>
      <c r="H835" s="44"/>
      <c r="I835" s="44"/>
      <c r="J835" s="44"/>
      <c r="K835" s="44"/>
      <c r="L835" s="44"/>
      <c r="M835" s="44"/>
      <c r="N835" s="44"/>
      <c r="O835" s="44"/>
    </row>
    <row r="836" spans="1:15" ht="17.25" customHeight="1">
      <c r="A836" s="44"/>
      <c r="B836" s="44"/>
      <c r="C836" s="44"/>
      <c r="D836" s="44"/>
      <c r="E836" s="44"/>
      <c r="F836" s="44"/>
      <c r="G836" s="44"/>
      <c r="H836" s="44"/>
      <c r="I836" s="44"/>
      <c r="J836" s="44"/>
      <c r="K836" s="44"/>
      <c r="L836" s="44"/>
      <c r="M836" s="44"/>
      <c r="N836" s="44"/>
      <c r="O836" s="44"/>
    </row>
    <row r="837" spans="1:15" ht="17.25" customHeight="1">
      <c r="A837" s="44"/>
      <c r="B837" s="44"/>
      <c r="C837" s="44"/>
      <c r="D837" s="44"/>
      <c r="E837" s="44"/>
      <c r="F837" s="44"/>
      <c r="G837" s="44"/>
      <c r="H837" s="44"/>
      <c r="I837" s="44"/>
      <c r="J837" s="44"/>
      <c r="K837" s="44"/>
      <c r="L837" s="44"/>
      <c r="M837" s="44"/>
      <c r="N837" s="44"/>
      <c r="O837" s="44"/>
    </row>
    <row r="838" spans="1:15" ht="17.25" customHeight="1">
      <c r="A838" s="44"/>
      <c r="B838" s="44"/>
      <c r="C838" s="44"/>
      <c r="D838" s="44"/>
      <c r="E838" s="44"/>
      <c r="F838" s="44"/>
      <c r="G838" s="44"/>
      <c r="H838" s="44"/>
      <c r="I838" s="44"/>
      <c r="J838" s="44"/>
      <c r="K838" s="44"/>
      <c r="L838" s="44"/>
      <c r="M838" s="44"/>
      <c r="N838" s="44"/>
      <c r="O838" s="44"/>
    </row>
    <row r="839" spans="1:15" ht="17.25" customHeight="1">
      <c r="A839" s="44"/>
      <c r="B839" s="44"/>
      <c r="C839" s="44"/>
      <c r="D839" s="44"/>
      <c r="E839" s="44"/>
      <c r="F839" s="44"/>
      <c r="G839" s="44"/>
      <c r="H839" s="44"/>
      <c r="I839" s="44"/>
      <c r="J839" s="44"/>
      <c r="K839" s="44"/>
      <c r="L839" s="44"/>
      <c r="M839" s="44"/>
      <c r="N839" s="44"/>
      <c r="O839" s="44"/>
    </row>
    <row r="840" spans="1:15" ht="17.25" customHeight="1">
      <c r="A840" s="44"/>
      <c r="B840" s="44"/>
      <c r="C840" s="44"/>
      <c r="D840" s="44"/>
      <c r="E840" s="44"/>
      <c r="F840" s="44"/>
      <c r="G840" s="44"/>
      <c r="H840" s="44"/>
      <c r="I840" s="44"/>
      <c r="J840" s="44"/>
      <c r="K840" s="44"/>
      <c r="L840" s="44"/>
      <c r="M840" s="44"/>
      <c r="N840" s="44"/>
      <c r="O840" s="44"/>
    </row>
    <row r="841" spans="1:15" ht="17.25" customHeight="1">
      <c r="A841" s="44"/>
      <c r="B841" s="44"/>
      <c r="C841" s="44"/>
      <c r="D841" s="44"/>
      <c r="E841" s="44"/>
      <c r="F841" s="44"/>
      <c r="G841" s="44"/>
      <c r="H841" s="44"/>
      <c r="I841" s="44"/>
      <c r="J841" s="44"/>
      <c r="K841" s="44"/>
      <c r="L841" s="44"/>
      <c r="M841" s="44"/>
      <c r="N841" s="44"/>
      <c r="O841" s="44"/>
    </row>
    <row r="842" spans="1:15" ht="17.25" customHeight="1">
      <c r="A842" s="44"/>
      <c r="B842" s="44"/>
      <c r="C842" s="44"/>
      <c r="D842" s="44"/>
      <c r="E842" s="44"/>
      <c r="F842" s="44"/>
      <c r="G842" s="44"/>
      <c r="H842" s="44"/>
      <c r="I842" s="44"/>
      <c r="J842" s="44"/>
      <c r="K842" s="44"/>
      <c r="L842" s="44"/>
      <c r="M842" s="44"/>
      <c r="N842" s="44"/>
      <c r="O842" s="44"/>
    </row>
    <row r="843" spans="1:15" ht="17.25" customHeight="1">
      <c r="A843" s="44"/>
      <c r="B843" s="44"/>
      <c r="C843" s="44"/>
      <c r="D843" s="44"/>
      <c r="E843" s="44"/>
      <c r="F843" s="44"/>
      <c r="G843" s="44"/>
      <c r="H843" s="44"/>
      <c r="I843" s="44"/>
      <c r="J843" s="44"/>
      <c r="K843" s="44"/>
      <c r="L843" s="44"/>
      <c r="M843" s="44"/>
      <c r="N843" s="44"/>
      <c r="O843" s="44"/>
    </row>
    <row r="844" spans="1:15" ht="17.25" customHeight="1">
      <c r="A844" s="44"/>
      <c r="B844" s="44"/>
      <c r="C844" s="44"/>
      <c r="D844" s="44"/>
      <c r="E844" s="44"/>
      <c r="F844" s="44"/>
      <c r="G844" s="44"/>
      <c r="H844" s="44"/>
      <c r="I844" s="44"/>
      <c r="J844" s="44"/>
      <c r="K844" s="44"/>
      <c r="L844" s="44"/>
      <c r="M844" s="44"/>
      <c r="N844" s="44"/>
      <c r="O844" s="44"/>
    </row>
    <row r="845" spans="1:15" ht="17.25" customHeight="1">
      <c r="A845" s="44"/>
      <c r="B845" s="44"/>
      <c r="C845" s="44"/>
      <c r="D845" s="44"/>
      <c r="E845" s="44"/>
      <c r="F845" s="44"/>
      <c r="G845" s="44"/>
      <c r="H845" s="44"/>
      <c r="I845" s="44"/>
      <c r="J845" s="44"/>
      <c r="K845" s="44"/>
      <c r="L845" s="44"/>
      <c r="M845" s="44"/>
      <c r="N845" s="44"/>
      <c r="O845" s="44"/>
    </row>
    <row r="846" spans="1:15" ht="17.25" customHeight="1">
      <c r="A846" s="44"/>
      <c r="B846" s="44"/>
      <c r="C846" s="44"/>
      <c r="D846" s="44"/>
      <c r="E846" s="44"/>
      <c r="F846" s="44"/>
      <c r="G846" s="44"/>
      <c r="H846" s="44"/>
      <c r="I846" s="44"/>
      <c r="J846" s="44"/>
      <c r="K846" s="44"/>
      <c r="L846" s="44"/>
      <c r="M846" s="44"/>
      <c r="N846" s="44"/>
      <c r="O846" s="44"/>
    </row>
    <row r="847" spans="1:15" ht="17.25" customHeight="1">
      <c r="A847" s="44"/>
      <c r="B847" s="44"/>
      <c r="C847" s="44"/>
      <c r="D847" s="44"/>
      <c r="E847" s="44"/>
      <c r="F847" s="44"/>
      <c r="G847" s="44"/>
      <c r="H847" s="44"/>
      <c r="I847" s="44"/>
      <c r="J847" s="44"/>
      <c r="K847" s="44"/>
      <c r="L847" s="44"/>
      <c r="M847" s="44"/>
      <c r="N847" s="44"/>
      <c r="O847" s="44"/>
    </row>
    <row r="848" spans="1:15" ht="17.25" customHeight="1">
      <c r="A848" s="44"/>
      <c r="B848" s="44"/>
      <c r="C848" s="44"/>
      <c r="D848" s="44"/>
      <c r="E848" s="44"/>
      <c r="F848" s="44"/>
      <c r="G848" s="44"/>
      <c r="H848" s="44"/>
      <c r="I848" s="44"/>
      <c r="J848" s="44"/>
      <c r="K848" s="44"/>
      <c r="L848" s="44"/>
      <c r="M848" s="44"/>
      <c r="N848" s="44"/>
      <c r="O848" s="44"/>
    </row>
    <row r="849" spans="1:15" ht="17.25" customHeight="1">
      <c r="A849" s="44"/>
      <c r="B849" s="44"/>
      <c r="C849" s="44"/>
      <c r="D849" s="44"/>
      <c r="E849" s="44"/>
      <c r="F849" s="44"/>
      <c r="G849" s="44"/>
      <c r="H849" s="44"/>
      <c r="I849" s="44"/>
      <c r="J849" s="44"/>
      <c r="K849" s="44"/>
      <c r="L849" s="44"/>
      <c r="M849" s="44"/>
      <c r="N849" s="44"/>
      <c r="O849" s="44"/>
    </row>
    <row r="850" spans="1:15" ht="17.25" customHeight="1">
      <c r="A850" s="44"/>
      <c r="B850" s="44"/>
      <c r="C850" s="44"/>
      <c r="D850" s="44"/>
      <c r="E850" s="44"/>
      <c r="F850" s="44"/>
      <c r="G850" s="44"/>
      <c r="H850" s="44"/>
      <c r="I850" s="44"/>
      <c r="J850" s="44"/>
      <c r="K850" s="44"/>
      <c r="L850" s="44"/>
      <c r="M850" s="44"/>
      <c r="N850" s="44"/>
      <c r="O850" s="44"/>
    </row>
    <row r="851" spans="1:15" ht="17.25" customHeight="1">
      <c r="A851" s="44"/>
      <c r="B851" s="44"/>
      <c r="C851" s="44"/>
      <c r="D851" s="44"/>
      <c r="E851" s="44"/>
      <c r="F851" s="44"/>
      <c r="G851" s="44"/>
      <c r="H851" s="44"/>
      <c r="I851" s="44"/>
      <c r="J851" s="44"/>
      <c r="K851" s="44"/>
      <c r="L851" s="44"/>
      <c r="M851" s="44"/>
      <c r="N851" s="44"/>
      <c r="O851" s="44"/>
    </row>
    <row r="852" spans="1:15" ht="17.25" customHeight="1">
      <c r="A852" s="44"/>
      <c r="B852" s="44"/>
      <c r="C852" s="44"/>
      <c r="D852" s="44"/>
      <c r="E852" s="44"/>
      <c r="F852" s="44"/>
      <c r="G852" s="44"/>
      <c r="H852" s="44"/>
      <c r="I852" s="44"/>
      <c r="J852" s="44"/>
      <c r="K852" s="44"/>
      <c r="L852" s="44"/>
      <c r="M852" s="44"/>
      <c r="N852" s="44"/>
      <c r="O852" s="44"/>
    </row>
    <row r="853" spans="1:15" ht="17.25" customHeight="1">
      <c r="A853" s="44"/>
      <c r="B853" s="44"/>
      <c r="C853" s="44"/>
      <c r="D853" s="44"/>
      <c r="E853" s="44"/>
      <c r="F853" s="44"/>
      <c r="G853" s="44"/>
      <c r="H853" s="44"/>
      <c r="I853" s="44"/>
      <c r="J853" s="44"/>
      <c r="K853" s="44"/>
      <c r="L853" s="44"/>
      <c r="M853" s="44"/>
      <c r="N853" s="44"/>
      <c r="O853" s="44"/>
    </row>
    <row r="854" spans="1:15" ht="17.25" customHeight="1">
      <c r="A854" s="44"/>
      <c r="B854" s="44"/>
      <c r="C854" s="44"/>
      <c r="D854" s="44"/>
      <c r="E854" s="44"/>
      <c r="F854" s="44"/>
      <c r="G854" s="44"/>
      <c r="H854" s="44"/>
      <c r="I854" s="44"/>
      <c r="J854" s="44"/>
      <c r="K854" s="44"/>
      <c r="L854" s="44"/>
      <c r="M854" s="44"/>
      <c r="N854" s="44"/>
      <c r="O854" s="44"/>
    </row>
    <row r="855" spans="1:15" ht="17.25" customHeight="1">
      <c r="A855" s="44"/>
      <c r="B855" s="44"/>
      <c r="C855" s="44"/>
      <c r="D855" s="44"/>
      <c r="E855" s="44"/>
      <c r="F855" s="44"/>
      <c r="G855" s="44"/>
      <c r="H855" s="44"/>
      <c r="I855" s="44"/>
      <c r="J855" s="44"/>
      <c r="K855" s="44"/>
      <c r="L855" s="44"/>
      <c r="M855" s="44"/>
      <c r="N855" s="44"/>
      <c r="O855" s="44"/>
    </row>
    <row r="856" spans="1:15" ht="17.25" customHeight="1">
      <c r="A856" s="44"/>
      <c r="B856" s="44"/>
      <c r="C856" s="44"/>
      <c r="D856" s="44"/>
      <c r="E856" s="44"/>
      <c r="F856" s="44"/>
      <c r="G856" s="44"/>
      <c r="H856" s="44"/>
      <c r="I856" s="44"/>
      <c r="J856" s="44"/>
      <c r="K856" s="44"/>
      <c r="L856" s="44"/>
      <c r="M856" s="44"/>
      <c r="N856" s="44"/>
      <c r="O856" s="44"/>
    </row>
    <row r="857" spans="1:15" ht="17.25" customHeight="1">
      <c r="A857" s="44"/>
      <c r="B857" s="44"/>
      <c r="C857" s="44"/>
      <c r="D857" s="44"/>
      <c r="E857" s="44"/>
      <c r="F857" s="44"/>
      <c r="G857" s="44"/>
      <c r="H857" s="44"/>
      <c r="I857" s="44"/>
      <c r="J857" s="44"/>
      <c r="K857" s="44"/>
      <c r="L857" s="44"/>
      <c r="M857" s="44"/>
      <c r="N857" s="44"/>
      <c r="O857" s="44"/>
    </row>
    <row r="858" spans="1:15" ht="17.25" customHeight="1">
      <c r="A858" s="44"/>
      <c r="B858" s="44"/>
      <c r="C858" s="44"/>
      <c r="D858" s="44"/>
      <c r="E858" s="44"/>
      <c r="F858" s="44"/>
      <c r="G858" s="44"/>
      <c r="H858" s="44"/>
      <c r="I858" s="44"/>
      <c r="J858" s="44"/>
      <c r="K858" s="44"/>
      <c r="L858" s="44"/>
      <c r="M858" s="44"/>
      <c r="N858" s="44"/>
      <c r="O858" s="44"/>
    </row>
    <row r="859" spans="1:15" ht="17.25" customHeight="1">
      <c r="A859" s="44"/>
      <c r="B859" s="44"/>
      <c r="C859" s="44"/>
      <c r="D859" s="44"/>
      <c r="E859" s="44"/>
      <c r="F859" s="44"/>
      <c r="G859" s="44"/>
      <c r="H859" s="44"/>
      <c r="I859" s="44"/>
      <c r="J859" s="44"/>
      <c r="K859" s="44"/>
      <c r="L859" s="44"/>
      <c r="M859" s="44"/>
      <c r="N859" s="44"/>
      <c r="O859" s="44"/>
    </row>
    <row r="860" spans="1:15" ht="17.25" customHeight="1">
      <c r="A860" s="44"/>
      <c r="B860" s="44"/>
      <c r="C860" s="44"/>
      <c r="D860" s="44"/>
      <c r="E860" s="44"/>
      <c r="F860" s="44"/>
      <c r="G860" s="44"/>
      <c r="H860" s="44"/>
      <c r="I860" s="44"/>
      <c r="J860" s="44"/>
      <c r="K860" s="44"/>
      <c r="L860" s="44"/>
      <c r="M860" s="44"/>
      <c r="N860" s="44"/>
      <c r="O860" s="44"/>
    </row>
    <row r="861" spans="1:15" ht="17.25" customHeight="1">
      <c r="A861" s="44"/>
      <c r="B861" s="44"/>
      <c r="C861" s="44"/>
      <c r="D861" s="44"/>
      <c r="E861" s="44"/>
      <c r="F861" s="44"/>
      <c r="G861" s="44"/>
      <c r="H861" s="44"/>
      <c r="I861" s="44"/>
      <c r="J861" s="44"/>
      <c r="K861" s="44"/>
      <c r="L861" s="44"/>
      <c r="M861" s="44"/>
      <c r="N861" s="44"/>
      <c r="O861" s="44"/>
    </row>
    <row r="862" spans="1:15" ht="17.25" customHeight="1">
      <c r="A862" s="44"/>
      <c r="B862" s="44"/>
      <c r="C862" s="44"/>
      <c r="D862" s="44"/>
      <c r="E862" s="44"/>
      <c r="F862" s="44"/>
      <c r="G862" s="44"/>
      <c r="H862" s="44"/>
      <c r="I862" s="44"/>
      <c r="J862" s="44"/>
      <c r="K862" s="44"/>
      <c r="L862" s="44"/>
      <c r="M862" s="44"/>
      <c r="N862" s="44"/>
      <c r="O862" s="44"/>
    </row>
    <row r="863" spans="1:15" ht="17.25" customHeight="1">
      <c r="A863" s="44"/>
      <c r="B863" s="44"/>
      <c r="C863" s="44"/>
      <c r="D863" s="44"/>
      <c r="E863" s="44"/>
      <c r="F863" s="44"/>
      <c r="G863" s="44"/>
      <c r="H863" s="44"/>
      <c r="I863" s="44"/>
      <c r="J863" s="44"/>
      <c r="K863" s="44"/>
      <c r="L863" s="44"/>
      <c r="M863" s="44"/>
      <c r="N863" s="44"/>
      <c r="O863" s="44"/>
    </row>
    <row r="864" spans="1:15" ht="17.25" customHeight="1">
      <c r="A864" s="44"/>
      <c r="B864" s="44"/>
      <c r="C864" s="44"/>
      <c r="D864" s="44"/>
      <c r="E864" s="44"/>
      <c r="F864" s="44"/>
      <c r="G864" s="44"/>
      <c r="H864" s="44"/>
      <c r="I864" s="44"/>
      <c r="J864" s="44"/>
      <c r="K864" s="44"/>
      <c r="L864" s="44"/>
      <c r="M864" s="44"/>
      <c r="N864" s="44"/>
      <c r="O864" s="44"/>
    </row>
    <row r="865" spans="1:15" ht="17.25" customHeight="1">
      <c r="A865" s="44"/>
      <c r="B865" s="44"/>
      <c r="C865" s="44"/>
      <c r="D865" s="44"/>
      <c r="E865" s="44"/>
      <c r="F865" s="44"/>
      <c r="G865" s="44"/>
      <c r="H865" s="44"/>
      <c r="I865" s="44"/>
      <c r="J865" s="44"/>
      <c r="K865" s="44"/>
      <c r="L865" s="44"/>
      <c r="M865" s="44"/>
      <c r="N865" s="44"/>
      <c r="O865" s="44"/>
    </row>
    <row r="866" spans="1:15" ht="17.25" customHeight="1">
      <c r="A866" s="44"/>
      <c r="B866" s="44"/>
      <c r="C866" s="44"/>
      <c r="D866" s="44"/>
      <c r="E866" s="44"/>
      <c r="F866" s="44"/>
      <c r="G866" s="44"/>
      <c r="H866" s="44"/>
      <c r="I866" s="44"/>
      <c r="J866" s="44"/>
      <c r="K866" s="44"/>
      <c r="L866" s="44"/>
      <c r="M866" s="44"/>
      <c r="N866" s="44"/>
      <c r="O866" s="44"/>
    </row>
    <row r="867" spans="1:15" ht="17.25" customHeight="1">
      <c r="A867" s="44"/>
      <c r="B867" s="44"/>
      <c r="C867" s="44"/>
      <c r="D867" s="44"/>
      <c r="E867" s="44"/>
      <c r="F867" s="44"/>
      <c r="G867" s="44"/>
      <c r="H867" s="44"/>
      <c r="I867" s="44"/>
      <c r="J867" s="44"/>
      <c r="K867" s="44"/>
      <c r="L867" s="44"/>
      <c r="M867" s="44"/>
      <c r="N867" s="44"/>
      <c r="O867" s="44"/>
    </row>
    <row r="868" spans="1:15" ht="17.25" customHeight="1">
      <c r="A868" s="44"/>
      <c r="B868" s="44"/>
      <c r="C868" s="44"/>
      <c r="D868" s="44"/>
      <c r="E868" s="44"/>
      <c r="F868" s="44"/>
      <c r="G868" s="44"/>
      <c r="H868" s="44"/>
      <c r="I868" s="44"/>
      <c r="J868" s="44"/>
      <c r="K868" s="44"/>
      <c r="L868" s="44"/>
      <c r="M868" s="44"/>
      <c r="N868" s="44"/>
      <c r="O868" s="44"/>
    </row>
    <row r="869" spans="1:15" ht="17.25" customHeight="1">
      <c r="A869" s="44"/>
      <c r="B869" s="44"/>
      <c r="C869" s="44"/>
      <c r="D869" s="44"/>
      <c r="E869" s="44"/>
      <c r="F869" s="44"/>
      <c r="G869" s="44"/>
      <c r="H869" s="44"/>
      <c r="I869" s="44"/>
      <c r="J869" s="44"/>
      <c r="K869" s="44"/>
      <c r="L869" s="44"/>
      <c r="M869" s="44"/>
      <c r="N869" s="44"/>
      <c r="O869" s="44"/>
    </row>
    <row r="870" spans="1:15" ht="17.25" customHeight="1">
      <c r="A870" s="44"/>
      <c r="B870" s="44"/>
      <c r="C870" s="44"/>
      <c r="D870" s="44"/>
      <c r="E870" s="44"/>
      <c r="F870" s="44"/>
      <c r="G870" s="44"/>
      <c r="H870" s="44"/>
      <c r="I870" s="44"/>
      <c r="J870" s="44"/>
      <c r="K870" s="44"/>
      <c r="L870" s="44"/>
      <c r="M870" s="44"/>
      <c r="N870" s="44"/>
      <c r="O870" s="44"/>
    </row>
    <row r="871" spans="1:15" ht="17.25" customHeight="1">
      <c r="A871" s="44"/>
      <c r="B871" s="44"/>
      <c r="C871" s="44"/>
      <c r="D871" s="44"/>
      <c r="E871" s="44"/>
      <c r="F871" s="44"/>
      <c r="G871" s="44"/>
      <c r="H871" s="44"/>
      <c r="I871" s="44"/>
      <c r="J871" s="44"/>
      <c r="K871" s="44"/>
      <c r="L871" s="44"/>
      <c r="M871" s="44"/>
      <c r="N871" s="44"/>
      <c r="O871" s="44"/>
    </row>
    <row r="872" spans="1:15" ht="17.25" customHeight="1">
      <c r="A872" s="44"/>
      <c r="B872" s="44"/>
      <c r="C872" s="44"/>
      <c r="D872" s="44"/>
      <c r="E872" s="44"/>
      <c r="F872" s="44"/>
      <c r="G872" s="44"/>
      <c r="H872" s="44"/>
      <c r="I872" s="44"/>
      <c r="J872" s="44"/>
      <c r="K872" s="44"/>
      <c r="L872" s="44"/>
      <c r="M872" s="44"/>
      <c r="N872" s="44"/>
      <c r="O872" s="44"/>
    </row>
    <row r="873" spans="1:15" ht="17.25" customHeight="1">
      <c r="A873" s="44"/>
      <c r="B873" s="44"/>
      <c r="C873" s="44"/>
      <c r="D873" s="44"/>
      <c r="E873" s="44"/>
      <c r="F873" s="44"/>
      <c r="G873" s="44"/>
      <c r="H873" s="44"/>
      <c r="I873" s="44"/>
      <c r="J873" s="44"/>
      <c r="K873" s="44"/>
      <c r="L873" s="44"/>
      <c r="M873" s="44"/>
      <c r="N873" s="44"/>
      <c r="O873" s="44"/>
    </row>
    <row r="874" spans="1:15" ht="17.25" customHeight="1">
      <c r="A874" s="44"/>
      <c r="B874" s="44"/>
      <c r="C874" s="44"/>
      <c r="D874" s="44"/>
      <c r="E874" s="44"/>
      <c r="F874" s="44"/>
      <c r="G874" s="44"/>
      <c r="H874" s="44"/>
      <c r="I874" s="44"/>
      <c r="J874" s="44"/>
      <c r="K874" s="44"/>
      <c r="L874" s="44"/>
      <c r="M874" s="44"/>
      <c r="N874" s="44"/>
      <c r="O874" s="44"/>
    </row>
    <row r="875" spans="1:15" ht="17.25" customHeight="1">
      <c r="A875" s="44"/>
      <c r="B875" s="44"/>
      <c r="C875" s="44"/>
      <c r="D875" s="44"/>
      <c r="E875" s="44"/>
      <c r="F875" s="44"/>
      <c r="G875" s="44"/>
      <c r="H875" s="44"/>
      <c r="I875" s="44"/>
      <c r="J875" s="44"/>
      <c r="K875" s="44"/>
      <c r="L875" s="44"/>
      <c r="M875" s="44"/>
      <c r="N875" s="44"/>
      <c r="O875" s="44"/>
    </row>
    <row r="876" spans="1:15" ht="17.25" customHeight="1">
      <c r="A876" s="44"/>
      <c r="B876" s="44"/>
      <c r="C876" s="44"/>
      <c r="D876" s="44"/>
      <c r="E876" s="44"/>
      <c r="F876" s="44"/>
      <c r="G876" s="44"/>
      <c r="H876" s="44"/>
      <c r="I876" s="44"/>
      <c r="J876" s="44"/>
      <c r="K876" s="44"/>
      <c r="L876" s="44"/>
      <c r="M876" s="44"/>
      <c r="N876" s="44"/>
      <c r="O876" s="44"/>
    </row>
    <row r="877" spans="1:15" ht="17.25" customHeight="1">
      <c r="A877" s="44"/>
      <c r="B877" s="44"/>
      <c r="C877" s="44"/>
      <c r="D877" s="44"/>
      <c r="E877" s="44"/>
      <c r="F877" s="44"/>
      <c r="G877" s="44"/>
      <c r="H877" s="44"/>
      <c r="I877" s="44"/>
      <c r="J877" s="44"/>
      <c r="K877" s="44"/>
      <c r="L877" s="44"/>
      <c r="M877" s="44"/>
      <c r="N877" s="44"/>
      <c r="O877" s="44"/>
    </row>
    <row r="878" spans="1:15" ht="17.25" customHeight="1">
      <c r="A878" s="44"/>
      <c r="B878" s="44"/>
      <c r="C878" s="44"/>
      <c r="D878" s="44"/>
      <c r="E878" s="44"/>
      <c r="F878" s="44"/>
      <c r="G878" s="44"/>
      <c r="H878" s="44"/>
      <c r="I878" s="44"/>
      <c r="J878" s="44"/>
      <c r="K878" s="44"/>
      <c r="L878" s="44"/>
      <c r="M878" s="44"/>
      <c r="N878" s="44"/>
      <c r="O878" s="44"/>
    </row>
    <row r="879" spans="1:15" ht="17.25" customHeight="1">
      <c r="A879" s="44"/>
      <c r="B879" s="44"/>
      <c r="C879" s="44"/>
      <c r="D879" s="44"/>
      <c r="E879" s="44"/>
      <c r="F879" s="44"/>
      <c r="G879" s="44"/>
      <c r="H879" s="44"/>
      <c r="I879" s="44"/>
      <c r="J879" s="44"/>
      <c r="K879" s="44"/>
      <c r="L879" s="44"/>
      <c r="M879" s="44"/>
      <c r="N879" s="44"/>
      <c r="O879" s="44"/>
    </row>
    <row r="880" spans="1:15" ht="17.25" customHeight="1">
      <c r="A880" s="44"/>
      <c r="B880" s="44"/>
      <c r="C880" s="44"/>
      <c r="D880" s="44"/>
      <c r="E880" s="44"/>
      <c r="F880" s="44"/>
      <c r="G880" s="44"/>
      <c r="H880" s="44"/>
      <c r="I880" s="44"/>
      <c r="J880" s="44"/>
      <c r="K880" s="44"/>
      <c r="L880" s="44"/>
      <c r="M880" s="44"/>
      <c r="N880" s="44"/>
      <c r="O880" s="44"/>
    </row>
    <row r="881" spans="1:15" ht="17.25" customHeight="1">
      <c r="A881" s="44"/>
      <c r="B881" s="44"/>
      <c r="C881" s="44"/>
      <c r="D881" s="44"/>
      <c r="E881" s="44"/>
      <c r="F881" s="44"/>
      <c r="G881" s="44"/>
      <c r="H881" s="44"/>
      <c r="I881" s="44"/>
      <c r="J881" s="44"/>
      <c r="K881" s="44"/>
      <c r="L881" s="44"/>
      <c r="M881" s="44"/>
      <c r="N881" s="44"/>
      <c r="O881" s="44"/>
    </row>
    <row r="882" spans="1:15" ht="17.25" customHeight="1">
      <c r="A882" s="44"/>
      <c r="B882" s="44"/>
      <c r="C882" s="44"/>
      <c r="D882" s="44"/>
      <c r="E882" s="44"/>
      <c r="F882" s="44"/>
      <c r="G882" s="44"/>
      <c r="H882" s="44"/>
      <c r="I882" s="44"/>
      <c r="J882" s="44"/>
      <c r="K882" s="44"/>
      <c r="L882" s="44"/>
      <c r="M882" s="44"/>
      <c r="N882" s="44"/>
      <c r="O882" s="44"/>
    </row>
    <row r="883" spans="1:15" ht="17.25" customHeight="1">
      <c r="A883" s="44"/>
      <c r="B883" s="44"/>
      <c r="C883" s="44"/>
      <c r="D883" s="44"/>
      <c r="E883" s="44"/>
      <c r="F883" s="44"/>
      <c r="G883" s="44"/>
      <c r="H883" s="44"/>
      <c r="I883" s="44"/>
      <c r="J883" s="44"/>
      <c r="K883" s="44"/>
      <c r="L883" s="44"/>
      <c r="M883" s="44"/>
      <c r="N883" s="44"/>
      <c r="O883" s="44"/>
    </row>
    <row r="884" spans="1:15" ht="17.25" customHeight="1">
      <c r="A884" s="44"/>
      <c r="B884" s="44"/>
      <c r="C884" s="44"/>
      <c r="D884" s="44"/>
      <c r="E884" s="44"/>
      <c r="F884" s="44"/>
      <c r="G884" s="44"/>
      <c r="H884" s="44"/>
      <c r="I884" s="44"/>
      <c r="J884" s="44"/>
      <c r="K884" s="44"/>
      <c r="L884" s="44"/>
      <c r="M884" s="44"/>
      <c r="N884" s="44"/>
      <c r="O884" s="44"/>
    </row>
    <row r="885" spans="1:15" ht="17.25" customHeight="1">
      <c r="A885" s="44"/>
      <c r="B885" s="44"/>
      <c r="C885" s="44"/>
      <c r="D885" s="44"/>
      <c r="E885" s="44"/>
      <c r="F885" s="44"/>
      <c r="G885" s="44"/>
      <c r="H885" s="44"/>
      <c r="I885" s="44"/>
      <c r="J885" s="44"/>
      <c r="K885" s="44"/>
      <c r="L885" s="44"/>
      <c r="M885" s="44"/>
      <c r="N885" s="44"/>
      <c r="O885" s="44"/>
    </row>
    <row r="886" spans="1:15" ht="17.25" customHeight="1">
      <c r="A886" s="44"/>
      <c r="B886" s="44"/>
      <c r="C886" s="44"/>
      <c r="D886" s="44"/>
      <c r="E886" s="44"/>
      <c r="F886" s="44"/>
      <c r="G886" s="44"/>
      <c r="H886" s="44"/>
      <c r="I886" s="44"/>
      <c r="J886" s="44"/>
      <c r="K886" s="44"/>
      <c r="L886" s="44"/>
      <c r="M886" s="44"/>
      <c r="N886" s="44"/>
      <c r="O886" s="44"/>
    </row>
    <row r="887" spans="1:15" ht="17.25" customHeight="1">
      <c r="A887" s="44"/>
      <c r="B887" s="44"/>
      <c r="C887" s="44"/>
      <c r="D887" s="44"/>
      <c r="E887" s="44"/>
      <c r="F887" s="44"/>
      <c r="G887" s="44"/>
      <c r="H887" s="44"/>
      <c r="I887" s="44"/>
      <c r="J887" s="44"/>
      <c r="K887" s="44"/>
      <c r="L887" s="44"/>
      <c r="M887" s="44"/>
      <c r="N887" s="44"/>
      <c r="O887" s="44"/>
    </row>
    <row r="888" spans="1:15" ht="17.25" customHeight="1">
      <c r="A888" s="44"/>
      <c r="B888" s="44"/>
      <c r="C888" s="44"/>
      <c r="D888" s="44"/>
      <c r="E888" s="44"/>
      <c r="F888" s="44"/>
      <c r="G888" s="44"/>
      <c r="H888" s="44"/>
      <c r="I888" s="44"/>
      <c r="J888" s="44"/>
      <c r="K888" s="44"/>
      <c r="L888" s="44"/>
      <c r="M888" s="44"/>
      <c r="N888" s="44"/>
      <c r="O888" s="44"/>
    </row>
    <row r="889" spans="1:15" ht="17.25" customHeight="1">
      <c r="A889" s="44"/>
      <c r="B889" s="44"/>
      <c r="C889" s="44"/>
      <c r="D889" s="44"/>
      <c r="E889" s="44"/>
      <c r="F889" s="44"/>
      <c r="G889" s="44"/>
      <c r="H889" s="44"/>
      <c r="I889" s="44"/>
      <c r="J889" s="44"/>
      <c r="K889" s="44"/>
      <c r="L889" s="44"/>
      <c r="M889" s="44"/>
      <c r="N889" s="44"/>
      <c r="O889" s="44"/>
    </row>
    <row r="890" spans="1:15" ht="17.25" customHeight="1">
      <c r="A890" s="44"/>
      <c r="B890" s="44"/>
      <c r="C890" s="44"/>
      <c r="D890" s="44"/>
      <c r="E890" s="44"/>
      <c r="F890" s="44"/>
      <c r="G890" s="44"/>
      <c r="H890" s="44"/>
      <c r="I890" s="44"/>
      <c r="J890" s="44"/>
      <c r="K890" s="44"/>
      <c r="L890" s="44"/>
      <c r="M890" s="44"/>
      <c r="N890" s="44"/>
      <c r="O890" s="44"/>
    </row>
    <row r="891" spans="1:15" ht="17.25" customHeight="1">
      <c r="A891" s="44"/>
      <c r="B891" s="44"/>
      <c r="C891" s="44"/>
      <c r="D891" s="44"/>
      <c r="E891" s="44"/>
      <c r="F891" s="44"/>
      <c r="G891" s="44"/>
      <c r="H891" s="44"/>
      <c r="I891" s="44"/>
      <c r="J891" s="44"/>
      <c r="K891" s="44"/>
      <c r="L891" s="44"/>
      <c r="M891" s="44"/>
      <c r="N891" s="44"/>
      <c r="O891" s="44"/>
    </row>
    <row r="892" spans="1:15" ht="17.25" customHeight="1">
      <c r="A892" s="44"/>
      <c r="B892" s="44"/>
      <c r="C892" s="44"/>
      <c r="D892" s="44"/>
      <c r="E892" s="44"/>
      <c r="F892" s="44"/>
      <c r="G892" s="44"/>
      <c r="H892" s="44"/>
      <c r="I892" s="44"/>
      <c r="J892" s="44"/>
      <c r="K892" s="44"/>
      <c r="L892" s="44"/>
      <c r="M892" s="44"/>
      <c r="N892" s="44"/>
      <c r="O892" s="44"/>
    </row>
    <row r="893" spans="1:15" ht="17.25" customHeight="1">
      <c r="A893" s="44"/>
      <c r="B893" s="44"/>
      <c r="C893" s="44"/>
      <c r="D893" s="44"/>
      <c r="E893" s="44"/>
      <c r="F893" s="44"/>
      <c r="G893" s="44"/>
      <c r="H893" s="44"/>
      <c r="I893" s="44"/>
      <c r="J893" s="44"/>
      <c r="K893" s="44"/>
      <c r="L893" s="44"/>
      <c r="M893" s="44"/>
      <c r="N893" s="44"/>
      <c r="O893" s="44"/>
    </row>
    <row r="894" spans="1:15" ht="17.25" customHeight="1">
      <c r="A894" s="44"/>
      <c r="B894" s="44"/>
      <c r="C894" s="44"/>
      <c r="D894" s="44"/>
      <c r="E894" s="44"/>
      <c r="F894" s="44"/>
      <c r="G894" s="44"/>
      <c r="H894" s="44"/>
      <c r="I894" s="44"/>
      <c r="J894" s="44"/>
      <c r="K894" s="44"/>
      <c r="L894" s="44"/>
      <c r="M894" s="44"/>
      <c r="N894" s="44"/>
      <c r="O894" s="44"/>
    </row>
    <row r="895" spans="1:15" ht="17.25" customHeight="1">
      <c r="A895" s="44"/>
      <c r="B895" s="44"/>
      <c r="C895" s="44"/>
      <c r="D895" s="44"/>
      <c r="E895" s="44"/>
      <c r="F895" s="44"/>
      <c r="G895" s="44"/>
      <c r="H895" s="44"/>
      <c r="I895" s="44"/>
      <c r="J895" s="44"/>
      <c r="K895" s="44"/>
      <c r="L895" s="44"/>
      <c r="M895" s="44"/>
      <c r="N895" s="44"/>
      <c r="O895" s="44"/>
    </row>
    <row r="896" spans="1:15" ht="17.25" customHeight="1">
      <c r="A896" s="44"/>
      <c r="B896" s="44"/>
      <c r="C896" s="44"/>
      <c r="D896" s="44"/>
      <c r="E896" s="44"/>
      <c r="F896" s="44"/>
      <c r="G896" s="44"/>
      <c r="H896" s="44"/>
      <c r="I896" s="44"/>
      <c r="J896" s="44"/>
      <c r="K896" s="44"/>
      <c r="L896" s="44"/>
      <c r="M896" s="44"/>
      <c r="N896" s="44"/>
      <c r="O896" s="44"/>
    </row>
    <row r="897" spans="1:15" ht="17.25" customHeight="1">
      <c r="A897" s="44"/>
      <c r="B897" s="44"/>
      <c r="C897" s="44"/>
      <c r="D897" s="44"/>
      <c r="E897" s="44"/>
      <c r="F897" s="44"/>
      <c r="G897" s="44"/>
      <c r="H897" s="44"/>
      <c r="I897" s="44"/>
      <c r="J897" s="44"/>
      <c r="K897" s="44"/>
      <c r="L897" s="44"/>
      <c r="M897" s="44"/>
      <c r="N897" s="44"/>
      <c r="O897" s="44"/>
    </row>
    <row r="898" spans="1:15" ht="17.25" customHeight="1">
      <c r="A898" s="44"/>
      <c r="B898" s="44"/>
      <c r="C898" s="44"/>
      <c r="D898" s="44"/>
      <c r="E898" s="44"/>
      <c r="F898" s="44"/>
      <c r="G898" s="44"/>
      <c r="H898" s="44"/>
      <c r="I898" s="44"/>
      <c r="J898" s="44"/>
      <c r="K898" s="44"/>
      <c r="L898" s="44"/>
      <c r="M898" s="44"/>
      <c r="N898" s="44"/>
      <c r="O898" s="44"/>
    </row>
    <row r="899" spans="1:15" ht="17.25" customHeight="1">
      <c r="A899" s="44"/>
      <c r="B899" s="44"/>
      <c r="C899" s="44"/>
      <c r="D899" s="44"/>
      <c r="E899" s="44"/>
      <c r="F899" s="44"/>
      <c r="G899" s="44"/>
      <c r="H899" s="44"/>
      <c r="I899" s="44"/>
      <c r="J899" s="44"/>
      <c r="K899" s="44"/>
      <c r="L899" s="44"/>
      <c r="M899" s="44"/>
      <c r="N899" s="44"/>
      <c r="O899" s="44"/>
    </row>
    <row r="900" spans="1:15" ht="17.25" customHeight="1">
      <c r="A900" s="44"/>
      <c r="B900" s="44"/>
      <c r="C900" s="44"/>
      <c r="D900" s="44"/>
      <c r="E900" s="44"/>
      <c r="F900" s="44"/>
      <c r="G900" s="44"/>
      <c r="H900" s="44"/>
      <c r="I900" s="44"/>
      <c r="J900" s="44"/>
      <c r="K900" s="44"/>
      <c r="L900" s="44"/>
      <c r="M900" s="44"/>
      <c r="N900" s="44"/>
      <c r="O900" s="44"/>
    </row>
    <row r="901" spans="1:15" ht="17.25" customHeight="1">
      <c r="A901" s="44"/>
      <c r="B901" s="44"/>
      <c r="C901" s="44"/>
      <c r="D901" s="44"/>
      <c r="E901" s="44"/>
      <c r="F901" s="44"/>
      <c r="G901" s="44"/>
      <c r="H901" s="44"/>
      <c r="I901" s="44"/>
      <c r="J901" s="44"/>
      <c r="K901" s="44"/>
      <c r="L901" s="44"/>
      <c r="M901" s="44"/>
      <c r="N901" s="44"/>
      <c r="O901" s="44"/>
    </row>
    <row r="902" spans="1:15" ht="17.25" customHeight="1">
      <c r="A902" s="44"/>
      <c r="B902" s="44"/>
      <c r="C902" s="44"/>
      <c r="D902" s="44"/>
      <c r="E902" s="44"/>
      <c r="F902" s="44"/>
      <c r="G902" s="44"/>
      <c r="H902" s="44"/>
      <c r="I902" s="44"/>
      <c r="J902" s="44"/>
      <c r="K902" s="44"/>
      <c r="L902" s="44"/>
      <c r="M902" s="44"/>
      <c r="N902" s="44"/>
      <c r="O902" s="44"/>
    </row>
    <row r="903" spans="1:15" ht="17.25" customHeight="1">
      <c r="A903" s="44"/>
      <c r="B903" s="44"/>
      <c r="C903" s="44"/>
      <c r="D903" s="44"/>
      <c r="E903" s="44"/>
      <c r="F903" s="44"/>
      <c r="G903" s="44"/>
      <c r="H903" s="44"/>
      <c r="I903" s="44"/>
      <c r="J903" s="44"/>
      <c r="K903" s="44"/>
      <c r="L903" s="44"/>
      <c r="M903" s="44"/>
      <c r="N903" s="44"/>
      <c r="O903" s="44"/>
    </row>
    <row r="904" spans="1:15" ht="17.25" customHeight="1">
      <c r="A904" s="44"/>
      <c r="B904" s="44"/>
      <c r="C904" s="44"/>
      <c r="D904" s="44"/>
      <c r="E904" s="44"/>
      <c r="F904" s="44"/>
      <c r="G904" s="44"/>
      <c r="H904" s="44"/>
      <c r="I904" s="44"/>
      <c r="J904" s="44"/>
      <c r="K904" s="44"/>
      <c r="L904" s="44"/>
      <c r="M904" s="44"/>
      <c r="N904" s="44"/>
      <c r="O904" s="44"/>
    </row>
    <row r="905" spans="1:15" ht="17.25" customHeight="1">
      <c r="A905" s="44"/>
      <c r="B905" s="44"/>
      <c r="C905" s="44"/>
      <c r="D905" s="44"/>
      <c r="E905" s="44"/>
      <c r="F905" s="44"/>
      <c r="G905" s="44"/>
      <c r="H905" s="44"/>
      <c r="I905" s="44"/>
      <c r="J905" s="44"/>
      <c r="K905" s="44"/>
      <c r="L905" s="44"/>
      <c r="M905" s="44"/>
      <c r="N905" s="44"/>
      <c r="O905" s="44"/>
    </row>
    <row r="906" spans="1:15" ht="17.25" customHeight="1">
      <c r="A906" s="44"/>
      <c r="B906" s="44"/>
      <c r="C906" s="44"/>
      <c r="D906" s="44"/>
      <c r="E906" s="44"/>
      <c r="F906" s="44"/>
      <c r="G906" s="44"/>
      <c r="H906" s="44"/>
      <c r="I906" s="44"/>
      <c r="J906" s="44"/>
      <c r="K906" s="44"/>
      <c r="L906" s="44"/>
      <c r="M906" s="44"/>
      <c r="N906" s="44"/>
      <c r="O906" s="44"/>
    </row>
    <row r="907" spans="1:15" ht="17.25" customHeight="1">
      <c r="A907" s="44"/>
      <c r="B907" s="44"/>
      <c r="C907" s="44"/>
      <c r="D907" s="44"/>
      <c r="E907" s="44"/>
      <c r="F907" s="44"/>
      <c r="G907" s="44"/>
      <c r="H907" s="44"/>
      <c r="I907" s="44"/>
      <c r="J907" s="44"/>
      <c r="K907" s="44"/>
      <c r="L907" s="44"/>
      <c r="M907" s="44"/>
      <c r="N907" s="44"/>
      <c r="O907" s="44"/>
    </row>
    <row r="908" spans="1:15" ht="17.25" customHeight="1">
      <c r="A908" s="44"/>
      <c r="B908" s="44"/>
      <c r="C908" s="44"/>
      <c r="D908" s="44"/>
      <c r="E908" s="44"/>
      <c r="F908" s="44"/>
      <c r="G908" s="44"/>
      <c r="H908" s="44"/>
      <c r="I908" s="44"/>
      <c r="J908" s="44"/>
      <c r="K908" s="44"/>
      <c r="L908" s="44"/>
      <c r="M908" s="44"/>
      <c r="N908" s="44"/>
      <c r="O908" s="44"/>
    </row>
    <row r="909" spans="1:15" ht="17.25" customHeight="1">
      <c r="A909" s="44"/>
      <c r="B909" s="44"/>
      <c r="C909" s="44"/>
      <c r="D909" s="44"/>
      <c r="E909" s="44"/>
      <c r="F909" s="44"/>
      <c r="G909" s="44"/>
      <c r="H909" s="44"/>
      <c r="I909" s="44"/>
      <c r="J909" s="44"/>
      <c r="K909" s="44"/>
      <c r="L909" s="44"/>
      <c r="M909" s="44"/>
      <c r="N909" s="44"/>
      <c r="O909" s="44"/>
    </row>
    <row r="910" spans="1:15" ht="17.25" customHeight="1">
      <c r="A910" s="44"/>
      <c r="B910" s="44"/>
      <c r="C910" s="44"/>
      <c r="D910" s="44"/>
      <c r="E910" s="44"/>
      <c r="F910" s="44"/>
      <c r="G910" s="44"/>
      <c r="H910" s="44"/>
      <c r="I910" s="44"/>
      <c r="J910" s="44"/>
      <c r="K910" s="44"/>
      <c r="L910" s="44"/>
      <c r="M910" s="44"/>
      <c r="N910" s="44"/>
      <c r="O910" s="44"/>
    </row>
    <row r="911" spans="1:15" ht="17.25" customHeight="1">
      <c r="A911" s="44"/>
      <c r="B911" s="44"/>
      <c r="C911" s="44"/>
      <c r="D911" s="44"/>
      <c r="E911" s="44"/>
      <c r="F911" s="44"/>
      <c r="G911" s="44"/>
      <c r="H911" s="44"/>
      <c r="I911" s="44"/>
      <c r="J911" s="44"/>
      <c r="K911" s="44"/>
      <c r="L911" s="44"/>
      <c r="M911" s="44"/>
      <c r="N911" s="44"/>
      <c r="O911" s="44"/>
    </row>
    <row r="912" spans="1:15" ht="17.25" customHeight="1">
      <c r="A912" s="44"/>
      <c r="B912" s="44"/>
      <c r="C912" s="44"/>
      <c r="D912" s="44"/>
      <c r="E912" s="44"/>
      <c r="F912" s="44"/>
      <c r="G912" s="44"/>
      <c r="H912" s="44"/>
      <c r="I912" s="44"/>
      <c r="J912" s="44"/>
      <c r="K912" s="44"/>
      <c r="L912" s="44"/>
      <c r="M912" s="44"/>
      <c r="N912" s="44"/>
      <c r="O912" s="44"/>
    </row>
    <row r="913" spans="1:15" ht="17.25" customHeight="1">
      <c r="A913" s="44"/>
      <c r="B913" s="44"/>
      <c r="C913" s="44"/>
      <c r="D913" s="44"/>
      <c r="E913" s="44"/>
      <c r="F913" s="44"/>
      <c r="G913" s="44"/>
      <c r="H913" s="44"/>
      <c r="I913" s="44"/>
      <c r="J913" s="44"/>
      <c r="K913" s="44"/>
      <c r="L913" s="44"/>
      <c r="M913" s="44"/>
      <c r="N913" s="44"/>
      <c r="O913" s="44"/>
    </row>
    <row r="914" spans="1:15" ht="17.25" customHeight="1">
      <c r="A914" s="44"/>
      <c r="B914" s="44"/>
      <c r="C914" s="44"/>
      <c r="D914" s="44"/>
      <c r="E914" s="44"/>
      <c r="F914" s="44"/>
      <c r="G914" s="44"/>
      <c r="H914" s="44"/>
      <c r="I914" s="44"/>
      <c r="J914" s="44"/>
      <c r="K914" s="44"/>
      <c r="L914" s="44"/>
      <c r="M914" s="44"/>
      <c r="N914" s="44"/>
      <c r="O914" s="44"/>
    </row>
    <row r="915" spans="1:15" ht="17.25" customHeight="1">
      <c r="A915" s="44"/>
      <c r="B915" s="44"/>
      <c r="C915" s="44"/>
      <c r="D915" s="44"/>
      <c r="E915" s="44"/>
      <c r="F915" s="44"/>
      <c r="G915" s="44"/>
      <c r="H915" s="44"/>
      <c r="I915" s="44"/>
      <c r="J915" s="44"/>
      <c r="K915" s="44"/>
      <c r="L915" s="44"/>
      <c r="M915" s="44"/>
      <c r="N915" s="44"/>
      <c r="O915" s="44"/>
    </row>
    <row r="916" spans="1:15" ht="17.25" customHeight="1">
      <c r="A916" s="44"/>
      <c r="B916" s="44"/>
      <c r="C916" s="44"/>
      <c r="D916" s="44"/>
      <c r="E916" s="44"/>
      <c r="F916" s="44"/>
      <c r="G916" s="44"/>
      <c r="H916" s="44"/>
      <c r="I916" s="44"/>
      <c r="J916" s="44"/>
      <c r="K916" s="44"/>
      <c r="L916" s="44"/>
      <c r="M916" s="44"/>
      <c r="N916" s="44"/>
      <c r="O916" s="44"/>
    </row>
    <row r="917" spans="1:15" ht="17.25" customHeight="1">
      <c r="A917" s="44"/>
      <c r="B917" s="44"/>
      <c r="C917" s="44"/>
      <c r="D917" s="44"/>
      <c r="E917" s="44"/>
      <c r="F917" s="44"/>
      <c r="G917" s="44"/>
      <c r="H917" s="44"/>
      <c r="I917" s="44"/>
      <c r="J917" s="44"/>
      <c r="K917" s="44"/>
      <c r="L917" s="44"/>
      <c r="M917" s="44"/>
      <c r="N917" s="44"/>
      <c r="O917" s="44"/>
    </row>
    <row r="918" spans="1:15" ht="17.25" customHeight="1">
      <c r="A918" s="44"/>
      <c r="B918" s="44"/>
      <c r="C918" s="44"/>
      <c r="D918" s="44"/>
      <c r="E918" s="44"/>
      <c r="F918" s="44"/>
      <c r="G918" s="44"/>
      <c r="H918" s="44"/>
      <c r="I918" s="44"/>
      <c r="J918" s="44"/>
      <c r="K918" s="44"/>
      <c r="L918" s="44"/>
      <c r="M918" s="44"/>
      <c r="N918" s="44"/>
      <c r="O918" s="44"/>
    </row>
    <row r="919" spans="1:15" ht="17.25" customHeight="1">
      <c r="A919" s="44"/>
      <c r="B919" s="44"/>
      <c r="C919" s="44"/>
      <c r="D919" s="44"/>
      <c r="E919" s="44"/>
      <c r="F919" s="44"/>
      <c r="G919" s="44"/>
      <c r="H919" s="44"/>
      <c r="I919" s="44"/>
      <c r="J919" s="44"/>
      <c r="K919" s="44"/>
      <c r="L919" s="44"/>
      <c r="M919" s="44"/>
      <c r="N919" s="44"/>
      <c r="O919" s="44"/>
    </row>
    <row r="920" spans="1:15" ht="17.25" customHeight="1">
      <c r="A920" s="44"/>
      <c r="B920" s="44"/>
      <c r="C920" s="44"/>
      <c r="D920" s="44"/>
      <c r="E920" s="44"/>
      <c r="F920" s="44"/>
      <c r="G920" s="44"/>
      <c r="H920" s="44"/>
      <c r="I920" s="44"/>
      <c r="J920" s="44"/>
      <c r="K920" s="44"/>
      <c r="L920" s="44"/>
      <c r="M920" s="44"/>
      <c r="N920" s="44"/>
      <c r="O920" s="44"/>
    </row>
    <row r="921" spans="1:15" ht="17.25" customHeight="1">
      <c r="A921" s="44"/>
      <c r="B921" s="44"/>
      <c r="C921" s="44"/>
      <c r="D921" s="44"/>
      <c r="E921" s="44"/>
      <c r="F921" s="44"/>
      <c r="G921" s="44"/>
      <c r="H921" s="44"/>
      <c r="I921" s="44"/>
      <c r="J921" s="44"/>
      <c r="K921" s="44"/>
      <c r="L921" s="44"/>
      <c r="M921" s="44"/>
      <c r="N921" s="44"/>
      <c r="O921" s="44"/>
    </row>
    <row r="922" spans="1:15" ht="17.25" customHeight="1">
      <c r="A922" s="44"/>
      <c r="B922" s="44"/>
      <c r="C922" s="44"/>
      <c r="D922" s="44"/>
      <c r="E922" s="44"/>
      <c r="F922" s="44"/>
      <c r="G922" s="44"/>
      <c r="H922" s="44"/>
      <c r="I922" s="44"/>
      <c r="J922" s="44"/>
      <c r="K922" s="44"/>
      <c r="L922" s="44"/>
      <c r="M922" s="44"/>
      <c r="N922" s="44"/>
      <c r="O922" s="44"/>
    </row>
    <row r="923" spans="1:15" ht="17.25" customHeight="1">
      <c r="A923" s="44"/>
      <c r="B923" s="44"/>
      <c r="C923" s="44"/>
      <c r="D923" s="44"/>
      <c r="E923" s="44"/>
      <c r="F923" s="44"/>
      <c r="G923" s="44"/>
      <c r="H923" s="44"/>
      <c r="I923" s="44"/>
      <c r="J923" s="44"/>
      <c r="K923" s="44"/>
      <c r="L923" s="44"/>
      <c r="M923" s="44"/>
      <c r="N923" s="44"/>
      <c r="O923" s="44"/>
    </row>
    <row r="924" spans="1:15" ht="17.25" customHeight="1">
      <c r="A924" s="44"/>
      <c r="B924" s="44"/>
      <c r="C924" s="44"/>
      <c r="D924" s="44"/>
      <c r="E924" s="44"/>
      <c r="F924" s="44"/>
      <c r="G924" s="44"/>
      <c r="H924" s="44"/>
      <c r="I924" s="44"/>
      <c r="J924" s="44"/>
      <c r="K924" s="44"/>
      <c r="L924" s="44"/>
      <c r="M924" s="44"/>
      <c r="N924" s="44"/>
      <c r="O924" s="44"/>
    </row>
    <row r="925" spans="1:15" ht="17.25" customHeight="1">
      <c r="A925" s="44"/>
      <c r="B925" s="44"/>
      <c r="C925" s="44"/>
      <c r="D925" s="44"/>
      <c r="E925" s="44"/>
      <c r="F925" s="44"/>
      <c r="G925" s="44"/>
      <c r="H925" s="44"/>
      <c r="I925" s="44"/>
      <c r="J925" s="44"/>
      <c r="K925" s="44"/>
      <c r="L925" s="44"/>
      <c r="M925" s="44"/>
      <c r="N925" s="44"/>
      <c r="O925" s="44"/>
    </row>
    <row r="926" spans="1:15" ht="17.25" customHeight="1">
      <c r="A926" s="44"/>
      <c r="B926" s="44"/>
      <c r="C926" s="44"/>
      <c r="D926" s="44"/>
      <c r="E926" s="44"/>
      <c r="F926" s="44"/>
      <c r="G926" s="44"/>
      <c r="H926" s="44"/>
      <c r="I926" s="44"/>
      <c r="J926" s="44"/>
      <c r="K926" s="44"/>
      <c r="L926" s="44"/>
      <c r="M926" s="44"/>
      <c r="N926" s="44"/>
      <c r="O926" s="44"/>
    </row>
    <row r="927" spans="1:15" ht="17.25" customHeight="1">
      <c r="A927" s="44"/>
      <c r="B927" s="44"/>
      <c r="C927" s="44"/>
      <c r="D927" s="44"/>
      <c r="E927" s="44"/>
      <c r="F927" s="44"/>
      <c r="G927" s="44"/>
      <c r="H927" s="44"/>
      <c r="I927" s="44"/>
      <c r="J927" s="44"/>
      <c r="K927" s="44"/>
      <c r="L927" s="44"/>
      <c r="M927" s="44"/>
      <c r="N927" s="44"/>
      <c r="O927" s="44"/>
    </row>
    <row r="928" spans="1:15" ht="17.25" customHeight="1">
      <c r="A928" s="44"/>
      <c r="B928" s="44"/>
      <c r="C928" s="44"/>
      <c r="D928" s="44"/>
      <c r="E928" s="44"/>
      <c r="F928" s="44"/>
      <c r="G928" s="44"/>
      <c r="H928" s="44"/>
      <c r="I928" s="44"/>
      <c r="J928" s="44"/>
      <c r="K928" s="44"/>
      <c r="L928" s="44"/>
      <c r="M928" s="44"/>
      <c r="N928" s="44"/>
      <c r="O928" s="44"/>
    </row>
    <row r="929" spans="1:15" ht="17.25" customHeight="1">
      <c r="A929" s="44"/>
      <c r="B929" s="44"/>
      <c r="C929" s="44"/>
      <c r="D929" s="44"/>
      <c r="E929" s="44"/>
      <c r="F929" s="44"/>
      <c r="G929" s="44"/>
      <c r="H929" s="44"/>
      <c r="I929" s="44"/>
      <c r="J929" s="44"/>
      <c r="K929" s="44"/>
      <c r="L929" s="44"/>
      <c r="M929" s="44"/>
      <c r="N929" s="44"/>
      <c r="O929" s="44"/>
    </row>
    <row r="930" spans="1:15" ht="17.25" customHeight="1">
      <c r="A930" s="44"/>
      <c r="B930" s="44"/>
      <c r="C930" s="44"/>
      <c r="D930" s="44"/>
      <c r="E930" s="44"/>
      <c r="F930" s="44"/>
      <c r="G930" s="44"/>
      <c r="H930" s="44"/>
      <c r="I930" s="44"/>
      <c r="J930" s="44"/>
      <c r="K930" s="44"/>
      <c r="L930" s="44"/>
      <c r="M930" s="44"/>
      <c r="N930" s="44"/>
      <c r="O930" s="44"/>
    </row>
    <row r="931" spans="1:15" ht="17.25" customHeight="1">
      <c r="A931" s="44"/>
      <c r="B931" s="44"/>
      <c r="C931" s="44"/>
      <c r="D931" s="44"/>
      <c r="E931" s="44"/>
      <c r="F931" s="44"/>
      <c r="G931" s="44"/>
      <c r="H931" s="44"/>
      <c r="I931" s="44"/>
      <c r="J931" s="44"/>
      <c r="K931" s="44"/>
      <c r="L931" s="44"/>
      <c r="M931" s="44"/>
      <c r="N931" s="44"/>
      <c r="O931" s="44"/>
    </row>
    <row r="932" spans="1:15" ht="17.25" customHeight="1">
      <c r="A932" s="44"/>
      <c r="B932" s="44"/>
      <c r="C932" s="44"/>
      <c r="D932" s="44"/>
      <c r="E932" s="44"/>
      <c r="F932" s="44"/>
      <c r="G932" s="44"/>
      <c r="H932" s="44"/>
      <c r="I932" s="44"/>
      <c r="J932" s="44"/>
      <c r="K932" s="44"/>
      <c r="L932" s="44"/>
      <c r="M932" s="44"/>
      <c r="N932" s="44"/>
      <c r="O932" s="44"/>
    </row>
    <row r="933" spans="1:15" ht="17.25" customHeight="1">
      <c r="A933" s="44"/>
      <c r="B933" s="44"/>
      <c r="C933" s="44"/>
      <c r="D933" s="44"/>
      <c r="E933" s="44"/>
      <c r="F933" s="44"/>
      <c r="G933" s="44"/>
      <c r="H933" s="44"/>
      <c r="I933" s="44"/>
      <c r="J933" s="44"/>
      <c r="K933" s="44"/>
      <c r="L933" s="44"/>
      <c r="M933" s="44"/>
      <c r="N933" s="44"/>
      <c r="O933" s="44"/>
    </row>
    <row r="934" spans="1:15" ht="17.25" customHeight="1">
      <c r="A934" s="44"/>
      <c r="B934" s="44"/>
      <c r="C934" s="44"/>
      <c r="D934" s="44"/>
      <c r="E934" s="44"/>
      <c r="F934" s="44"/>
      <c r="G934" s="44"/>
      <c r="H934" s="44"/>
      <c r="I934" s="44"/>
      <c r="J934" s="44"/>
      <c r="K934" s="44"/>
      <c r="L934" s="44"/>
      <c r="M934" s="44"/>
      <c r="N934" s="44"/>
      <c r="O934" s="44"/>
    </row>
    <row r="935" spans="1:15" ht="17.25" customHeight="1">
      <c r="A935" s="44"/>
      <c r="B935" s="44"/>
      <c r="C935" s="44"/>
      <c r="D935" s="44"/>
      <c r="E935" s="44"/>
      <c r="F935" s="44"/>
      <c r="G935" s="44"/>
      <c r="H935" s="44"/>
      <c r="I935" s="44"/>
      <c r="J935" s="44"/>
      <c r="K935" s="44"/>
      <c r="L935" s="44"/>
      <c r="M935" s="44"/>
      <c r="N935" s="44"/>
      <c r="O935" s="44"/>
    </row>
    <row r="936" spans="1:15" ht="17.25" customHeight="1">
      <c r="A936" s="44"/>
      <c r="B936" s="44"/>
      <c r="C936" s="44"/>
      <c r="D936" s="44"/>
      <c r="E936" s="44"/>
      <c r="F936" s="44"/>
      <c r="G936" s="44"/>
      <c r="H936" s="44"/>
      <c r="I936" s="44"/>
      <c r="J936" s="44"/>
      <c r="K936" s="44"/>
      <c r="L936" s="44"/>
      <c r="M936" s="44"/>
      <c r="N936" s="44"/>
      <c r="O936" s="44"/>
    </row>
    <row r="937" spans="1:15" ht="17.25" customHeight="1">
      <c r="A937" s="44"/>
      <c r="B937" s="44"/>
      <c r="C937" s="44"/>
      <c r="D937" s="44"/>
      <c r="E937" s="44"/>
      <c r="F937" s="44"/>
      <c r="G937" s="44"/>
      <c r="H937" s="44"/>
      <c r="I937" s="44"/>
      <c r="J937" s="44"/>
      <c r="K937" s="44"/>
      <c r="L937" s="44"/>
      <c r="M937" s="44"/>
      <c r="N937" s="44"/>
      <c r="O937" s="44"/>
    </row>
    <row r="938" spans="1:15" ht="17.25" customHeight="1">
      <c r="A938" s="44"/>
      <c r="B938" s="44"/>
      <c r="C938" s="44"/>
      <c r="D938" s="44"/>
      <c r="E938" s="44"/>
      <c r="F938" s="44"/>
      <c r="G938" s="44"/>
      <c r="H938" s="44"/>
      <c r="I938" s="44"/>
      <c r="J938" s="44"/>
      <c r="K938" s="44"/>
      <c r="L938" s="44"/>
      <c r="M938" s="44"/>
      <c r="N938" s="44"/>
      <c r="O938" s="44"/>
    </row>
    <row r="939" spans="1:15" ht="17.25" customHeight="1">
      <c r="A939" s="44"/>
      <c r="B939" s="44"/>
      <c r="C939" s="44"/>
      <c r="D939" s="44"/>
      <c r="E939" s="44"/>
      <c r="F939" s="44"/>
      <c r="G939" s="44"/>
      <c r="H939" s="44"/>
      <c r="I939" s="44"/>
      <c r="J939" s="44"/>
      <c r="K939" s="44"/>
      <c r="L939" s="44"/>
      <c r="M939" s="44"/>
      <c r="N939" s="44"/>
      <c r="O939" s="44"/>
    </row>
    <row r="940" spans="1:15" ht="17.25" customHeight="1">
      <c r="A940" s="44"/>
      <c r="B940" s="44"/>
      <c r="C940" s="44"/>
      <c r="D940" s="44"/>
      <c r="E940" s="44"/>
      <c r="F940" s="44"/>
      <c r="G940" s="44"/>
      <c r="H940" s="44"/>
      <c r="I940" s="44"/>
      <c r="J940" s="44"/>
      <c r="K940" s="44"/>
      <c r="L940" s="44"/>
      <c r="M940" s="44"/>
      <c r="N940" s="44"/>
      <c r="O940" s="44"/>
    </row>
    <row r="941" spans="1:15" ht="17.25" customHeight="1">
      <c r="A941" s="44"/>
      <c r="B941" s="44"/>
      <c r="C941" s="44"/>
      <c r="D941" s="44"/>
      <c r="E941" s="44"/>
      <c r="F941" s="44"/>
      <c r="G941" s="44"/>
      <c r="H941" s="44"/>
      <c r="I941" s="44"/>
      <c r="J941" s="44"/>
      <c r="K941" s="44"/>
      <c r="L941" s="44"/>
      <c r="M941" s="44"/>
      <c r="N941" s="44"/>
      <c r="O941" s="44"/>
    </row>
    <row r="942" spans="1:15" ht="17.25" customHeight="1">
      <c r="A942" s="44"/>
      <c r="B942" s="44"/>
      <c r="C942" s="44"/>
      <c r="D942" s="44"/>
      <c r="E942" s="44"/>
      <c r="F942" s="44"/>
      <c r="G942" s="44"/>
      <c r="H942" s="44"/>
      <c r="I942" s="44"/>
      <c r="J942" s="44"/>
      <c r="K942" s="44"/>
      <c r="L942" s="44"/>
      <c r="M942" s="44"/>
      <c r="N942" s="44"/>
      <c r="O942" s="44"/>
    </row>
    <row r="943" spans="1:15" ht="17.25" customHeight="1">
      <c r="A943" s="44"/>
      <c r="B943" s="44"/>
      <c r="C943" s="44"/>
      <c r="D943" s="44"/>
      <c r="E943" s="44"/>
      <c r="F943" s="44"/>
      <c r="G943" s="44"/>
      <c r="H943" s="44"/>
      <c r="I943" s="44"/>
      <c r="J943" s="44"/>
      <c r="K943" s="44"/>
      <c r="L943" s="44"/>
      <c r="M943" s="44"/>
      <c r="N943" s="44"/>
      <c r="O943" s="44"/>
    </row>
    <row r="944" spans="1:15" ht="17.25" customHeight="1">
      <c r="A944" s="44"/>
      <c r="B944" s="44"/>
      <c r="C944" s="44"/>
      <c r="D944" s="44"/>
      <c r="E944" s="44"/>
      <c r="F944" s="44"/>
      <c r="G944" s="44"/>
      <c r="H944" s="44"/>
      <c r="I944" s="44"/>
      <c r="J944" s="44"/>
      <c r="K944" s="44"/>
      <c r="L944" s="44"/>
      <c r="M944" s="44"/>
      <c r="N944" s="44"/>
      <c r="O944" s="44"/>
    </row>
    <row r="945" spans="1:15" ht="17.25" customHeight="1">
      <c r="A945" s="44"/>
      <c r="B945" s="44"/>
      <c r="C945" s="44"/>
      <c r="D945" s="44"/>
      <c r="E945" s="44"/>
      <c r="F945" s="44"/>
      <c r="G945" s="44"/>
      <c r="H945" s="44"/>
      <c r="I945" s="44"/>
      <c r="J945" s="44"/>
      <c r="K945" s="44"/>
      <c r="L945" s="44"/>
      <c r="M945" s="44"/>
      <c r="N945" s="44"/>
      <c r="O945" s="44"/>
    </row>
    <row r="946" spans="1:15" ht="17.25" customHeight="1">
      <c r="A946" s="44"/>
      <c r="B946" s="44"/>
      <c r="C946" s="44"/>
      <c r="D946" s="44"/>
      <c r="E946" s="44"/>
      <c r="F946" s="44"/>
      <c r="G946" s="44"/>
      <c r="H946" s="44"/>
      <c r="I946" s="44"/>
      <c r="J946" s="44"/>
      <c r="K946" s="44"/>
      <c r="L946" s="44"/>
      <c r="M946" s="44"/>
      <c r="N946" s="44"/>
      <c r="O946" s="44"/>
    </row>
    <row r="947" spans="1:15" ht="17.25" customHeight="1">
      <c r="A947" s="44"/>
      <c r="B947" s="44"/>
      <c r="C947" s="44"/>
      <c r="D947" s="44"/>
      <c r="E947" s="44"/>
      <c r="F947" s="44"/>
      <c r="G947" s="44"/>
      <c r="H947" s="44"/>
      <c r="I947" s="44"/>
      <c r="J947" s="44"/>
      <c r="K947" s="44"/>
      <c r="L947" s="44"/>
      <c r="M947" s="44"/>
      <c r="N947" s="44"/>
      <c r="O947" s="44"/>
    </row>
    <row r="948" spans="1:15" ht="17.25" customHeight="1">
      <c r="A948" s="44"/>
      <c r="B948" s="44"/>
      <c r="C948" s="44"/>
      <c r="D948" s="44"/>
      <c r="E948" s="44"/>
      <c r="F948" s="44"/>
      <c r="G948" s="44"/>
      <c r="H948" s="44"/>
      <c r="I948" s="44"/>
      <c r="J948" s="44"/>
      <c r="K948" s="44"/>
      <c r="L948" s="44"/>
      <c r="M948" s="44"/>
      <c r="N948" s="44"/>
      <c r="O948" s="44"/>
    </row>
    <row r="949" spans="1:15" ht="17.25" customHeight="1">
      <c r="A949" s="44"/>
      <c r="B949" s="44"/>
      <c r="C949" s="44"/>
      <c r="D949" s="44"/>
      <c r="E949" s="44"/>
      <c r="F949" s="44"/>
      <c r="G949" s="44"/>
      <c r="H949" s="44"/>
      <c r="I949" s="44"/>
      <c r="J949" s="44"/>
      <c r="K949" s="44"/>
      <c r="L949" s="44"/>
      <c r="M949" s="44"/>
      <c r="N949" s="44"/>
      <c r="O949" s="44"/>
    </row>
    <row r="950" spans="1:15" ht="17.25" customHeight="1">
      <c r="A950" s="44"/>
      <c r="B950" s="44"/>
      <c r="C950" s="44"/>
      <c r="D950" s="44"/>
      <c r="E950" s="44"/>
      <c r="F950" s="44"/>
      <c r="G950" s="44"/>
      <c r="H950" s="44"/>
      <c r="I950" s="44"/>
      <c r="J950" s="44"/>
      <c r="K950" s="44"/>
      <c r="L950" s="44"/>
      <c r="M950" s="44"/>
      <c r="N950" s="44"/>
      <c r="O950" s="44"/>
    </row>
    <row r="951" spans="1:15" ht="17.25" customHeight="1">
      <c r="A951" s="44"/>
      <c r="B951" s="44"/>
      <c r="C951" s="44"/>
      <c r="D951" s="44"/>
      <c r="E951" s="44"/>
      <c r="F951" s="44"/>
      <c r="G951" s="44"/>
      <c r="H951" s="44"/>
      <c r="I951" s="44"/>
      <c r="J951" s="44"/>
      <c r="K951" s="44"/>
      <c r="L951" s="44"/>
      <c r="M951" s="44"/>
      <c r="N951" s="44"/>
      <c r="O951" s="44"/>
    </row>
    <row r="952" spans="1:15" ht="17.25" customHeight="1">
      <c r="A952" s="44"/>
      <c r="B952" s="44"/>
      <c r="C952" s="44"/>
      <c r="D952" s="44"/>
      <c r="E952" s="44"/>
      <c r="F952" s="44"/>
      <c r="G952" s="44"/>
      <c r="H952" s="44"/>
      <c r="I952" s="44"/>
      <c r="J952" s="44"/>
      <c r="K952" s="44"/>
      <c r="L952" s="44"/>
      <c r="M952" s="44"/>
      <c r="N952" s="44"/>
      <c r="O952" s="44"/>
    </row>
    <row r="953" spans="1:15" ht="17.25" customHeight="1">
      <c r="A953" s="44"/>
      <c r="B953" s="44"/>
      <c r="C953" s="44"/>
      <c r="D953" s="44"/>
      <c r="E953" s="44"/>
      <c r="F953" s="44"/>
      <c r="G953" s="44"/>
      <c r="H953" s="44"/>
      <c r="I953" s="44"/>
      <c r="J953" s="44"/>
      <c r="K953" s="44"/>
      <c r="L953" s="44"/>
      <c r="M953" s="44"/>
      <c r="N953" s="44"/>
      <c r="O953" s="44"/>
    </row>
    <row r="954" spans="1:15" ht="17.25" customHeight="1">
      <c r="A954" s="44"/>
      <c r="B954" s="44"/>
      <c r="C954" s="44"/>
      <c r="D954" s="44"/>
      <c r="E954" s="44"/>
      <c r="F954" s="44"/>
      <c r="G954" s="44"/>
      <c r="H954" s="44"/>
      <c r="I954" s="44"/>
      <c r="J954" s="44"/>
      <c r="K954" s="44"/>
      <c r="L954" s="44"/>
      <c r="M954" s="44"/>
      <c r="N954" s="44"/>
      <c r="O954" s="44"/>
    </row>
    <row r="955" spans="1:15" ht="17.25" customHeight="1">
      <c r="A955" s="44"/>
      <c r="B955" s="44"/>
      <c r="C955" s="44"/>
      <c r="D955" s="44"/>
      <c r="E955" s="44"/>
      <c r="F955" s="44"/>
      <c r="G955" s="44"/>
      <c r="H955" s="44"/>
      <c r="I955" s="44"/>
      <c r="J955" s="44"/>
      <c r="K955" s="44"/>
      <c r="L955" s="44"/>
      <c r="M955" s="44"/>
      <c r="N955" s="44"/>
      <c r="O955" s="44"/>
    </row>
    <row r="956" spans="1:15" ht="17.25" customHeight="1">
      <c r="A956" s="44"/>
      <c r="B956" s="44"/>
      <c r="C956" s="44"/>
      <c r="D956" s="44"/>
      <c r="E956" s="44"/>
      <c r="F956" s="44"/>
      <c r="G956" s="44"/>
      <c r="H956" s="44"/>
      <c r="I956" s="44"/>
      <c r="J956" s="44"/>
      <c r="K956" s="44"/>
      <c r="L956" s="44"/>
      <c r="M956" s="44"/>
      <c r="N956" s="44"/>
      <c r="O956" s="44"/>
    </row>
    <row r="957" spans="1:15" ht="17.25" customHeight="1">
      <c r="A957" s="44"/>
      <c r="B957" s="44"/>
      <c r="C957" s="44"/>
      <c r="D957" s="44"/>
      <c r="E957" s="44"/>
      <c r="F957" s="44"/>
      <c r="G957" s="44"/>
      <c r="H957" s="44"/>
      <c r="I957" s="44"/>
      <c r="J957" s="44"/>
      <c r="K957" s="44"/>
      <c r="L957" s="44"/>
      <c r="M957" s="44"/>
      <c r="N957" s="44"/>
      <c r="O957" s="44"/>
    </row>
    <row r="958" spans="1:15" ht="17.25" customHeight="1">
      <c r="A958" s="44"/>
      <c r="B958" s="44"/>
      <c r="C958" s="44"/>
      <c r="D958" s="44"/>
      <c r="E958" s="44"/>
      <c r="F958" s="44"/>
      <c r="G958" s="44"/>
      <c r="H958" s="44"/>
      <c r="I958" s="44"/>
      <c r="J958" s="44"/>
      <c r="K958" s="44"/>
      <c r="L958" s="44"/>
      <c r="M958" s="44"/>
      <c r="N958" s="44"/>
      <c r="O958" s="44"/>
    </row>
    <row r="959" spans="1:15" ht="17.25" customHeight="1">
      <c r="A959" s="44"/>
      <c r="B959" s="44"/>
      <c r="C959" s="44"/>
      <c r="D959" s="44"/>
      <c r="E959" s="44"/>
      <c r="F959" s="44"/>
      <c r="G959" s="44"/>
      <c r="H959" s="44"/>
      <c r="I959" s="44"/>
      <c r="J959" s="44"/>
      <c r="K959" s="44"/>
      <c r="L959" s="44"/>
      <c r="M959" s="44"/>
      <c r="N959" s="44"/>
      <c r="O959" s="44"/>
    </row>
    <row r="960" spans="1:15" ht="17.25" customHeight="1">
      <c r="A960" s="44"/>
      <c r="B960" s="44"/>
      <c r="C960" s="44"/>
      <c r="D960" s="44"/>
      <c r="E960" s="44"/>
      <c r="F960" s="44"/>
      <c r="G960" s="44"/>
      <c r="H960" s="44"/>
      <c r="I960" s="44"/>
      <c r="J960" s="44"/>
      <c r="K960" s="44"/>
      <c r="L960" s="44"/>
      <c r="M960" s="44"/>
      <c r="N960" s="44"/>
      <c r="O960" s="44"/>
    </row>
    <row r="961" spans="1:15" ht="17.25" customHeight="1">
      <c r="A961" s="44"/>
      <c r="B961" s="44"/>
      <c r="C961" s="44"/>
      <c r="D961" s="44"/>
      <c r="E961" s="44"/>
      <c r="F961" s="44"/>
      <c r="G961" s="44"/>
      <c r="H961" s="44"/>
      <c r="I961" s="44"/>
      <c r="J961" s="44"/>
      <c r="K961" s="44"/>
      <c r="L961" s="44"/>
      <c r="M961" s="44"/>
      <c r="N961" s="44"/>
      <c r="O961" s="44"/>
    </row>
    <row r="962" spans="1:15" ht="17.25" customHeight="1">
      <c r="A962" s="44"/>
      <c r="B962" s="44"/>
      <c r="C962" s="44"/>
      <c r="D962" s="44"/>
      <c r="E962" s="44"/>
      <c r="F962" s="44"/>
      <c r="G962" s="44"/>
      <c r="H962" s="44"/>
      <c r="I962" s="44"/>
      <c r="J962" s="44"/>
      <c r="K962" s="44"/>
      <c r="L962" s="44"/>
      <c r="M962" s="44"/>
      <c r="N962" s="44"/>
      <c r="O962" s="44"/>
    </row>
    <row r="963" spans="1:15" ht="17.25" customHeight="1">
      <c r="A963" s="44"/>
      <c r="B963" s="44"/>
      <c r="C963" s="44"/>
      <c r="D963" s="44"/>
      <c r="E963" s="44"/>
      <c r="F963" s="44"/>
      <c r="G963" s="44"/>
      <c r="H963" s="44"/>
      <c r="I963" s="44"/>
      <c r="J963" s="44"/>
      <c r="K963" s="44"/>
      <c r="L963" s="44"/>
      <c r="M963" s="44"/>
      <c r="N963" s="44"/>
      <c r="O963" s="44"/>
    </row>
    <row r="964" spans="1:15" ht="17.25" customHeight="1">
      <c r="A964" s="44"/>
      <c r="B964" s="44"/>
      <c r="C964" s="44"/>
      <c r="D964" s="44"/>
      <c r="E964" s="44"/>
      <c r="F964" s="44"/>
      <c r="G964" s="44"/>
      <c r="H964" s="44"/>
      <c r="I964" s="44"/>
      <c r="J964" s="44"/>
      <c r="K964" s="44"/>
      <c r="L964" s="44"/>
      <c r="M964" s="44"/>
      <c r="N964" s="44"/>
      <c r="O964" s="44"/>
    </row>
    <row r="965" spans="1:15" ht="17.25" customHeight="1">
      <c r="A965" s="44"/>
      <c r="B965" s="44"/>
      <c r="C965" s="44"/>
      <c r="D965" s="44"/>
      <c r="E965" s="44"/>
      <c r="F965" s="44"/>
      <c r="G965" s="44"/>
      <c r="H965" s="44"/>
      <c r="I965" s="44"/>
      <c r="J965" s="44"/>
      <c r="K965" s="44"/>
      <c r="L965" s="44"/>
      <c r="M965" s="44"/>
      <c r="N965" s="44"/>
      <c r="O965" s="44"/>
    </row>
    <row r="966" spans="1:15" ht="17.25" customHeight="1">
      <c r="A966" s="44"/>
      <c r="B966" s="44"/>
      <c r="C966" s="44"/>
      <c r="D966" s="44"/>
      <c r="E966" s="44"/>
      <c r="F966" s="44"/>
      <c r="G966" s="44"/>
      <c r="H966" s="44"/>
      <c r="I966" s="44"/>
      <c r="J966" s="44"/>
      <c r="K966" s="44"/>
      <c r="L966" s="44"/>
      <c r="M966" s="44"/>
      <c r="N966" s="44"/>
      <c r="O966" s="44"/>
    </row>
    <row r="967" spans="1:15" ht="17.25" customHeight="1">
      <c r="A967" s="44"/>
      <c r="B967" s="44"/>
      <c r="C967" s="44"/>
      <c r="D967" s="44"/>
      <c r="E967" s="44"/>
      <c r="F967" s="44"/>
      <c r="G967" s="44"/>
      <c r="H967" s="44"/>
      <c r="I967" s="44"/>
      <c r="J967" s="44"/>
      <c r="K967" s="44"/>
      <c r="L967" s="44"/>
      <c r="M967" s="44"/>
      <c r="N967" s="44"/>
      <c r="O967" s="44"/>
    </row>
    <row r="968" spans="1:15" ht="17.25" customHeight="1">
      <c r="A968" s="44"/>
      <c r="B968" s="44"/>
      <c r="C968" s="44"/>
      <c r="D968" s="44"/>
      <c r="E968" s="44"/>
      <c r="F968" s="44"/>
      <c r="G968" s="44"/>
      <c r="H968" s="44"/>
      <c r="I968" s="44"/>
      <c r="J968" s="44"/>
      <c r="K968" s="44"/>
      <c r="L968" s="44"/>
      <c r="M968" s="44"/>
      <c r="N968" s="44"/>
      <c r="O968" s="44"/>
    </row>
    <row r="969" spans="1:15" ht="17.25" customHeight="1">
      <c r="A969" s="44"/>
      <c r="B969" s="44"/>
      <c r="C969" s="44"/>
      <c r="D969" s="44"/>
      <c r="E969" s="44"/>
      <c r="F969" s="44"/>
      <c r="G969" s="44"/>
      <c r="H969" s="44"/>
      <c r="I969" s="44"/>
      <c r="J969" s="44"/>
      <c r="K969" s="44"/>
      <c r="L969" s="44"/>
      <c r="M969" s="44"/>
      <c r="N969" s="44"/>
      <c r="O969" s="44"/>
    </row>
    <row r="970" spans="1:15" ht="17.25" customHeight="1">
      <c r="A970" s="44"/>
      <c r="B970" s="44"/>
      <c r="C970" s="44"/>
      <c r="D970" s="44"/>
      <c r="E970" s="44"/>
      <c r="F970" s="44"/>
      <c r="G970" s="44"/>
      <c r="H970" s="44"/>
      <c r="I970" s="44"/>
      <c r="J970" s="44"/>
      <c r="K970" s="44"/>
      <c r="L970" s="44"/>
      <c r="M970" s="44"/>
      <c r="N970" s="44"/>
      <c r="O970" s="44"/>
    </row>
    <row r="971" spans="1:15" ht="17.25" customHeight="1">
      <c r="A971" s="44"/>
      <c r="B971" s="44"/>
      <c r="C971" s="44"/>
      <c r="D971" s="44"/>
      <c r="E971" s="44"/>
      <c r="F971" s="44"/>
      <c r="G971" s="44"/>
      <c r="H971" s="44"/>
      <c r="I971" s="44"/>
      <c r="J971" s="44"/>
      <c r="K971" s="44"/>
      <c r="L971" s="44"/>
      <c r="M971" s="44"/>
      <c r="N971" s="44"/>
      <c r="O971" s="44"/>
    </row>
    <row r="972" spans="1:15" ht="17.25" customHeight="1">
      <c r="A972" s="44"/>
      <c r="B972" s="44"/>
      <c r="C972" s="44"/>
      <c r="D972" s="44"/>
      <c r="E972" s="44"/>
      <c r="F972" s="44"/>
      <c r="G972" s="44"/>
      <c r="H972" s="44"/>
      <c r="I972" s="44"/>
      <c r="J972" s="44"/>
      <c r="K972" s="44"/>
      <c r="L972" s="44"/>
      <c r="M972" s="44"/>
      <c r="N972" s="44"/>
      <c r="O972" s="44"/>
    </row>
    <row r="973" spans="1:15" ht="17.25" customHeight="1">
      <c r="A973" s="44"/>
      <c r="B973" s="44"/>
      <c r="C973" s="44"/>
      <c r="D973" s="44"/>
      <c r="E973" s="44"/>
      <c r="F973" s="44"/>
      <c r="G973" s="44"/>
      <c r="H973" s="44"/>
      <c r="I973" s="44"/>
      <c r="J973" s="44"/>
      <c r="K973" s="44"/>
      <c r="L973" s="44"/>
      <c r="M973" s="44"/>
      <c r="N973" s="44"/>
      <c r="O973" s="44"/>
    </row>
    <row r="974" spans="1:15" ht="17.25" customHeight="1">
      <c r="A974" s="44"/>
      <c r="B974" s="44"/>
      <c r="C974" s="44"/>
      <c r="D974" s="44"/>
      <c r="E974" s="44"/>
      <c r="F974" s="44"/>
      <c r="G974" s="44"/>
      <c r="H974" s="44"/>
      <c r="I974" s="44"/>
      <c r="J974" s="44"/>
      <c r="K974" s="44"/>
      <c r="L974" s="44"/>
      <c r="M974" s="44"/>
      <c r="N974" s="44"/>
      <c r="O974" s="44"/>
    </row>
    <row r="975" spans="1:15" ht="17.25" customHeight="1">
      <c r="A975" s="44"/>
      <c r="B975" s="44"/>
      <c r="C975" s="44"/>
      <c r="D975" s="44"/>
      <c r="E975" s="44"/>
      <c r="F975" s="44"/>
      <c r="G975" s="44"/>
      <c r="H975" s="44"/>
      <c r="I975" s="44"/>
      <c r="J975" s="44"/>
      <c r="K975" s="44"/>
      <c r="L975" s="44"/>
      <c r="M975" s="44"/>
      <c r="N975" s="44"/>
      <c r="O975" s="44"/>
    </row>
    <row r="976" spans="1:15" ht="17.25" customHeight="1">
      <c r="A976" s="44"/>
      <c r="B976" s="44"/>
      <c r="C976" s="44"/>
      <c r="D976" s="44"/>
      <c r="E976" s="44"/>
      <c r="F976" s="44"/>
      <c r="G976" s="44"/>
      <c r="H976" s="44"/>
      <c r="I976" s="44"/>
      <c r="J976" s="44"/>
      <c r="K976" s="44"/>
      <c r="L976" s="44"/>
      <c r="M976" s="44"/>
      <c r="N976" s="44"/>
      <c r="O976" s="44"/>
    </row>
    <row r="977" spans="1:15" ht="17.25" customHeight="1">
      <c r="A977" s="44"/>
      <c r="B977" s="44"/>
      <c r="C977" s="44"/>
      <c r="D977" s="44"/>
      <c r="E977" s="44"/>
      <c r="F977" s="44"/>
      <c r="G977" s="44"/>
      <c r="H977" s="44"/>
      <c r="I977" s="44"/>
      <c r="J977" s="44"/>
      <c r="K977" s="44"/>
      <c r="L977" s="44"/>
      <c r="M977" s="44"/>
      <c r="N977" s="44"/>
      <c r="O977" s="44"/>
    </row>
    <row r="978" spans="1:15" ht="17.25" customHeight="1">
      <c r="A978" s="44"/>
      <c r="B978" s="44"/>
      <c r="C978" s="44"/>
      <c r="D978" s="44"/>
      <c r="E978" s="44"/>
      <c r="F978" s="44"/>
      <c r="G978" s="44"/>
      <c r="H978" s="44"/>
      <c r="I978" s="44"/>
      <c r="J978" s="44"/>
      <c r="K978" s="44"/>
      <c r="L978" s="44"/>
      <c r="M978" s="44"/>
      <c r="N978" s="44"/>
      <c r="O978" s="44"/>
    </row>
    <row r="979" spans="1:15" ht="17.25" customHeight="1">
      <c r="A979" s="44"/>
      <c r="B979" s="44"/>
      <c r="C979" s="44"/>
      <c r="D979" s="44"/>
      <c r="E979" s="44"/>
      <c r="F979" s="44"/>
      <c r="G979" s="44"/>
      <c r="H979" s="44"/>
      <c r="I979" s="44"/>
      <c r="J979" s="44"/>
      <c r="K979" s="44"/>
      <c r="L979" s="44"/>
      <c r="M979" s="44"/>
      <c r="N979" s="44"/>
      <c r="O979" s="44"/>
    </row>
    <row r="980" spans="1:15" ht="17.25" customHeight="1">
      <c r="A980" s="44"/>
      <c r="B980" s="44"/>
      <c r="C980" s="44"/>
      <c r="D980" s="44"/>
      <c r="E980" s="44"/>
      <c r="F980" s="44"/>
      <c r="G980" s="44"/>
      <c r="H980" s="44"/>
      <c r="I980" s="44"/>
      <c r="J980" s="44"/>
      <c r="K980" s="44"/>
      <c r="L980" s="44"/>
      <c r="M980" s="44"/>
      <c r="N980" s="44"/>
      <c r="O980" s="44"/>
    </row>
    <row r="981" spans="1:15" ht="17.25" customHeight="1">
      <c r="A981" s="44"/>
      <c r="B981" s="44"/>
      <c r="C981" s="44"/>
      <c r="D981" s="44"/>
      <c r="E981" s="44"/>
      <c r="F981" s="44"/>
      <c r="G981" s="44"/>
      <c r="H981" s="44"/>
      <c r="I981" s="44"/>
      <c r="J981" s="44"/>
      <c r="K981" s="44"/>
      <c r="L981" s="44"/>
      <c r="M981" s="44"/>
      <c r="N981" s="44"/>
      <c r="O981" s="44"/>
    </row>
    <row r="982" spans="1:15" ht="17.25" customHeight="1">
      <c r="A982" s="44"/>
      <c r="B982" s="44"/>
      <c r="C982" s="44"/>
      <c r="D982" s="44"/>
      <c r="E982" s="44"/>
      <c r="F982" s="44"/>
      <c r="G982" s="44"/>
      <c r="H982" s="44"/>
      <c r="I982" s="44"/>
      <c r="J982" s="44"/>
      <c r="K982" s="44"/>
      <c r="L982" s="44"/>
      <c r="M982" s="44"/>
      <c r="N982" s="44"/>
      <c r="O982" s="44"/>
    </row>
    <row r="983" spans="1:15" ht="17.25" customHeight="1">
      <c r="A983" s="44"/>
      <c r="B983" s="44"/>
      <c r="C983" s="44"/>
      <c r="D983" s="44"/>
      <c r="E983" s="44"/>
      <c r="F983" s="44"/>
      <c r="G983" s="44"/>
      <c r="H983" s="44"/>
      <c r="I983" s="44"/>
      <c r="J983" s="44"/>
      <c r="K983" s="44"/>
      <c r="L983" s="44"/>
      <c r="M983" s="44"/>
      <c r="N983" s="44"/>
      <c r="O983" s="44"/>
    </row>
    <row r="984" spans="1:15" ht="17.25" customHeight="1">
      <c r="A984" s="44"/>
      <c r="B984" s="44"/>
      <c r="C984" s="44"/>
      <c r="D984" s="44"/>
      <c r="E984" s="44"/>
      <c r="F984" s="44"/>
      <c r="G984" s="44"/>
      <c r="H984" s="44"/>
      <c r="I984" s="44"/>
      <c r="J984" s="44"/>
      <c r="K984" s="44"/>
      <c r="L984" s="44"/>
      <c r="M984" s="44"/>
      <c r="N984" s="44"/>
      <c r="O984" s="44"/>
    </row>
    <row r="985" spans="1:15" ht="17.25" customHeight="1">
      <c r="A985" s="44"/>
      <c r="B985" s="44"/>
      <c r="C985" s="44"/>
      <c r="D985" s="44"/>
      <c r="E985" s="44"/>
      <c r="F985" s="44"/>
      <c r="G985" s="44"/>
      <c r="H985" s="44"/>
      <c r="I985" s="44"/>
      <c r="J985" s="44"/>
      <c r="K985" s="44"/>
      <c r="L985" s="44"/>
      <c r="M985" s="44"/>
      <c r="N985" s="44"/>
      <c r="O985" s="44"/>
    </row>
    <row r="986" spans="1:15" ht="17.25" customHeight="1">
      <c r="A986" s="44"/>
      <c r="B986" s="44"/>
      <c r="C986" s="44"/>
      <c r="D986" s="44"/>
      <c r="E986" s="44"/>
      <c r="F986" s="44"/>
      <c r="G986" s="44"/>
      <c r="H986" s="44"/>
      <c r="I986" s="44"/>
      <c r="J986" s="44"/>
      <c r="K986" s="44"/>
      <c r="L986" s="44"/>
      <c r="M986" s="44"/>
      <c r="N986" s="44"/>
      <c r="O986" s="44"/>
    </row>
    <row r="987" spans="1:15" ht="17.25" customHeight="1">
      <c r="A987" s="44"/>
      <c r="B987" s="44"/>
      <c r="C987" s="44"/>
      <c r="D987" s="44"/>
      <c r="E987" s="44"/>
      <c r="F987" s="44"/>
      <c r="G987" s="44"/>
      <c r="H987" s="44"/>
      <c r="I987" s="44"/>
      <c r="J987" s="44"/>
      <c r="K987" s="44"/>
      <c r="L987" s="44"/>
      <c r="M987" s="44"/>
      <c r="N987" s="44"/>
      <c r="O987" s="44"/>
    </row>
    <row r="988" spans="1:15" ht="17.25" customHeight="1">
      <c r="A988" s="44"/>
      <c r="B988" s="44"/>
      <c r="C988" s="44"/>
      <c r="D988" s="44"/>
      <c r="E988" s="44"/>
      <c r="F988" s="44"/>
      <c r="G988" s="44"/>
      <c r="H988" s="44"/>
      <c r="I988" s="44"/>
      <c r="J988" s="44"/>
      <c r="K988" s="44"/>
      <c r="L988" s="44"/>
      <c r="M988" s="44"/>
      <c r="N988" s="44"/>
      <c r="O988" s="44"/>
    </row>
    <row r="989" spans="1:15" ht="17.25" customHeight="1">
      <c r="A989" s="44"/>
      <c r="B989" s="44"/>
      <c r="C989" s="44"/>
      <c r="D989" s="44"/>
      <c r="E989" s="44"/>
      <c r="F989" s="44"/>
      <c r="G989" s="44"/>
      <c r="H989" s="44"/>
      <c r="I989" s="44"/>
      <c r="J989" s="44"/>
      <c r="K989" s="44"/>
      <c r="L989" s="44"/>
      <c r="M989" s="44"/>
      <c r="N989" s="44"/>
      <c r="O989" s="44"/>
    </row>
    <row r="990" spans="1:15" ht="17.25" customHeight="1">
      <c r="A990" s="44"/>
      <c r="B990" s="44"/>
      <c r="C990" s="44"/>
      <c r="D990" s="44"/>
      <c r="E990" s="44"/>
      <c r="F990" s="44"/>
      <c r="G990" s="44"/>
      <c r="H990" s="44"/>
      <c r="I990" s="44"/>
      <c r="J990" s="44"/>
      <c r="K990" s="44"/>
      <c r="L990" s="44"/>
      <c r="M990" s="44"/>
      <c r="N990" s="44"/>
      <c r="O990" s="44"/>
    </row>
    <row r="991" spans="1:15" ht="17.25" customHeight="1">
      <c r="A991" s="44"/>
      <c r="B991" s="44"/>
      <c r="C991" s="44"/>
      <c r="D991" s="44"/>
      <c r="E991" s="44"/>
      <c r="F991" s="44"/>
      <c r="G991" s="44"/>
      <c r="H991" s="44"/>
      <c r="I991" s="44"/>
      <c r="J991" s="44"/>
      <c r="K991" s="44"/>
      <c r="L991" s="44"/>
      <c r="M991" s="44"/>
      <c r="N991" s="44"/>
      <c r="O991" s="44"/>
    </row>
    <row r="992" spans="1:15" ht="17.25" customHeight="1">
      <c r="A992" s="44"/>
      <c r="B992" s="44"/>
      <c r="C992" s="44"/>
      <c r="D992" s="44"/>
      <c r="E992" s="44"/>
      <c r="F992" s="44"/>
      <c r="G992" s="44"/>
      <c r="H992" s="44"/>
      <c r="I992" s="44"/>
      <c r="J992" s="44"/>
      <c r="K992" s="44"/>
      <c r="L992" s="44"/>
      <c r="M992" s="44"/>
      <c r="N992" s="44"/>
      <c r="O992" s="44"/>
    </row>
    <row r="993" spans="1:15" ht="17.25" customHeight="1">
      <c r="A993" s="44"/>
      <c r="B993" s="44"/>
      <c r="C993" s="44"/>
      <c r="D993" s="44"/>
      <c r="E993" s="44"/>
      <c r="F993" s="44"/>
      <c r="G993" s="44"/>
      <c r="H993" s="44"/>
      <c r="I993" s="44"/>
      <c r="J993" s="44"/>
      <c r="K993" s="44"/>
      <c r="L993" s="44"/>
      <c r="M993" s="44"/>
      <c r="N993" s="44"/>
      <c r="O993" s="44"/>
    </row>
    <row r="994" spans="1:15" ht="17.25" customHeight="1">
      <c r="A994" s="44"/>
      <c r="B994" s="44"/>
      <c r="C994" s="44"/>
      <c r="D994" s="44"/>
      <c r="E994" s="44"/>
      <c r="F994" s="44"/>
      <c r="G994" s="44"/>
      <c r="H994" s="44"/>
      <c r="I994" s="44"/>
      <c r="J994" s="44"/>
      <c r="K994" s="44"/>
      <c r="L994" s="44"/>
      <c r="M994" s="44"/>
      <c r="N994" s="44"/>
      <c r="O994" s="44"/>
    </row>
    <row r="995" spans="1:15" ht="17.25" customHeight="1">
      <c r="A995" s="44"/>
      <c r="B995" s="44"/>
      <c r="C995" s="44"/>
      <c r="D995" s="44"/>
      <c r="E995" s="44"/>
      <c r="F995" s="44"/>
      <c r="G995" s="44"/>
      <c r="H995" s="44"/>
      <c r="I995" s="44"/>
      <c r="J995" s="44"/>
      <c r="K995" s="44"/>
      <c r="L995" s="44"/>
      <c r="M995" s="44"/>
      <c r="N995" s="44"/>
      <c r="O995" s="44"/>
    </row>
    <row r="996" spans="1:15" ht="17.25" customHeight="1">
      <c r="A996" s="44"/>
      <c r="B996" s="44"/>
      <c r="C996" s="44"/>
      <c r="D996" s="44"/>
      <c r="E996" s="44"/>
      <c r="F996" s="44"/>
      <c r="G996" s="44"/>
      <c r="H996" s="44"/>
      <c r="I996" s="44"/>
      <c r="J996" s="44"/>
      <c r="K996" s="44"/>
      <c r="L996" s="44"/>
      <c r="M996" s="44"/>
      <c r="N996" s="44"/>
      <c r="O996" s="44"/>
    </row>
    <row r="997" spans="1:15" ht="17.25" customHeight="1">
      <c r="A997" s="44"/>
      <c r="B997" s="44"/>
      <c r="C997" s="44"/>
      <c r="D997" s="44"/>
      <c r="E997" s="44"/>
      <c r="F997" s="44"/>
      <c r="G997" s="44"/>
      <c r="H997" s="44"/>
      <c r="I997" s="44"/>
      <c r="J997" s="44"/>
      <c r="K997" s="44"/>
      <c r="L997" s="44"/>
      <c r="M997" s="44"/>
      <c r="N997" s="44"/>
      <c r="O997" s="44"/>
    </row>
    <row r="998" spans="1:15" ht="17.25" customHeight="1">
      <c r="A998" s="44"/>
      <c r="B998" s="44"/>
      <c r="C998" s="44"/>
      <c r="D998" s="44"/>
      <c r="E998" s="44"/>
      <c r="F998" s="44"/>
      <c r="G998" s="44"/>
      <c r="H998" s="44"/>
      <c r="I998" s="44"/>
      <c r="J998" s="44"/>
      <c r="K998" s="44"/>
      <c r="L998" s="44"/>
      <c r="M998" s="44"/>
      <c r="N998" s="44"/>
      <c r="O998" s="44"/>
    </row>
  </sheetData>
  <mergeCells count="2">
    <mergeCell ref="G1:J2"/>
    <mergeCell ref="B4:C4"/>
  </mergeCells>
  <pageMargins left="0.7" right="0.7" top="0.75" bottom="0.75" header="0" footer="0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98"/>
  <sheetViews>
    <sheetView showGridLines="0" topLeftCell="A4" workbookViewId="0">
      <selection activeCell="J10" sqref="J10"/>
    </sheetView>
  </sheetViews>
  <sheetFormatPr baseColWidth="10" defaultColWidth="14.42578125" defaultRowHeight="15" customHeight="1"/>
  <cols>
    <col min="1" max="1" width="5.28515625" style="46" customWidth="1"/>
    <col min="2" max="3" width="12.42578125" style="46" customWidth="1"/>
    <col min="4" max="4" width="6.140625" style="46" customWidth="1"/>
    <col min="5" max="5" width="4.85546875" style="46" customWidth="1"/>
    <col min="6" max="6" width="3.28515625" style="46" customWidth="1"/>
    <col min="7" max="10" width="11.42578125" style="46" customWidth="1"/>
    <col min="11" max="11" width="8.42578125" style="46" customWidth="1"/>
    <col min="12" max="12" width="11.42578125" style="46" customWidth="1"/>
    <col min="13" max="13" width="7" style="46" customWidth="1"/>
    <col min="14" max="14" width="13.85546875" style="46" customWidth="1"/>
    <col min="15" max="15" width="3.140625" style="46" customWidth="1"/>
    <col min="16" max="16" width="30.85546875" style="46" customWidth="1"/>
    <col min="17" max="16384" width="14.42578125" style="46"/>
  </cols>
  <sheetData>
    <row r="1" spans="1:18" ht="21.75" customHeight="1">
      <c r="A1" s="44"/>
      <c r="B1" s="44"/>
      <c r="C1" s="44"/>
      <c r="D1" s="45"/>
      <c r="E1" s="45"/>
      <c r="F1" s="45"/>
      <c r="G1" s="156" t="s">
        <v>68</v>
      </c>
      <c r="H1" s="157"/>
      <c r="I1" s="157"/>
      <c r="J1" s="157"/>
      <c r="K1" s="44"/>
      <c r="L1" s="44"/>
      <c r="M1" s="44"/>
      <c r="N1" s="44"/>
      <c r="O1" s="44"/>
    </row>
    <row r="2" spans="1:18" ht="25.5" customHeight="1">
      <c r="A2" s="44"/>
      <c r="B2" s="44"/>
      <c r="C2" s="44"/>
      <c r="D2" s="47"/>
      <c r="E2" s="47"/>
      <c r="F2" s="47"/>
      <c r="G2" s="157"/>
      <c r="H2" s="157"/>
      <c r="I2" s="157"/>
      <c r="J2" s="157"/>
      <c r="K2" s="44"/>
      <c r="L2" s="44"/>
      <c r="M2" s="44"/>
      <c r="N2" s="44"/>
      <c r="O2" s="44"/>
      <c r="P2" s="46" t="s">
        <v>56</v>
      </c>
    </row>
    <row r="3" spans="1:18" ht="17.25" customHeight="1" thickBot="1">
      <c r="A3" s="44"/>
      <c r="B3" s="44"/>
      <c r="C3" s="44"/>
      <c r="D3" s="48"/>
      <c r="E3" s="48"/>
      <c r="F3" s="48"/>
      <c r="G3" s="44"/>
      <c r="H3" s="44"/>
      <c r="I3" s="44"/>
      <c r="J3" s="44"/>
      <c r="K3" s="44"/>
      <c r="L3" s="44"/>
      <c r="M3" s="44"/>
      <c r="N3" s="44"/>
      <c r="O3" s="44"/>
    </row>
    <row r="4" spans="1:18" ht="17.25" customHeight="1">
      <c r="A4" s="44"/>
      <c r="B4" s="158" t="s">
        <v>86</v>
      </c>
      <c r="C4" s="159"/>
      <c r="D4" s="48"/>
      <c r="E4" s="48"/>
      <c r="F4" s="48"/>
      <c r="G4" s="44"/>
      <c r="H4" s="44"/>
      <c r="I4" s="44"/>
      <c r="J4" s="105">
        <f>J7-J8</f>
        <v>7.7266388888884791E-2</v>
      </c>
      <c r="K4" s="44"/>
      <c r="L4" s="44"/>
      <c r="M4" s="44"/>
      <c r="N4" s="44"/>
      <c r="O4" s="44"/>
      <c r="P4" s="49"/>
      <c r="Q4" s="49" t="s">
        <v>69</v>
      </c>
      <c r="R4" s="49" t="s">
        <v>70</v>
      </c>
    </row>
    <row r="5" spans="1:18" ht="17.25" customHeight="1">
      <c r="A5" s="50" t="s">
        <v>71</v>
      </c>
      <c r="B5" s="50" t="s">
        <v>69</v>
      </c>
      <c r="C5" s="50" t="s">
        <v>70</v>
      </c>
      <c r="D5" s="48"/>
      <c r="E5" s="48"/>
      <c r="F5" s="48"/>
      <c r="G5" s="44"/>
      <c r="H5" s="44"/>
      <c r="I5" s="44"/>
      <c r="J5" s="44"/>
      <c r="K5" s="44"/>
      <c r="L5" s="44"/>
      <c r="M5" s="44"/>
      <c r="N5" s="44"/>
      <c r="O5" s="44"/>
      <c r="P5" s="51" t="s">
        <v>57</v>
      </c>
      <c r="Q5" s="52">
        <v>0.44317958101850902</v>
      </c>
      <c r="R5" s="52">
        <v>0.28883252777777418</v>
      </c>
    </row>
    <row r="6" spans="1:18" ht="17.25" customHeight="1">
      <c r="A6" s="53">
        <v>1</v>
      </c>
      <c r="B6" s="125">
        <v>0.139903124999989</v>
      </c>
      <c r="C6" s="125">
        <v>0.23865437500000999</v>
      </c>
      <c r="D6" s="48"/>
      <c r="E6" s="48"/>
      <c r="F6" s="48"/>
      <c r="G6" s="44" t="s">
        <v>72</v>
      </c>
      <c r="H6" s="44"/>
      <c r="I6" s="44"/>
      <c r="J6" s="44"/>
      <c r="K6" s="44"/>
      <c r="L6" s="44"/>
      <c r="M6" s="44"/>
      <c r="N6" s="44"/>
      <c r="O6" s="44"/>
      <c r="P6" s="51" t="s">
        <v>58</v>
      </c>
      <c r="Q6" s="54">
        <v>0.14537412548986117</v>
      </c>
      <c r="R6" s="54">
        <v>3.3513903219751534E-2</v>
      </c>
    </row>
    <row r="7" spans="1:18" ht="17.25" customHeight="1">
      <c r="A7" s="53">
        <v>2</v>
      </c>
      <c r="B7" s="125">
        <v>0.13049337500001501</v>
      </c>
      <c r="C7" s="125">
        <v>0.17498325000002524</v>
      </c>
      <c r="D7" s="48"/>
      <c r="E7" s="48"/>
      <c r="F7" s="48"/>
      <c r="G7" s="44"/>
      <c r="H7" s="44"/>
      <c r="I7" s="55" t="s">
        <v>73</v>
      </c>
      <c r="J7" s="56">
        <f>AVERAGE(B6:B23)</f>
        <v>0.23541143055555203</v>
      </c>
      <c r="K7" s="57" t="s">
        <v>74</v>
      </c>
      <c r="L7" s="58">
        <f>COUNT(B6:B23)</f>
        <v>18</v>
      </c>
      <c r="M7" s="57" t="s">
        <v>73</v>
      </c>
      <c r="N7" s="59">
        <f>_xlfn.VAR.S(B6:B23)</f>
        <v>2.7380092080668102E-2</v>
      </c>
      <c r="O7" s="44"/>
      <c r="P7" s="51" t="s">
        <v>59</v>
      </c>
      <c r="Q7" s="51">
        <v>18</v>
      </c>
      <c r="R7" s="51">
        <v>18</v>
      </c>
    </row>
    <row r="8" spans="1:18" ht="17.25" customHeight="1">
      <c r="A8" s="53">
        <v>3</v>
      </c>
      <c r="B8" s="125">
        <v>0.31623050000001701</v>
      </c>
      <c r="C8" s="125">
        <v>0.22772512499997799</v>
      </c>
      <c r="D8" s="48"/>
      <c r="E8" s="48"/>
      <c r="F8" s="48"/>
      <c r="G8" s="44"/>
      <c r="H8" s="44"/>
      <c r="I8" s="60" t="s">
        <v>73</v>
      </c>
      <c r="J8" s="56">
        <f>AVERAGE(C6:C23)</f>
        <v>0.15814504166666724</v>
      </c>
      <c r="K8" s="57" t="s">
        <v>75</v>
      </c>
      <c r="L8" s="58">
        <f>COUNT(C6:C23)</f>
        <v>18</v>
      </c>
      <c r="M8" s="57" t="s">
        <v>73</v>
      </c>
      <c r="N8" s="59">
        <f>_xlfn.VAR.S(C6:C23)</f>
        <v>1.4063219573712874E-2</v>
      </c>
      <c r="O8" s="44"/>
      <c r="P8" s="51" t="s">
        <v>60</v>
      </c>
      <c r="Q8" s="54">
        <v>8.9444014354806353E-2</v>
      </c>
      <c r="R8" s="51"/>
    </row>
    <row r="9" spans="1:18" ht="17.25" customHeight="1">
      <c r="A9" s="53">
        <v>4</v>
      </c>
      <c r="B9" s="125">
        <v>6.0960374999979194E-2</v>
      </c>
      <c r="C9" s="125">
        <v>0.35293912500000602</v>
      </c>
      <c r="D9" s="48"/>
      <c r="E9" s="48"/>
      <c r="F9" s="48"/>
      <c r="G9" s="44"/>
      <c r="H9" s="44"/>
      <c r="I9" s="44"/>
      <c r="J9" s="44"/>
      <c r="K9" s="44"/>
      <c r="L9" s="44"/>
      <c r="M9" s="57" t="s">
        <v>73</v>
      </c>
      <c r="N9" s="59">
        <f>((L7-1)*N7+(L8-1)*N8)/(L7+L8-2)</f>
        <v>2.0721655827190488E-2</v>
      </c>
      <c r="O9" s="44"/>
      <c r="P9" s="51" t="s">
        <v>61</v>
      </c>
      <c r="Q9" s="51">
        <v>0</v>
      </c>
      <c r="R9" s="51"/>
    </row>
    <row r="10" spans="1:18" ht="17.25" customHeight="1">
      <c r="A10" s="53">
        <v>5</v>
      </c>
      <c r="B10" s="125">
        <v>0.32586449999999401</v>
      </c>
      <c r="C10" s="125">
        <v>8.5152749999991798E-2</v>
      </c>
      <c r="D10" s="48"/>
      <c r="E10" s="48"/>
      <c r="F10" s="48"/>
      <c r="G10" s="44"/>
      <c r="H10" s="44"/>
      <c r="I10" s="57" t="s">
        <v>76</v>
      </c>
      <c r="J10" s="61">
        <f>(J7-J8)/SQRT(N7/L7+N8/L8)</f>
        <v>1.6102734866191957</v>
      </c>
      <c r="K10" s="44"/>
      <c r="L10" s="44"/>
      <c r="M10" s="44"/>
      <c r="N10" s="44"/>
      <c r="O10" s="44"/>
      <c r="P10" s="51" t="s">
        <v>62</v>
      </c>
      <c r="Q10" s="51">
        <v>34</v>
      </c>
      <c r="R10" s="51"/>
    </row>
    <row r="11" spans="1:18" ht="17.25" customHeight="1" thickBot="1">
      <c r="A11" s="53">
        <v>6</v>
      </c>
      <c r="B11" s="125">
        <v>0.29499925000001798</v>
      </c>
      <c r="C11" s="125">
        <v>0.46338074999999901</v>
      </c>
      <c r="D11" s="48"/>
      <c r="E11" s="48"/>
      <c r="F11" s="48"/>
      <c r="G11" s="44"/>
      <c r="H11" s="44"/>
      <c r="I11" s="44"/>
      <c r="J11" s="44"/>
      <c r="K11" s="44"/>
      <c r="L11" s="44"/>
      <c r="M11" s="62"/>
      <c r="N11" s="44">
        <f>J10</f>
        <v>1.6102734866191957</v>
      </c>
      <c r="O11" s="44"/>
      <c r="P11" s="51" t="s">
        <v>63</v>
      </c>
      <c r="Q11" s="81">
        <v>1.5482602214075776</v>
      </c>
      <c r="R11" s="51"/>
    </row>
    <row r="12" spans="1:18" ht="17.25" customHeight="1">
      <c r="A12" s="53">
        <v>1</v>
      </c>
      <c r="B12" s="30">
        <v>0.218476125000024</v>
      </c>
      <c r="C12" s="30">
        <v>0.10277837500001397</v>
      </c>
      <c r="E12" s="48"/>
      <c r="F12" s="48"/>
      <c r="G12" s="44"/>
      <c r="H12" s="44"/>
      <c r="I12" s="44"/>
      <c r="J12" s="44"/>
      <c r="K12" s="44"/>
      <c r="L12" s="44"/>
      <c r="M12" s="62"/>
      <c r="N12" s="44"/>
      <c r="O12" s="44"/>
      <c r="P12" s="51" t="s">
        <v>64</v>
      </c>
      <c r="Q12" s="51">
        <v>6.5409292048025119E-2</v>
      </c>
      <c r="R12" s="51"/>
    </row>
    <row r="13" spans="1:18" ht="17.25" customHeight="1">
      <c r="A13" s="53">
        <v>2</v>
      </c>
      <c r="B13" s="125">
        <v>1.7742999999967399E-2</v>
      </c>
      <c r="C13" s="125">
        <v>2.6851875000033942E-2</v>
      </c>
      <c r="E13" s="48"/>
      <c r="F13" s="48"/>
      <c r="G13" s="63" t="s">
        <v>77</v>
      </c>
      <c r="H13" s="63"/>
      <c r="I13" s="64" t="s">
        <v>78</v>
      </c>
      <c r="J13" s="65">
        <f>L7+L8-2</f>
        <v>34</v>
      </c>
      <c r="K13" s="44"/>
      <c r="L13" s="44"/>
      <c r="M13" s="62"/>
      <c r="N13" s="66"/>
      <c r="O13" s="44"/>
      <c r="P13" s="51" t="s">
        <v>65</v>
      </c>
      <c r="Q13" s="51">
        <v>1.6909242551868542</v>
      </c>
      <c r="R13" s="51"/>
    </row>
    <row r="14" spans="1:18" ht="17.25" customHeight="1">
      <c r="A14" s="53">
        <v>3</v>
      </c>
      <c r="B14" s="125">
        <v>2.7812499999981801E-3</v>
      </c>
      <c r="C14" s="125">
        <v>0.20607624999999499</v>
      </c>
      <c r="E14" s="48"/>
      <c r="F14" s="48"/>
      <c r="G14" s="63"/>
      <c r="H14" s="63"/>
      <c r="I14" s="80" t="s">
        <v>79</v>
      </c>
      <c r="J14" s="67">
        <v>0.05</v>
      </c>
      <c r="K14" s="68">
        <f>J14</f>
        <v>0.05</v>
      </c>
      <c r="L14" s="44"/>
      <c r="M14" s="44"/>
      <c r="N14" s="66"/>
      <c r="O14" s="44"/>
      <c r="P14" s="51" t="s">
        <v>66</v>
      </c>
      <c r="Q14" s="54">
        <v>0.13081858409605024</v>
      </c>
      <c r="R14" s="51"/>
    </row>
    <row r="15" spans="1:18" ht="17.25" customHeight="1" thickBot="1">
      <c r="A15" s="53">
        <v>4</v>
      </c>
      <c r="B15" s="125">
        <v>3.4352624999996799E-2</v>
      </c>
      <c r="C15" s="125">
        <v>2.3873000000008915E-2</v>
      </c>
      <c r="E15" s="48"/>
      <c r="F15" s="48"/>
      <c r="G15" s="63"/>
      <c r="H15" s="63"/>
      <c r="I15" s="63"/>
      <c r="J15" s="63"/>
      <c r="K15" s="44"/>
      <c r="L15" s="44"/>
      <c r="M15" s="44"/>
      <c r="N15" s="44"/>
      <c r="O15" s="44"/>
      <c r="P15" s="69" t="s">
        <v>67</v>
      </c>
      <c r="Q15" s="70">
        <v>2.0322445093177191</v>
      </c>
      <c r="R15" s="69"/>
    </row>
    <row r="16" spans="1:18" ht="17.25" customHeight="1">
      <c r="A16" s="53">
        <v>5</v>
      </c>
      <c r="B16" s="125">
        <v>0.21206674999999101</v>
      </c>
      <c r="C16" s="125">
        <v>0.16459787499999834</v>
      </c>
      <c r="E16" s="48"/>
      <c r="F16" s="48"/>
      <c r="G16" s="63"/>
      <c r="H16" s="63"/>
      <c r="I16" s="71" t="s">
        <v>73</v>
      </c>
      <c r="J16" s="72">
        <f>_xlfn.T.INV.2T(J14,J13)</f>
        <v>2.0322445093177191</v>
      </c>
      <c r="K16" s="73"/>
      <c r="L16" s="62">
        <f>-J16</f>
        <v>-2.0322445093177191</v>
      </c>
      <c r="M16" s="44"/>
      <c r="N16" s="74">
        <f>J16</f>
        <v>2.0322445093177191</v>
      </c>
      <c r="O16" s="44"/>
    </row>
    <row r="17" spans="1:15" ht="17.25" customHeight="1" thickBot="1">
      <c r="A17" s="53">
        <v>6</v>
      </c>
      <c r="B17" s="34">
        <v>0.15090200000000209</v>
      </c>
      <c r="C17" s="34">
        <v>3.1547999999986601E-2</v>
      </c>
      <c r="E17" s="48"/>
      <c r="F17" s="48"/>
      <c r="G17" s="63"/>
      <c r="H17" s="63"/>
      <c r="I17" s="63" t="s">
        <v>80</v>
      </c>
      <c r="J17" s="72">
        <f>_xlfn.T.DIST.2T(J10,J13)</f>
        <v>0.11658475706804428</v>
      </c>
      <c r="K17" s="44" t="s">
        <v>83</v>
      </c>
      <c r="L17" s="44"/>
      <c r="M17" s="44"/>
      <c r="N17" s="44"/>
      <c r="O17" s="44"/>
    </row>
    <row r="18" spans="1:15" ht="17.25" customHeight="1">
      <c r="A18" s="53">
        <v>1</v>
      </c>
      <c r="B18" s="30">
        <v>0.39640162499999598</v>
      </c>
      <c r="C18" s="30">
        <v>9.3411250000016793E-2</v>
      </c>
      <c r="D18" s="48"/>
      <c r="E18" s="48"/>
      <c r="F18" s="48"/>
      <c r="G18" s="44"/>
      <c r="H18" s="75"/>
      <c r="I18" s="44"/>
      <c r="J18" s="44"/>
      <c r="K18" s="44"/>
      <c r="L18" s="44"/>
      <c r="M18" s="44"/>
      <c r="N18" s="44"/>
      <c r="O18" s="44"/>
    </row>
    <row r="19" spans="1:15" ht="17.25" customHeight="1">
      <c r="A19" s="53">
        <v>2</v>
      </c>
      <c r="B19" s="125">
        <v>0.46521249999999298</v>
      </c>
      <c r="C19" s="125">
        <v>0.22037487499999001</v>
      </c>
      <c r="D19" s="48"/>
      <c r="E19" s="48"/>
      <c r="F19" s="48"/>
      <c r="G19" s="57" t="s">
        <v>81</v>
      </c>
      <c r="H19" s="76" t="s">
        <v>116</v>
      </c>
      <c r="I19" s="44"/>
      <c r="J19" s="44"/>
      <c r="K19" s="44"/>
      <c r="L19" s="44"/>
      <c r="M19" s="44"/>
      <c r="N19" s="44"/>
      <c r="O19" s="44"/>
    </row>
    <row r="20" spans="1:15" ht="17.25" customHeight="1">
      <c r="A20" s="53">
        <v>3</v>
      </c>
      <c r="B20" s="125">
        <v>0.52766499999998495</v>
      </c>
      <c r="C20" s="125">
        <v>0.101268250000004</v>
      </c>
      <c r="D20" s="48"/>
      <c r="E20" s="48"/>
      <c r="F20" s="48"/>
      <c r="G20" s="57"/>
      <c r="H20" s="44"/>
      <c r="I20" s="44"/>
      <c r="J20" s="44"/>
      <c r="K20" s="44"/>
      <c r="L20" s="44"/>
      <c r="M20" s="44"/>
      <c r="N20" s="44"/>
      <c r="O20" s="44"/>
    </row>
    <row r="21" spans="1:15" ht="17.25" customHeight="1">
      <c r="A21" s="53">
        <v>4</v>
      </c>
      <c r="B21" s="125">
        <v>0.16380962499999899</v>
      </c>
      <c r="C21" s="125">
        <v>6.9751249999825404E-3</v>
      </c>
      <c r="D21" s="48"/>
      <c r="E21" s="48"/>
      <c r="F21" s="48"/>
      <c r="G21" s="77"/>
      <c r="H21" s="44"/>
      <c r="I21" s="44"/>
      <c r="J21" s="44"/>
      <c r="K21" s="44"/>
      <c r="L21" s="44"/>
      <c r="M21" s="44"/>
      <c r="N21" s="44"/>
      <c r="O21" s="44"/>
    </row>
    <row r="22" spans="1:15" ht="17.25" customHeight="1">
      <c r="A22" s="53">
        <v>5</v>
      </c>
      <c r="B22" s="125">
        <v>0.26766512499997902</v>
      </c>
      <c r="C22" s="125">
        <v>0.17109587499999199</v>
      </c>
      <c r="D22" s="48"/>
      <c r="E22" s="44"/>
      <c r="F22" s="48"/>
      <c r="G22" s="44"/>
      <c r="H22" s="44"/>
      <c r="I22" s="44"/>
      <c r="J22" s="44"/>
      <c r="K22" s="44"/>
      <c r="L22" s="44"/>
      <c r="M22" s="44"/>
      <c r="N22" s="44"/>
      <c r="O22" s="44"/>
    </row>
    <row r="23" spans="1:15" ht="17.25" customHeight="1" thickBot="1">
      <c r="A23" s="53">
        <v>6</v>
      </c>
      <c r="B23" s="34">
        <v>0.51187899999999298</v>
      </c>
      <c r="C23" s="34">
        <v>0.15492462499997828</v>
      </c>
      <c r="D23" s="48"/>
      <c r="E23" s="44"/>
      <c r="F23" s="44"/>
      <c r="G23" s="44"/>
      <c r="H23" s="44"/>
      <c r="I23" s="78"/>
      <c r="J23" s="79"/>
      <c r="K23" s="44"/>
      <c r="L23" s="44"/>
      <c r="M23" s="44"/>
      <c r="N23" s="44"/>
      <c r="O23" s="44"/>
    </row>
    <row r="24" spans="1:15" ht="17.25" customHeight="1">
      <c r="A24" s="85"/>
      <c r="B24" s="85"/>
      <c r="C24" s="85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</row>
    <row r="25" spans="1:15" ht="17.25" customHeight="1">
      <c r="A25" s="44"/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</row>
    <row r="26" spans="1:15" ht="17.25" customHeight="1">
      <c r="A26" s="44"/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</row>
    <row r="27" spans="1:15" ht="17.25" customHeight="1">
      <c r="A27" s="44"/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</row>
    <row r="28" spans="1:15" ht="17.25" customHeight="1">
      <c r="A28" s="44"/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</row>
    <row r="29" spans="1:15" ht="17.25" customHeight="1">
      <c r="A29" s="44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</row>
    <row r="30" spans="1:15" ht="17.25" customHeight="1">
      <c r="A30" s="44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</row>
    <row r="31" spans="1:15" ht="17.25" customHeight="1">
      <c r="A31" s="44"/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</row>
    <row r="32" spans="1:15" ht="17.25" customHeight="1">
      <c r="A32" s="44"/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</row>
    <row r="33" spans="1:15" ht="17.25" customHeight="1">
      <c r="A33" s="44"/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</row>
    <row r="34" spans="1:15" ht="17.25" customHeight="1">
      <c r="A34" s="44"/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</row>
    <row r="35" spans="1:15" ht="17.25" customHeight="1">
      <c r="A35" s="44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</row>
    <row r="36" spans="1:15" ht="17.25" customHeight="1">
      <c r="A36" s="44"/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</row>
    <row r="37" spans="1:15" ht="17.25" customHeight="1">
      <c r="A37" s="44"/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</row>
    <row r="38" spans="1:15" ht="17.25" customHeight="1">
      <c r="A38" s="44"/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</row>
    <row r="39" spans="1:15" ht="17.25" customHeight="1">
      <c r="A39" s="44"/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</row>
    <row r="40" spans="1:15" ht="17.25" customHeight="1">
      <c r="A40" s="44"/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</row>
    <row r="41" spans="1:15" ht="17.25" customHeight="1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</row>
    <row r="42" spans="1:15" ht="17.25" customHeight="1">
      <c r="A42" s="44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</row>
    <row r="43" spans="1:15" ht="17.25" customHeight="1">
      <c r="A43" s="44"/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</row>
    <row r="44" spans="1:15" ht="17.25" customHeight="1">
      <c r="A44" s="44"/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</row>
    <row r="45" spans="1:15" ht="17.25" customHeight="1">
      <c r="A45" s="44"/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</row>
    <row r="46" spans="1:15" ht="17.25" customHeight="1">
      <c r="A46" s="44"/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</row>
    <row r="47" spans="1:15" ht="17.25" customHeight="1">
      <c r="A47" s="44"/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</row>
    <row r="48" spans="1:15" ht="17.25" customHeight="1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</row>
    <row r="49" spans="1:15" ht="17.25" customHeight="1">
      <c r="A49" s="44"/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</row>
    <row r="50" spans="1:15" ht="17.25" customHeight="1">
      <c r="A50" s="44"/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</row>
    <row r="51" spans="1:15" ht="17.25" customHeight="1">
      <c r="A51" s="44"/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</row>
    <row r="52" spans="1:15" ht="17.25" customHeight="1">
      <c r="A52" s="44"/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</row>
    <row r="53" spans="1:15" ht="17.25" customHeight="1">
      <c r="A53" s="44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</row>
    <row r="54" spans="1:15" ht="17.25" customHeight="1">
      <c r="A54" s="44"/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</row>
    <row r="55" spans="1:15" ht="17.25" customHeight="1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</row>
    <row r="56" spans="1:15" ht="17.25" customHeight="1">
      <c r="A56" s="44"/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</row>
    <row r="57" spans="1:15" ht="17.25" customHeight="1">
      <c r="A57" s="44"/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</row>
    <row r="58" spans="1:15" ht="17.25" customHeight="1">
      <c r="A58" s="44"/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</row>
    <row r="59" spans="1:15" ht="17.25" customHeight="1">
      <c r="A59" s="44"/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</row>
    <row r="60" spans="1:15" ht="17.25" customHeight="1">
      <c r="A60" s="44"/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</row>
    <row r="61" spans="1:15" ht="17.25" customHeight="1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</row>
    <row r="62" spans="1:15" ht="17.25" customHeight="1">
      <c r="A62" s="44"/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</row>
    <row r="63" spans="1:15" ht="17.25" customHeight="1">
      <c r="A63" s="44"/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</row>
    <row r="64" spans="1:15" ht="17.25" customHeight="1">
      <c r="A64" s="44"/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</row>
    <row r="65" spans="1:15" ht="17.25" customHeight="1">
      <c r="A65" s="44"/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</row>
    <row r="66" spans="1:15" ht="17.25" customHeight="1">
      <c r="A66" s="44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</row>
    <row r="67" spans="1:15" ht="17.25" customHeight="1">
      <c r="A67" s="44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</row>
    <row r="68" spans="1:15" ht="17.25" customHeight="1">
      <c r="A68" s="44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</row>
    <row r="69" spans="1:15" ht="17.25" customHeight="1">
      <c r="A69" s="44"/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</row>
    <row r="70" spans="1:15" ht="17.25" customHeight="1">
      <c r="A70" s="44"/>
      <c r="B70" s="44"/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</row>
    <row r="71" spans="1:15" ht="17.25" customHeight="1">
      <c r="A71" s="44"/>
      <c r="B71" s="44"/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</row>
    <row r="72" spans="1:15" ht="17.25" customHeight="1">
      <c r="A72" s="44"/>
      <c r="B72" s="44"/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</row>
    <row r="73" spans="1:15" ht="17.25" customHeight="1">
      <c r="A73" s="44"/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</row>
    <row r="74" spans="1:15" ht="17.25" customHeight="1">
      <c r="A74" s="44"/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</row>
    <row r="75" spans="1:15" ht="17.25" customHeight="1">
      <c r="A75" s="44"/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</row>
    <row r="76" spans="1:15" ht="17.25" customHeight="1">
      <c r="A76" s="44"/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</row>
    <row r="77" spans="1:15" ht="17.25" customHeight="1">
      <c r="A77" s="44"/>
      <c r="B77" s="44"/>
      <c r="C77" s="44"/>
      <c r="D77" s="44"/>
      <c r="E77" s="44"/>
      <c r="F77" s="44"/>
      <c r="G77" s="44"/>
      <c r="H77" s="44"/>
      <c r="I77" s="44"/>
      <c r="J77" s="44"/>
      <c r="K77" s="44"/>
      <c r="L77" s="44"/>
      <c r="M77" s="44"/>
      <c r="N77" s="44"/>
      <c r="O77" s="44"/>
    </row>
    <row r="78" spans="1:15" ht="17.25" customHeight="1">
      <c r="A78" s="44"/>
      <c r="B78" s="44"/>
      <c r="C78" s="44"/>
      <c r="D78" s="44"/>
      <c r="E78" s="44"/>
      <c r="F78" s="44"/>
      <c r="G78" s="44"/>
      <c r="H78" s="44"/>
      <c r="I78" s="44"/>
      <c r="J78" s="44"/>
      <c r="K78" s="44"/>
      <c r="L78" s="44"/>
      <c r="M78" s="44"/>
      <c r="N78" s="44"/>
      <c r="O78" s="44"/>
    </row>
    <row r="79" spans="1:15" ht="17.25" customHeight="1">
      <c r="A79" s="44"/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</row>
    <row r="80" spans="1:15" ht="17.25" customHeight="1">
      <c r="A80" s="44"/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</row>
    <row r="81" spans="1:15" ht="17.25" customHeight="1">
      <c r="A81" s="44"/>
      <c r="B81" s="44"/>
      <c r="C81" s="44"/>
      <c r="D81" s="44"/>
      <c r="E81" s="44"/>
      <c r="F81" s="44"/>
      <c r="G81" s="44"/>
      <c r="H81" s="44"/>
      <c r="I81" s="44"/>
      <c r="J81" s="44"/>
      <c r="K81" s="44"/>
      <c r="L81" s="44"/>
      <c r="M81" s="44"/>
      <c r="N81" s="44"/>
      <c r="O81" s="44"/>
    </row>
    <row r="82" spans="1:15" ht="17.25" customHeight="1">
      <c r="A82" s="44"/>
      <c r="B82" s="44"/>
      <c r="C82" s="44"/>
      <c r="D82" s="44"/>
      <c r="E82" s="44"/>
      <c r="F82" s="44"/>
      <c r="G82" s="44"/>
      <c r="H82" s="44"/>
      <c r="I82" s="44"/>
      <c r="J82" s="44"/>
      <c r="K82" s="44"/>
      <c r="L82" s="44"/>
      <c r="M82" s="44"/>
      <c r="N82" s="44"/>
      <c r="O82" s="44"/>
    </row>
    <row r="83" spans="1:15" ht="17.25" customHeight="1">
      <c r="A83" s="44"/>
      <c r="B83" s="44"/>
      <c r="C83" s="44"/>
      <c r="D83" s="44"/>
      <c r="E83" s="44"/>
      <c r="F83" s="44"/>
      <c r="G83" s="44"/>
      <c r="H83" s="44"/>
      <c r="I83" s="44"/>
      <c r="J83" s="44"/>
      <c r="K83" s="44"/>
      <c r="L83" s="44"/>
      <c r="M83" s="44"/>
      <c r="N83" s="44"/>
      <c r="O83" s="44"/>
    </row>
    <row r="84" spans="1:15" ht="17.25" customHeight="1">
      <c r="A84" s="44"/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M84" s="44"/>
      <c r="N84" s="44"/>
      <c r="O84" s="44"/>
    </row>
    <row r="85" spans="1:15" ht="17.25" customHeight="1">
      <c r="A85" s="44"/>
      <c r="B85" s="44"/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</row>
    <row r="86" spans="1:15" ht="17.25" customHeight="1">
      <c r="A86" s="44"/>
      <c r="B86" s="44"/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</row>
    <row r="87" spans="1:15" ht="17.25" customHeight="1">
      <c r="A87" s="44"/>
      <c r="B87" s="44"/>
      <c r="C87" s="44"/>
      <c r="D87" s="44"/>
      <c r="E87" s="44"/>
      <c r="F87" s="44"/>
      <c r="G87" s="44"/>
      <c r="H87" s="44"/>
      <c r="I87" s="44"/>
      <c r="J87" s="44"/>
      <c r="K87" s="44"/>
      <c r="L87" s="44"/>
      <c r="M87" s="44"/>
      <c r="N87" s="44"/>
      <c r="O87" s="44"/>
    </row>
    <row r="88" spans="1:15" ht="17.25" customHeight="1">
      <c r="A88" s="44"/>
      <c r="B88" s="44"/>
      <c r="C88" s="44"/>
      <c r="D88" s="44"/>
      <c r="E88" s="44"/>
      <c r="F88" s="44"/>
      <c r="G88" s="44"/>
      <c r="H88" s="44"/>
      <c r="I88" s="44"/>
      <c r="J88" s="44"/>
      <c r="K88" s="44"/>
      <c r="L88" s="44"/>
      <c r="M88" s="44"/>
      <c r="N88" s="44"/>
      <c r="O88" s="44"/>
    </row>
    <row r="89" spans="1:15" ht="17.25" customHeight="1">
      <c r="A89" s="44"/>
      <c r="B89" s="44"/>
      <c r="C89" s="44"/>
      <c r="D89" s="44"/>
      <c r="E89" s="44"/>
      <c r="F89" s="44"/>
      <c r="G89" s="44"/>
      <c r="H89" s="44"/>
      <c r="I89" s="44"/>
      <c r="J89" s="44"/>
      <c r="K89" s="44"/>
      <c r="L89" s="44"/>
      <c r="M89" s="44"/>
      <c r="N89" s="44"/>
      <c r="O89" s="44"/>
    </row>
    <row r="90" spans="1:15" ht="17.25" customHeight="1">
      <c r="A90" s="44"/>
      <c r="B90" s="44"/>
      <c r="C90" s="44"/>
      <c r="D90" s="44"/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44"/>
    </row>
    <row r="91" spans="1:15" ht="17.25" customHeight="1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</row>
    <row r="92" spans="1:15" ht="17.25" customHeight="1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</row>
    <row r="93" spans="1:15" ht="17.25" customHeight="1">
      <c r="A93" s="44"/>
      <c r="B93" s="44"/>
      <c r="C93" s="44"/>
      <c r="D93" s="44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</row>
    <row r="94" spans="1:15" ht="17.25" customHeight="1">
      <c r="A94" s="44"/>
      <c r="B94" s="44"/>
      <c r="C94" s="44"/>
      <c r="D94" s="44"/>
      <c r="E94" s="44"/>
      <c r="F94" s="44"/>
      <c r="G94" s="44"/>
      <c r="H94" s="44"/>
      <c r="I94" s="44"/>
      <c r="J94" s="44"/>
      <c r="K94" s="44"/>
      <c r="L94" s="44"/>
      <c r="M94" s="44"/>
      <c r="N94" s="44"/>
      <c r="O94" s="44"/>
    </row>
    <row r="95" spans="1:15" ht="17.25" customHeight="1">
      <c r="A95" s="44"/>
      <c r="B95" s="44"/>
      <c r="C95" s="44"/>
      <c r="D95" s="44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</row>
    <row r="96" spans="1:15" ht="17.25" customHeight="1">
      <c r="A96" s="44"/>
      <c r="B96" s="44"/>
      <c r="C96" s="44"/>
      <c r="D96" s="44"/>
      <c r="E96" s="44"/>
      <c r="F96" s="44"/>
      <c r="G96" s="44"/>
      <c r="H96" s="44"/>
      <c r="I96" s="44"/>
      <c r="J96" s="44"/>
      <c r="K96" s="44"/>
      <c r="L96" s="44"/>
      <c r="M96" s="44"/>
      <c r="N96" s="44"/>
      <c r="O96" s="44"/>
    </row>
    <row r="97" spans="1:15" ht="17.25" customHeight="1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</row>
    <row r="98" spans="1:15" ht="17.25" customHeight="1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</row>
    <row r="99" spans="1:15" ht="17.25" customHeight="1">
      <c r="A99" s="44"/>
      <c r="B99" s="44"/>
      <c r="C99" s="44"/>
      <c r="D99" s="44"/>
      <c r="E99" s="44"/>
      <c r="F99" s="44"/>
      <c r="G99" s="44"/>
      <c r="H99" s="44"/>
      <c r="I99" s="44"/>
      <c r="J99" s="44"/>
      <c r="K99" s="44"/>
      <c r="L99" s="44"/>
      <c r="M99" s="44"/>
      <c r="N99" s="44"/>
      <c r="O99" s="44"/>
    </row>
    <row r="100" spans="1:15" ht="17.25" customHeight="1">
      <c r="A100" s="44"/>
      <c r="B100" s="44"/>
      <c r="C100" s="44"/>
      <c r="D100" s="44"/>
      <c r="E100" s="44"/>
      <c r="F100" s="44"/>
      <c r="G100" s="44"/>
      <c r="H100" s="44"/>
      <c r="I100" s="44"/>
      <c r="J100" s="44"/>
      <c r="K100" s="44"/>
      <c r="L100" s="44"/>
      <c r="M100" s="44"/>
      <c r="N100" s="44"/>
      <c r="O100" s="44"/>
    </row>
    <row r="101" spans="1:15" ht="17.25" customHeight="1">
      <c r="A101" s="44"/>
      <c r="B101" s="44"/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44"/>
    </row>
    <row r="102" spans="1:15" ht="17.25" customHeight="1">
      <c r="A102" s="44"/>
      <c r="B102" s="44"/>
      <c r="C102" s="44"/>
      <c r="D102" s="44"/>
      <c r="E102" s="44"/>
      <c r="F102" s="44"/>
      <c r="G102" s="44"/>
      <c r="H102" s="44"/>
      <c r="I102" s="44"/>
      <c r="J102" s="44"/>
      <c r="K102" s="44"/>
      <c r="L102" s="44"/>
      <c r="M102" s="44"/>
      <c r="N102" s="44"/>
      <c r="O102" s="44"/>
    </row>
    <row r="103" spans="1:15" ht="17.25" customHeight="1">
      <c r="A103" s="44"/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</row>
    <row r="104" spans="1:15" ht="17.25" customHeight="1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</row>
    <row r="105" spans="1:15" ht="17.25" customHeight="1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</row>
    <row r="106" spans="1:15" ht="17.25" customHeight="1">
      <c r="A106" s="44"/>
      <c r="B106" s="44"/>
      <c r="C106" s="44"/>
      <c r="D106" s="44"/>
      <c r="E106" s="44"/>
      <c r="F106" s="44"/>
      <c r="G106" s="44"/>
      <c r="H106" s="44"/>
      <c r="I106" s="44"/>
      <c r="J106" s="44"/>
      <c r="K106" s="44"/>
      <c r="L106" s="44"/>
      <c r="M106" s="44"/>
      <c r="N106" s="44"/>
      <c r="O106" s="44"/>
    </row>
    <row r="107" spans="1:15" ht="17.25" customHeight="1">
      <c r="A107" s="44"/>
      <c r="B107" s="44"/>
      <c r="C107" s="44"/>
      <c r="D107" s="44"/>
      <c r="E107" s="44"/>
      <c r="F107" s="44"/>
      <c r="G107" s="44"/>
      <c r="H107" s="44"/>
      <c r="I107" s="44"/>
      <c r="J107" s="44"/>
      <c r="K107" s="44"/>
      <c r="L107" s="44"/>
      <c r="M107" s="44"/>
      <c r="N107" s="44"/>
      <c r="O107" s="44"/>
    </row>
    <row r="108" spans="1:15" ht="17.25" customHeight="1">
      <c r="A108" s="44"/>
      <c r="B108" s="44"/>
      <c r="C108" s="44"/>
      <c r="D108" s="44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</row>
    <row r="109" spans="1:15" ht="17.25" customHeight="1">
      <c r="A109" s="44"/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  <c r="N109" s="44"/>
      <c r="O109" s="44"/>
    </row>
    <row r="110" spans="1:15" ht="17.25" customHeight="1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</row>
    <row r="111" spans="1:15" ht="17.25" customHeight="1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</row>
    <row r="112" spans="1:15" ht="17.25" customHeight="1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</row>
    <row r="113" spans="1:15" ht="17.25" customHeight="1">
      <c r="A113" s="44"/>
      <c r="B113" s="44"/>
      <c r="C113" s="44"/>
      <c r="D113" s="44"/>
      <c r="E113" s="44"/>
      <c r="F113" s="44"/>
      <c r="G113" s="44"/>
      <c r="H113" s="44"/>
      <c r="I113" s="44"/>
      <c r="J113" s="44"/>
      <c r="K113" s="44"/>
      <c r="L113" s="44"/>
      <c r="M113" s="44"/>
      <c r="N113" s="44"/>
      <c r="O113" s="44"/>
    </row>
    <row r="114" spans="1:15" ht="17.25" customHeight="1">
      <c r="A114" s="44"/>
      <c r="B114" s="44"/>
      <c r="C114" s="44"/>
      <c r="D114" s="44"/>
      <c r="E114" s="44"/>
      <c r="F114" s="44"/>
      <c r="G114" s="44"/>
      <c r="H114" s="44"/>
      <c r="I114" s="44"/>
      <c r="J114" s="44"/>
      <c r="K114" s="44"/>
      <c r="L114" s="44"/>
      <c r="M114" s="44"/>
      <c r="N114" s="44"/>
      <c r="O114" s="44"/>
    </row>
    <row r="115" spans="1:15" ht="17.25" customHeight="1">
      <c r="A115" s="44"/>
      <c r="B115" s="44"/>
      <c r="C115" s="44"/>
      <c r="D115" s="44"/>
      <c r="E115" s="44"/>
      <c r="F115" s="44"/>
      <c r="G115" s="44"/>
      <c r="H115" s="44"/>
      <c r="I115" s="44"/>
      <c r="J115" s="44"/>
      <c r="K115" s="44"/>
      <c r="L115" s="44"/>
      <c r="M115" s="44"/>
      <c r="N115" s="44"/>
      <c r="O115" s="44"/>
    </row>
    <row r="116" spans="1:15" ht="17.25" customHeight="1">
      <c r="A116" s="44"/>
      <c r="B116" s="44"/>
      <c r="C116" s="44"/>
      <c r="D116" s="44"/>
      <c r="E116" s="44"/>
      <c r="F116" s="44"/>
      <c r="G116" s="44"/>
      <c r="H116" s="44"/>
      <c r="I116" s="44"/>
      <c r="J116" s="44"/>
      <c r="K116" s="44"/>
      <c r="L116" s="44"/>
      <c r="M116" s="44"/>
      <c r="N116" s="44"/>
      <c r="O116" s="44"/>
    </row>
    <row r="117" spans="1:15" ht="17.25" customHeight="1">
      <c r="A117" s="44"/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</row>
    <row r="118" spans="1:15" ht="17.25" customHeight="1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</row>
    <row r="119" spans="1:15" ht="17.25" customHeight="1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</row>
    <row r="120" spans="1:15" ht="17.25" customHeight="1">
      <c r="A120" s="44"/>
      <c r="B120" s="44"/>
      <c r="C120" s="44"/>
      <c r="D120" s="44"/>
      <c r="E120" s="44"/>
      <c r="F120" s="44"/>
      <c r="G120" s="44"/>
      <c r="H120" s="44"/>
      <c r="I120" s="44"/>
      <c r="J120" s="44"/>
      <c r="K120" s="44"/>
      <c r="L120" s="44"/>
      <c r="M120" s="44"/>
      <c r="N120" s="44"/>
      <c r="O120" s="44"/>
    </row>
    <row r="121" spans="1:15" ht="17.25" customHeight="1">
      <c r="A121" s="44"/>
      <c r="B121" s="44"/>
      <c r="C121" s="44"/>
      <c r="D121" s="44"/>
      <c r="E121" s="44"/>
      <c r="F121" s="44"/>
      <c r="G121" s="44"/>
      <c r="H121" s="44"/>
      <c r="I121" s="44"/>
      <c r="J121" s="44"/>
      <c r="K121" s="44"/>
      <c r="L121" s="44"/>
      <c r="M121" s="44"/>
      <c r="N121" s="44"/>
      <c r="O121" s="44"/>
    </row>
    <row r="122" spans="1:15" ht="17.25" customHeight="1">
      <c r="A122" s="44"/>
      <c r="B122" s="44"/>
      <c r="C122" s="44"/>
      <c r="D122" s="44"/>
      <c r="E122" s="44"/>
      <c r="F122" s="44"/>
      <c r="G122" s="44"/>
      <c r="H122" s="44"/>
      <c r="I122" s="44"/>
      <c r="J122" s="44"/>
      <c r="K122" s="44"/>
      <c r="L122" s="44"/>
      <c r="M122" s="44"/>
      <c r="N122" s="44"/>
      <c r="O122" s="44"/>
    </row>
    <row r="123" spans="1:15" ht="17.25" customHeight="1">
      <c r="A123" s="44"/>
      <c r="B123" s="44"/>
      <c r="C123" s="44"/>
      <c r="D123" s="44"/>
      <c r="E123" s="44"/>
      <c r="F123" s="44"/>
      <c r="G123" s="44"/>
      <c r="H123" s="44"/>
      <c r="I123" s="44"/>
      <c r="J123" s="44"/>
      <c r="K123" s="44"/>
      <c r="L123" s="44"/>
      <c r="M123" s="44"/>
      <c r="N123" s="44"/>
      <c r="O123" s="44"/>
    </row>
    <row r="124" spans="1:15" ht="17.25" customHeight="1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</row>
    <row r="125" spans="1:15" ht="17.25" customHeight="1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</row>
    <row r="126" spans="1:15" ht="17.25" customHeight="1">
      <c r="A126" s="44"/>
      <c r="B126" s="44"/>
      <c r="C126" s="44"/>
      <c r="D126" s="44"/>
      <c r="E126" s="44"/>
      <c r="F126" s="44"/>
      <c r="G126" s="44"/>
      <c r="H126" s="44"/>
      <c r="I126" s="44"/>
      <c r="J126" s="44"/>
      <c r="K126" s="44"/>
      <c r="L126" s="44"/>
      <c r="M126" s="44"/>
      <c r="N126" s="44"/>
      <c r="O126" s="44"/>
    </row>
    <row r="127" spans="1:15" ht="17.25" customHeight="1">
      <c r="A127" s="44"/>
      <c r="B127" s="44"/>
      <c r="C127" s="44"/>
      <c r="D127" s="44"/>
      <c r="E127" s="44"/>
      <c r="F127" s="44"/>
      <c r="G127" s="44"/>
      <c r="H127" s="44"/>
      <c r="I127" s="44"/>
      <c r="J127" s="44"/>
      <c r="K127" s="44"/>
      <c r="L127" s="44"/>
      <c r="M127" s="44"/>
      <c r="N127" s="44"/>
      <c r="O127" s="44"/>
    </row>
    <row r="128" spans="1:15" ht="17.25" customHeight="1">
      <c r="A128" s="44"/>
      <c r="B128" s="44"/>
      <c r="C128" s="44"/>
      <c r="D128" s="44"/>
      <c r="E128" s="44"/>
      <c r="F128" s="44"/>
      <c r="G128" s="44"/>
      <c r="H128" s="44"/>
      <c r="I128" s="44"/>
      <c r="J128" s="44"/>
      <c r="K128" s="44"/>
      <c r="L128" s="44"/>
      <c r="M128" s="44"/>
      <c r="N128" s="44"/>
      <c r="O128" s="44"/>
    </row>
    <row r="129" spans="1:15" ht="17.25" customHeight="1">
      <c r="A129" s="44"/>
      <c r="B129" s="44"/>
      <c r="C129" s="44"/>
      <c r="D129" s="44"/>
      <c r="E129" s="44"/>
      <c r="F129" s="44"/>
      <c r="G129" s="44"/>
      <c r="H129" s="44"/>
      <c r="I129" s="44"/>
      <c r="J129" s="44"/>
      <c r="K129" s="44"/>
      <c r="L129" s="44"/>
      <c r="M129" s="44"/>
      <c r="N129" s="44"/>
      <c r="O129" s="44"/>
    </row>
    <row r="130" spans="1:15" ht="17.25" customHeight="1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</row>
    <row r="131" spans="1:15" ht="17.25" customHeight="1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</row>
    <row r="132" spans="1:15" ht="17.25" customHeight="1">
      <c r="A132" s="44"/>
      <c r="B132" s="44"/>
      <c r="C132" s="44"/>
      <c r="D132" s="44"/>
      <c r="E132" s="44"/>
      <c r="F132" s="44"/>
      <c r="G132" s="44"/>
      <c r="H132" s="44"/>
      <c r="I132" s="44"/>
      <c r="J132" s="44"/>
      <c r="K132" s="44"/>
      <c r="L132" s="44"/>
      <c r="M132" s="44"/>
      <c r="N132" s="44"/>
      <c r="O132" s="44"/>
    </row>
    <row r="133" spans="1:15" ht="17.25" customHeight="1">
      <c r="A133" s="44"/>
      <c r="B133" s="44"/>
      <c r="C133" s="44"/>
      <c r="D133" s="44"/>
      <c r="E133" s="44"/>
      <c r="F133" s="44"/>
      <c r="G133" s="44"/>
      <c r="H133" s="44"/>
      <c r="I133" s="44"/>
      <c r="J133" s="44"/>
      <c r="K133" s="44"/>
      <c r="L133" s="44"/>
      <c r="M133" s="44"/>
      <c r="N133" s="44"/>
      <c r="O133" s="44"/>
    </row>
    <row r="134" spans="1:15" ht="17.25" customHeight="1">
      <c r="A134" s="44"/>
      <c r="B134" s="44"/>
      <c r="C134" s="44"/>
      <c r="D134" s="44"/>
      <c r="E134" s="44"/>
      <c r="F134" s="44"/>
      <c r="G134" s="44"/>
      <c r="H134" s="44"/>
      <c r="I134" s="44"/>
      <c r="J134" s="44"/>
      <c r="K134" s="44"/>
      <c r="L134" s="44"/>
      <c r="M134" s="44"/>
      <c r="N134" s="44"/>
      <c r="O134" s="44"/>
    </row>
    <row r="135" spans="1:15" ht="17.25" customHeight="1">
      <c r="A135" s="44"/>
      <c r="B135" s="44"/>
      <c r="C135" s="44"/>
      <c r="D135" s="44"/>
      <c r="E135" s="44"/>
      <c r="F135" s="44"/>
      <c r="G135" s="44"/>
      <c r="H135" s="44"/>
      <c r="I135" s="44"/>
      <c r="J135" s="44"/>
      <c r="K135" s="44"/>
      <c r="L135" s="44"/>
      <c r="M135" s="44"/>
      <c r="N135" s="44"/>
      <c r="O135" s="44"/>
    </row>
    <row r="136" spans="1:15" ht="17.25" customHeight="1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</row>
    <row r="137" spans="1:15" ht="17.25" customHeight="1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</row>
    <row r="138" spans="1:15" ht="17.25" customHeight="1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</row>
    <row r="139" spans="1:15" ht="17.25" customHeight="1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</row>
    <row r="140" spans="1:15" ht="17.25" customHeight="1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</row>
    <row r="141" spans="1:15" ht="17.25" customHeight="1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</row>
    <row r="142" spans="1:15" ht="17.25" customHeight="1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</row>
    <row r="143" spans="1:15" ht="17.25" customHeight="1">
      <c r="A143" s="44"/>
      <c r="B143" s="44"/>
      <c r="C143" s="44"/>
      <c r="D143" s="44"/>
      <c r="E143" s="44"/>
      <c r="F143" s="44"/>
      <c r="G143" s="44"/>
      <c r="H143" s="44"/>
      <c r="I143" s="44"/>
      <c r="J143" s="44"/>
      <c r="K143" s="44"/>
      <c r="L143" s="44"/>
      <c r="M143" s="44"/>
      <c r="N143" s="44"/>
      <c r="O143" s="44"/>
    </row>
    <row r="144" spans="1:15" ht="17.25" customHeight="1">
      <c r="A144" s="44"/>
      <c r="B144" s="44"/>
      <c r="C144" s="44"/>
      <c r="D144" s="44"/>
      <c r="E144" s="44"/>
      <c r="F144" s="44"/>
      <c r="G144" s="44"/>
      <c r="H144" s="44"/>
      <c r="I144" s="44"/>
      <c r="J144" s="44"/>
      <c r="K144" s="44"/>
      <c r="L144" s="44"/>
      <c r="M144" s="44"/>
      <c r="N144" s="44"/>
      <c r="O144" s="44"/>
    </row>
    <row r="145" spans="1:15" ht="17.25" customHeight="1">
      <c r="A145" s="44"/>
      <c r="B145" s="44"/>
      <c r="C145" s="44"/>
      <c r="D145" s="44"/>
      <c r="E145" s="44"/>
      <c r="F145" s="44"/>
      <c r="G145" s="44"/>
      <c r="H145" s="44"/>
      <c r="I145" s="44"/>
      <c r="J145" s="44"/>
      <c r="K145" s="44"/>
      <c r="L145" s="44"/>
      <c r="M145" s="44"/>
      <c r="N145" s="44"/>
      <c r="O145" s="44"/>
    </row>
    <row r="146" spans="1:15" ht="17.25" customHeight="1">
      <c r="A146" s="44"/>
      <c r="B146" s="44"/>
      <c r="C146" s="44"/>
      <c r="D146" s="44"/>
      <c r="E146" s="44"/>
      <c r="F146" s="44"/>
      <c r="G146" s="44"/>
      <c r="H146" s="44"/>
      <c r="I146" s="44"/>
      <c r="J146" s="44"/>
      <c r="K146" s="44"/>
      <c r="L146" s="44"/>
      <c r="M146" s="44"/>
      <c r="N146" s="44"/>
      <c r="O146" s="44"/>
    </row>
    <row r="147" spans="1:15" ht="17.25" customHeight="1">
      <c r="A147" s="44"/>
      <c r="B147" s="44"/>
      <c r="C147" s="44"/>
      <c r="D147" s="44"/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44"/>
    </row>
    <row r="148" spans="1:15" ht="17.25" customHeight="1">
      <c r="A148" s="44"/>
      <c r="B148" s="44"/>
      <c r="C148" s="44"/>
      <c r="D148" s="44"/>
      <c r="E148" s="44"/>
      <c r="F148" s="44"/>
      <c r="G148" s="44"/>
      <c r="H148" s="44"/>
      <c r="I148" s="44"/>
      <c r="J148" s="44"/>
      <c r="K148" s="44"/>
      <c r="L148" s="44"/>
      <c r="M148" s="44"/>
      <c r="N148" s="44"/>
      <c r="O148" s="44"/>
    </row>
    <row r="149" spans="1:15" ht="17.25" customHeight="1">
      <c r="A149" s="44"/>
      <c r="B149" s="44"/>
      <c r="C149" s="44"/>
      <c r="D149" s="44"/>
      <c r="E149" s="44"/>
      <c r="F149" s="44"/>
      <c r="G149" s="44"/>
      <c r="H149" s="44"/>
      <c r="I149" s="44"/>
      <c r="J149" s="44"/>
      <c r="K149" s="44"/>
      <c r="L149" s="44"/>
      <c r="M149" s="44"/>
      <c r="N149" s="44"/>
      <c r="O149" s="44"/>
    </row>
    <row r="150" spans="1:15" ht="17.25" customHeight="1">
      <c r="A150" s="44"/>
      <c r="B150" s="44"/>
      <c r="C150" s="44"/>
      <c r="D150" s="44"/>
      <c r="E150" s="44"/>
      <c r="F150" s="44"/>
      <c r="G150" s="44"/>
      <c r="H150" s="44"/>
      <c r="I150" s="44"/>
      <c r="J150" s="44"/>
      <c r="K150" s="44"/>
      <c r="L150" s="44"/>
      <c r="M150" s="44"/>
      <c r="N150" s="44"/>
      <c r="O150" s="44"/>
    </row>
    <row r="151" spans="1:15" ht="17.25" customHeight="1">
      <c r="A151" s="44"/>
      <c r="B151" s="44"/>
      <c r="C151" s="44"/>
      <c r="D151" s="44"/>
      <c r="E151" s="44"/>
      <c r="F151" s="44"/>
      <c r="G151" s="44"/>
      <c r="H151" s="44"/>
      <c r="I151" s="44"/>
      <c r="J151" s="44"/>
      <c r="K151" s="44"/>
      <c r="L151" s="44"/>
      <c r="M151" s="44"/>
      <c r="N151" s="44"/>
      <c r="O151" s="44"/>
    </row>
    <row r="152" spans="1:15" ht="17.25" customHeight="1">
      <c r="A152" s="44"/>
      <c r="B152" s="44"/>
      <c r="C152" s="44"/>
      <c r="D152" s="44"/>
      <c r="E152" s="44"/>
      <c r="F152" s="44"/>
      <c r="G152" s="44"/>
      <c r="H152" s="44"/>
      <c r="I152" s="44"/>
      <c r="J152" s="44"/>
      <c r="K152" s="44"/>
      <c r="L152" s="44"/>
      <c r="M152" s="44"/>
      <c r="N152" s="44"/>
      <c r="O152" s="44"/>
    </row>
    <row r="153" spans="1:15" ht="17.25" customHeight="1">
      <c r="A153" s="44"/>
      <c r="B153" s="44"/>
      <c r="C153" s="44"/>
      <c r="D153" s="44"/>
      <c r="E153" s="44"/>
      <c r="F153" s="44"/>
      <c r="G153" s="44"/>
      <c r="H153" s="44"/>
      <c r="I153" s="44"/>
      <c r="J153" s="44"/>
      <c r="K153" s="44"/>
      <c r="L153" s="44"/>
      <c r="M153" s="44"/>
      <c r="N153" s="44"/>
      <c r="O153" s="44"/>
    </row>
    <row r="154" spans="1:15" ht="17.25" customHeight="1">
      <c r="A154" s="44"/>
      <c r="B154" s="44"/>
      <c r="C154" s="44"/>
      <c r="D154" s="44"/>
      <c r="E154" s="44"/>
      <c r="F154" s="44"/>
      <c r="G154" s="44"/>
      <c r="H154" s="44"/>
      <c r="I154" s="44"/>
      <c r="J154" s="44"/>
      <c r="K154" s="44"/>
      <c r="L154" s="44"/>
      <c r="M154" s="44"/>
      <c r="N154" s="44"/>
      <c r="O154" s="44"/>
    </row>
    <row r="155" spans="1:15" ht="17.25" customHeight="1">
      <c r="A155" s="44"/>
      <c r="B155" s="44"/>
      <c r="C155" s="44"/>
      <c r="D155" s="44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</row>
    <row r="156" spans="1:15" ht="17.25" customHeight="1">
      <c r="A156" s="44"/>
      <c r="B156" s="44"/>
      <c r="C156" s="44"/>
      <c r="D156" s="44"/>
      <c r="E156" s="44"/>
      <c r="F156" s="44"/>
      <c r="G156" s="44"/>
      <c r="H156" s="44"/>
      <c r="I156" s="44"/>
      <c r="J156" s="44"/>
      <c r="K156" s="44"/>
      <c r="L156" s="44"/>
      <c r="M156" s="44"/>
      <c r="N156" s="44"/>
      <c r="O156" s="44"/>
    </row>
    <row r="157" spans="1:15" ht="17.25" customHeight="1">
      <c r="A157" s="44"/>
      <c r="B157" s="44"/>
      <c r="C157" s="44"/>
      <c r="D157" s="44"/>
      <c r="E157" s="44"/>
      <c r="F157" s="44"/>
      <c r="G157" s="44"/>
      <c r="H157" s="44"/>
      <c r="I157" s="44"/>
      <c r="J157" s="44"/>
      <c r="K157" s="44"/>
      <c r="L157" s="44"/>
      <c r="M157" s="44"/>
      <c r="N157" s="44"/>
      <c r="O157" s="44"/>
    </row>
    <row r="158" spans="1:15" ht="17.25" customHeight="1">
      <c r="A158" s="44"/>
      <c r="B158" s="44"/>
      <c r="C158" s="44"/>
      <c r="D158" s="44"/>
      <c r="E158" s="44"/>
      <c r="F158" s="44"/>
      <c r="G158" s="44"/>
      <c r="H158" s="44"/>
      <c r="I158" s="44"/>
      <c r="J158" s="44"/>
      <c r="K158" s="44"/>
      <c r="L158" s="44"/>
      <c r="M158" s="44"/>
      <c r="N158" s="44"/>
      <c r="O158" s="44"/>
    </row>
    <row r="159" spans="1:15" ht="17.25" customHeight="1">
      <c r="A159" s="44"/>
      <c r="B159" s="44"/>
      <c r="C159" s="44"/>
      <c r="D159" s="44"/>
      <c r="E159" s="44"/>
      <c r="F159" s="44"/>
      <c r="G159" s="44"/>
      <c r="H159" s="44"/>
      <c r="I159" s="44"/>
      <c r="J159" s="44"/>
      <c r="K159" s="44"/>
      <c r="L159" s="44"/>
      <c r="M159" s="44"/>
      <c r="N159" s="44"/>
      <c r="O159" s="44"/>
    </row>
    <row r="160" spans="1:15" ht="17.25" customHeight="1">
      <c r="A160" s="44"/>
      <c r="B160" s="44"/>
      <c r="C160" s="44"/>
      <c r="D160" s="44"/>
      <c r="E160" s="44"/>
      <c r="F160" s="44"/>
      <c r="G160" s="44"/>
      <c r="H160" s="44"/>
      <c r="I160" s="44"/>
      <c r="J160" s="44"/>
      <c r="K160" s="44"/>
      <c r="L160" s="44"/>
      <c r="M160" s="44"/>
      <c r="N160" s="44"/>
      <c r="O160" s="44"/>
    </row>
    <row r="161" spans="1:15" ht="17.25" customHeight="1">
      <c r="A161" s="44"/>
      <c r="B161" s="44"/>
      <c r="C161" s="44"/>
      <c r="D161" s="44"/>
      <c r="E161" s="44"/>
      <c r="F161" s="44"/>
      <c r="G161" s="44"/>
      <c r="H161" s="44"/>
      <c r="I161" s="44"/>
      <c r="J161" s="44"/>
      <c r="K161" s="44"/>
      <c r="L161" s="44"/>
      <c r="M161" s="44"/>
      <c r="N161" s="44"/>
      <c r="O161" s="44"/>
    </row>
    <row r="162" spans="1:15" ht="17.25" customHeight="1">
      <c r="A162" s="44"/>
      <c r="B162" s="44"/>
      <c r="C162" s="44"/>
      <c r="D162" s="44"/>
      <c r="E162" s="44"/>
      <c r="F162" s="44"/>
      <c r="G162" s="44"/>
      <c r="H162" s="44"/>
      <c r="I162" s="44"/>
      <c r="J162" s="44"/>
      <c r="K162" s="44"/>
      <c r="L162" s="44"/>
      <c r="M162" s="44"/>
      <c r="N162" s="44"/>
      <c r="O162" s="44"/>
    </row>
    <row r="163" spans="1:15" ht="17.25" customHeight="1">
      <c r="A163" s="44"/>
      <c r="B163" s="44"/>
      <c r="C163" s="44"/>
      <c r="D163" s="44"/>
      <c r="E163" s="44"/>
      <c r="F163" s="44"/>
      <c r="G163" s="44"/>
      <c r="H163" s="44"/>
      <c r="I163" s="44"/>
      <c r="J163" s="44"/>
      <c r="K163" s="44"/>
      <c r="L163" s="44"/>
      <c r="M163" s="44"/>
      <c r="N163" s="44"/>
      <c r="O163" s="44"/>
    </row>
    <row r="164" spans="1:15" ht="17.25" customHeight="1">
      <c r="A164" s="44"/>
      <c r="B164" s="44"/>
      <c r="C164" s="44"/>
      <c r="D164" s="44"/>
      <c r="E164" s="44"/>
      <c r="F164" s="44"/>
      <c r="G164" s="44"/>
      <c r="H164" s="44"/>
      <c r="I164" s="44"/>
      <c r="J164" s="44"/>
      <c r="K164" s="44"/>
      <c r="L164" s="44"/>
      <c r="M164" s="44"/>
      <c r="N164" s="44"/>
      <c r="O164" s="44"/>
    </row>
    <row r="165" spans="1:15" ht="17.25" customHeight="1">
      <c r="A165" s="44"/>
      <c r="B165" s="44"/>
      <c r="C165" s="44"/>
      <c r="D165" s="44"/>
      <c r="E165" s="44"/>
      <c r="F165" s="44"/>
      <c r="G165" s="44"/>
      <c r="H165" s="44"/>
      <c r="I165" s="44"/>
      <c r="J165" s="44"/>
      <c r="K165" s="44"/>
      <c r="L165" s="44"/>
      <c r="M165" s="44"/>
      <c r="N165" s="44"/>
      <c r="O165" s="44"/>
    </row>
    <row r="166" spans="1:15" ht="17.25" customHeight="1">
      <c r="A166" s="44"/>
      <c r="B166" s="44"/>
      <c r="C166" s="44"/>
      <c r="D166" s="44"/>
      <c r="E166" s="44"/>
      <c r="F166" s="44"/>
      <c r="G166" s="44"/>
      <c r="H166" s="44"/>
      <c r="I166" s="44"/>
      <c r="J166" s="44"/>
      <c r="K166" s="44"/>
      <c r="L166" s="44"/>
      <c r="M166" s="44"/>
      <c r="N166" s="44"/>
      <c r="O166" s="44"/>
    </row>
    <row r="167" spans="1:15" ht="17.25" customHeight="1">
      <c r="A167" s="44"/>
      <c r="B167" s="44"/>
      <c r="C167" s="44"/>
      <c r="D167" s="44"/>
      <c r="E167" s="44"/>
      <c r="F167" s="44"/>
      <c r="G167" s="44"/>
      <c r="H167" s="44"/>
      <c r="I167" s="44"/>
      <c r="J167" s="44"/>
      <c r="K167" s="44"/>
      <c r="L167" s="44"/>
      <c r="M167" s="44"/>
      <c r="N167" s="44"/>
      <c r="O167" s="44"/>
    </row>
    <row r="168" spans="1:15" ht="17.25" customHeight="1">
      <c r="A168" s="44"/>
      <c r="B168" s="44"/>
      <c r="C168" s="44"/>
      <c r="D168" s="44"/>
      <c r="E168" s="44"/>
      <c r="F168" s="44"/>
      <c r="G168" s="44"/>
      <c r="H168" s="44"/>
      <c r="I168" s="44"/>
      <c r="J168" s="44"/>
      <c r="K168" s="44"/>
      <c r="L168" s="44"/>
      <c r="M168" s="44"/>
      <c r="N168" s="44"/>
      <c r="O168" s="44"/>
    </row>
    <row r="169" spans="1:15" ht="17.25" customHeight="1">
      <c r="A169" s="44"/>
      <c r="B169" s="44"/>
      <c r="C169" s="44"/>
      <c r="D169" s="44"/>
      <c r="E169" s="44"/>
      <c r="F169" s="44"/>
      <c r="G169" s="44"/>
      <c r="H169" s="44"/>
      <c r="I169" s="44"/>
      <c r="J169" s="44"/>
      <c r="K169" s="44"/>
      <c r="L169" s="44"/>
      <c r="M169" s="44"/>
      <c r="N169" s="44"/>
      <c r="O169" s="44"/>
    </row>
    <row r="170" spans="1:15" ht="17.25" customHeight="1">
      <c r="A170" s="44"/>
      <c r="B170" s="44"/>
      <c r="C170" s="44"/>
      <c r="D170" s="44"/>
      <c r="E170" s="44"/>
      <c r="F170" s="44"/>
      <c r="G170" s="44"/>
      <c r="H170" s="44"/>
      <c r="I170" s="44"/>
      <c r="J170" s="44"/>
      <c r="K170" s="44"/>
      <c r="L170" s="44"/>
      <c r="M170" s="44"/>
      <c r="N170" s="44"/>
      <c r="O170" s="44"/>
    </row>
    <row r="171" spans="1:15" ht="17.25" customHeight="1">
      <c r="A171" s="44"/>
      <c r="B171" s="44"/>
      <c r="C171" s="44"/>
      <c r="D171" s="44"/>
      <c r="E171" s="44"/>
      <c r="F171" s="44"/>
      <c r="G171" s="44"/>
      <c r="H171" s="44"/>
      <c r="I171" s="44"/>
      <c r="J171" s="44"/>
      <c r="K171" s="44"/>
      <c r="L171" s="44"/>
      <c r="M171" s="44"/>
      <c r="N171" s="44"/>
      <c r="O171" s="44"/>
    </row>
    <row r="172" spans="1:15" ht="17.25" customHeight="1">
      <c r="A172" s="44"/>
      <c r="B172" s="44"/>
      <c r="C172" s="44"/>
      <c r="D172" s="44"/>
      <c r="E172" s="44"/>
      <c r="F172" s="44"/>
      <c r="G172" s="44"/>
      <c r="H172" s="44"/>
      <c r="I172" s="44"/>
      <c r="J172" s="44"/>
      <c r="K172" s="44"/>
      <c r="L172" s="44"/>
      <c r="M172" s="44"/>
      <c r="N172" s="44"/>
      <c r="O172" s="44"/>
    </row>
    <row r="173" spans="1:15" ht="17.25" customHeight="1">
      <c r="A173" s="44"/>
      <c r="B173" s="44"/>
      <c r="C173" s="44"/>
      <c r="D173" s="44"/>
      <c r="E173" s="44"/>
      <c r="F173" s="44"/>
      <c r="G173" s="44"/>
      <c r="H173" s="44"/>
      <c r="I173" s="44"/>
      <c r="J173" s="44"/>
      <c r="K173" s="44"/>
      <c r="L173" s="44"/>
      <c r="M173" s="44"/>
      <c r="N173" s="44"/>
      <c r="O173" s="44"/>
    </row>
    <row r="174" spans="1:15" ht="17.25" customHeight="1">
      <c r="A174" s="44"/>
      <c r="B174" s="44"/>
      <c r="C174" s="44"/>
      <c r="D174" s="44"/>
      <c r="E174" s="44"/>
      <c r="F174" s="44"/>
      <c r="G174" s="44"/>
      <c r="H174" s="44"/>
      <c r="I174" s="44"/>
      <c r="J174" s="44"/>
      <c r="K174" s="44"/>
      <c r="L174" s="44"/>
      <c r="M174" s="44"/>
      <c r="N174" s="44"/>
      <c r="O174" s="44"/>
    </row>
    <row r="175" spans="1:15" ht="17.25" customHeight="1">
      <c r="A175" s="44"/>
      <c r="B175" s="44"/>
      <c r="C175" s="44"/>
      <c r="D175" s="44"/>
      <c r="E175" s="44"/>
      <c r="F175" s="44"/>
      <c r="G175" s="44"/>
      <c r="H175" s="44"/>
      <c r="I175" s="44"/>
      <c r="J175" s="44"/>
      <c r="K175" s="44"/>
      <c r="L175" s="44"/>
      <c r="M175" s="44"/>
      <c r="N175" s="44"/>
      <c r="O175" s="44"/>
    </row>
    <row r="176" spans="1:15" ht="17.25" customHeight="1">
      <c r="A176" s="44"/>
      <c r="B176" s="44"/>
      <c r="C176" s="44"/>
      <c r="D176" s="44"/>
      <c r="E176" s="44"/>
      <c r="F176" s="44"/>
      <c r="G176" s="44"/>
      <c r="H176" s="44"/>
      <c r="I176" s="44"/>
      <c r="J176" s="44"/>
      <c r="K176" s="44"/>
      <c r="L176" s="44"/>
      <c r="M176" s="44"/>
      <c r="N176" s="44"/>
      <c r="O176" s="44"/>
    </row>
    <row r="177" spans="1:15" ht="17.25" customHeight="1">
      <c r="A177" s="44"/>
      <c r="B177" s="44"/>
      <c r="C177" s="44"/>
      <c r="D177" s="44"/>
      <c r="E177" s="44"/>
      <c r="F177" s="44"/>
      <c r="G177" s="44"/>
      <c r="H177" s="44"/>
      <c r="I177" s="44"/>
      <c r="J177" s="44"/>
      <c r="K177" s="44"/>
      <c r="L177" s="44"/>
      <c r="M177" s="44"/>
      <c r="N177" s="44"/>
      <c r="O177" s="44"/>
    </row>
    <row r="178" spans="1:15" ht="17.25" customHeight="1">
      <c r="A178" s="44"/>
      <c r="B178" s="44"/>
      <c r="C178" s="44"/>
      <c r="D178" s="44"/>
      <c r="E178" s="44"/>
      <c r="F178" s="44"/>
      <c r="G178" s="44"/>
      <c r="H178" s="44"/>
      <c r="I178" s="44"/>
      <c r="J178" s="44"/>
      <c r="K178" s="44"/>
      <c r="L178" s="44"/>
      <c r="M178" s="44"/>
      <c r="N178" s="44"/>
      <c r="O178" s="44"/>
    </row>
    <row r="179" spans="1:15" ht="17.25" customHeight="1">
      <c r="A179" s="44"/>
      <c r="B179" s="44"/>
      <c r="C179" s="44"/>
      <c r="D179" s="44"/>
      <c r="E179" s="44"/>
      <c r="F179" s="44"/>
      <c r="G179" s="44"/>
      <c r="H179" s="44"/>
      <c r="I179" s="44"/>
      <c r="J179" s="44"/>
      <c r="K179" s="44"/>
      <c r="L179" s="44"/>
      <c r="M179" s="44"/>
      <c r="N179" s="44"/>
      <c r="O179" s="44"/>
    </row>
    <row r="180" spans="1:15" ht="17.25" customHeight="1">
      <c r="A180" s="44"/>
      <c r="B180" s="44"/>
      <c r="C180" s="44"/>
      <c r="D180" s="44"/>
      <c r="E180" s="44"/>
      <c r="F180" s="44"/>
      <c r="G180" s="44"/>
      <c r="H180" s="44"/>
      <c r="I180" s="44"/>
      <c r="J180" s="44"/>
      <c r="K180" s="44"/>
      <c r="L180" s="44"/>
      <c r="M180" s="44"/>
      <c r="N180" s="44"/>
      <c r="O180" s="44"/>
    </row>
    <row r="181" spans="1:15" ht="17.25" customHeight="1">
      <c r="A181" s="44"/>
      <c r="B181" s="44"/>
      <c r="C181" s="44"/>
      <c r="D181" s="44"/>
      <c r="E181" s="44"/>
      <c r="F181" s="44"/>
      <c r="G181" s="44"/>
      <c r="H181" s="44"/>
      <c r="I181" s="44"/>
      <c r="J181" s="44"/>
      <c r="K181" s="44"/>
      <c r="L181" s="44"/>
      <c r="M181" s="44"/>
      <c r="N181" s="44"/>
      <c r="O181" s="44"/>
    </row>
    <row r="182" spans="1:15" ht="17.25" customHeight="1">
      <c r="A182" s="44"/>
      <c r="B182" s="44"/>
      <c r="C182" s="44"/>
      <c r="D182" s="44"/>
      <c r="E182" s="44"/>
      <c r="F182" s="44"/>
      <c r="G182" s="44"/>
      <c r="H182" s="44"/>
      <c r="I182" s="44"/>
      <c r="J182" s="44"/>
      <c r="K182" s="44"/>
      <c r="L182" s="44"/>
      <c r="M182" s="44"/>
      <c r="N182" s="44"/>
      <c r="O182" s="44"/>
    </row>
    <row r="183" spans="1:15" ht="17.25" customHeight="1">
      <c r="A183" s="44"/>
      <c r="B183" s="44"/>
      <c r="C183" s="44"/>
      <c r="D183" s="44"/>
      <c r="E183" s="44"/>
      <c r="F183" s="44"/>
      <c r="G183" s="44"/>
      <c r="H183" s="44"/>
      <c r="I183" s="44"/>
      <c r="J183" s="44"/>
      <c r="K183" s="44"/>
      <c r="L183" s="44"/>
      <c r="M183" s="44"/>
      <c r="N183" s="44"/>
      <c r="O183" s="44"/>
    </row>
    <row r="184" spans="1:15" ht="17.25" customHeight="1">
      <c r="A184" s="44"/>
      <c r="B184" s="44"/>
      <c r="C184" s="44"/>
      <c r="D184" s="44"/>
      <c r="E184" s="44"/>
      <c r="F184" s="44"/>
      <c r="G184" s="44"/>
      <c r="H184" s="44"/>
      <c r="I184" s="44"/>
      <c r="J184" s="44"/>
      <c r="K184" s="44"/>
      <c r="L184" s="44"/>
      <c r="M184" s="44"/>
      <c r="N184" s="44"/>
      <c r="O184" s="44"/>
    </row>
    <row r="185" spans="1:15" ht="17.25" customHeight="1">
      <c r="A185" s="44"/>
      <c r="B185" s="44"/>
      <c r="C185" s="44"/>
      <c r="D185" s="44"/>
      <c r="E185" s="44"/>
      <c r="F185" s="44"/>
      <c r="G185" s="44"/>
      <c r="H185" s="44"/>
      <c r="I185" s="44"/>
      <c r="J185" s="44"/>
      <c r="K185" s="44"/>
      <c r="L185" s="44"/>
      <c r="M185" s="44"/>
      <c r="N185" s="44"/>
      <c r="O185" s="44"/>
    </row>
    <row r="186" spans="1:15" ht="17.25" customHeight="1">
      <c r="A186" s="44"/>
      <c r="B186" s="44"/>
      <c r="C186" s="44"/>
      <c r="D186" s="44"/>
      <c r="E186" s="44"/>
      <c r="F186" s="44"/>
      <c r="G186" s="44"/>
      <c r="H186" s="44"/>
      <c r="I186" s="44"/>
      <c r="J186" s="44"/>
      <c r="K186" s="44"/>
      <c r="L186" s="44"/>
      <c r="M186" s="44"/>
      <c r="N186" s="44"/>
      <c r="O186" s="44"/>
    </row>
    <row r="187" spans="1:15" ht="17.25" customHeight="1">
      <c r="A187" s="44"/>
      <c r="B187" s="44"/>
      <c r="C187" s="44"/>
      <c r="D187" s="44"/>
      <c r="E187" s="44"/>
      <c r="F187" s="44"/>
      <c r="G187" s="44"/>
      <c r="H187" s="44"/>
      <c r="I187" s="44"/>
      <c r="J187" s="44"/>
      <c r="K187" s="44"/>
      <c r="L187" s="44"/>
      <c r="M187" s="44"/>
      <c r="N187" s="44"/>
      <c r="O187" s="44"/>
    </row>
    <row r="188" spans="1:15" ht="17.25" customHeight="1">
      <c r="A188" s="44"/>
      <c r="B188" s="44"/>
      <c r="C188" s="44"/>
      <c r="D188" s="44"/>
      <c r="E188" s="44"/>
      <c r="F188" s="44"/>
      <c r="G188" s="44"/>
      <c r="H188" s="44"/>
      <c r="I188" s="44"/>
      <c r="J188" s="44"/>
      <c r="K188" s="44"/>
      <c r="L188" s="44"/>
      <c r="M188" s="44"/>
      <c r="N188" s="44"/>
      <c r="O188" s="44"/>
    </row>
    <row r="189" spans="1:15" ht="17.25" customHeight="1">
      <c r="A189" s="44"/>
      <c r="B189" s="44"/>
      <c r="C189" s="44"/>
      <c r="D189" s="44"/>
      <c r="E189" s="44"/>
      <c r="F189" s="44"/>
      <c r="G189" s="44"/>
      <c r="H189" s="44"/>
      <c r="I189" s="44"/>
      <c r="J189" s="44"/>
      <c r="K189" s="44"/>
      <c r="L189" s="44"/>
      <c r="M189" s="44"/>
      <c r="N189" s="44"/>
      <c r="O189" s="44"/>
    </row>
    <row r="190" spans="1:15" ht="17.25" customHeight="1">
      <c r="A190" s="44"/>
      <c r="B190" s="44"/>
      <c r="C190" s="44"/>
      <c r="D190" s="44"/>
      <c r="E190" s="44"/>
      <c r="F190" s="44"/>
      <c r="G190" s="44"/>
      <c r="H190" s="44"/>
      <c r="I190" s="44"/>
      <c r="J190" s="44"/>
      <c r="K190" s="44"/>
      <c r="L190" s="44"/>
      <c r="M190" s="44"/>
      <c r="N190" s="44"/>
      <c r="O190" s="44"/>
    </row>
    <row r="191" spans="1:15" ht="17.25" customHeight="1">
      <c r="A191" s="44"/>
      <c r="B191" s="44"/>
      <c r="C191" s="44"/>
      <c r="D191" s="44"/>
      <c r="E191" s="44"/>
      <c r="F191" s="44"/>
      <c r="G191" s="44"/>
      <c r="H191" s="44"/>
      <c r="I191" s="44"/>
      <c r="J191" s="44"/>
      <c r="K191" s="44"/>
      <c r="L191" s="44"/>
      <c r="M191" s="44"/>
      <c r="N191" s="44"/>
      <c r="O191" s="44"/>
    </row>
    <row r="192" spans="1:15" ht="17.25" customHeight="1">
      <c r="A192" s="44"/>
      <c r="B192" s="44"/>
      <c r="C192" s="44"/>
      <c r="D192" s="44"/>
      <c r="E192" s="44"/>
      <c r="F192" s="44"/>
      <c r="G192" s="44"/>
      <c r="H192" s="44"/>
      <c r="I192" s="44"/>
      <c r="J192" s="44"/>
      <c r="K192" s="44"/>
      <c r="L192" s="44"/>
      <c r="M192" s="44"/>
      <c r="N192" s="44"/>
      <c r="O192" s="44"/>
    </row>
    <row r="193" spans="1:15" ht="17.25" customHeight="1">
      <c r="A193" s="44"/>
      <c r="B193" s="44"/>
      <c r="C193" s="44"/>
      <c r="D193" s="44"/>
      <c r="E193" s="44"/>
      <c r="F193" s="44"/>
      <c r="G193" s="44"/>
      <c r="H193" s="44"/>
      <c r="I193" s="44"/>
      <c r="J193" s="44"/>
      <c r="K193" s="44"/>
      <c r="L193" s="44"/>
      <c r="M193" s="44"/>
      <c r="N193" s="44"/>
      <c r="O193" s="44"/>
    </row>
    <row r="194" spans="1:15" ht="17.25" customHeight="1">
      <c r="A194" s="44"/>
      <c r="B194" s="44"/>
      <c r="C194" s="44"/>
      <c r="D194" s="44"/>
      <c r="E194" s="44"/>
      <c r="F194" s="44"/>
      <c r="G194" s="44"/>
      <c r="H194" s="44"/>
      <c r="I194" s="44"/>
      <c r="J194" s="44"/>
      <c r="K194" s="44"/>
      <c r="L194" s="44"/>
      <c r="M194" s="44"/>
      <c r="N194" s="44"/>
      <c r="O194" s="44"/>
    </row>
    <row r="195" spans="1:15" ht="17.25" customHeight="1">
      <c r="A195" s="44"/>
      <c r="B195" s="44"/>
      <c r="C195" s="44"/>
      <c r="D195" s="44"/>
      <c r="E195" s="44"/>
      <c r="F195" s="44"/>
      <c r="G195" s="44"/>
      <c r="H195" s="44"/>
      <c r="I195" s="44"/>
      <c r="J195" s="44"/>
      <c r="K195" s="44"/>
      <c r="L195" s="44"/>
      <c r="M195" s="44"/>
      <c r="N195" s="44"/>
      <c r="O195" s="44"/>
    </row>
    <row r="196" spans="1:15" ht="17.25" customHeight="1">
      <c r="A196" s="44"/>
      <c r="B196" s="44"/>
      <c r="C196" s="44"/>
      <c r="D196" s="44"/>
      <c r="E196" s="44"/>
      <c r="F196" s="44"/>
      <c r="G196" s="44"/>
      <c r="H196" s="44"/>
      <c r="I196" s="44"/>
      <c r="J196" s="44"/>
      <c r="K196" s="44"/>
      <c r="L196" s="44"/>
      <c r="M196" s="44"/>
      <c r="N196" s="44"/>
      <c r="O196" s="44"/>
    </row>
    <row r="197" spans="1:15" ht="17.25" customHeight="1">
      <c r="A197" s="44"/>
      <c r="B197" s="44"/>
      <c r="C197" s="44"/>
      <c r="D197" s="44"/>
      <c r="E197" s="44"/>
      <c r="F197" s="44"/>
      <c r="G197" s="44"/>
      <c r="H197" s="44"/>
      <c r="I197" s="44"/>
      <c r="J197" s="44"/>
      <c r="K197" s="44"/>
      <c r="L197" s="44"/>
      <c r="M197" s="44"/>
      <c r="N197" s="44"/>
      <c r="O197" s="44"/>
    </row>
    <row r="198" spans="1:15" ht="17.25" customHeight="1">
      <c r="A198" s="44"/>
      <c r="B198" s="44"/>
      <c r="C198" s="44"/>
      <c r="D198" s="44"/>
      <c r="E198" s="44"/>
      <c r="F198" s="44"/>
      <c r="G198" s="44"/>
      <c r="H198" s="44"/>
      <c r="I198" s="44"/>
      <c r="J198" s="44"/>
      <c r="K198" s="44"/>
      <c r="L198" s="44"/>
      <c r="M198" s="44"/>
      <c r="N198" s="44"/>
      <c r="O198" s="44"/>
    </row>
    <row r="199" spans="1:15" ht="17.25" customHeight="1">
      <c r="A199" s="44"/>
      <c r="B199" s="44"/>
      <c r="C199" s="44"/>
      <c r="D199" s="44"/>
      <c r="E199" s="44"/>
      <c r="F199" s="44"/>
      <c r="G199" s="44"/>
      <c r="H199" s="44"/>
      <c r="I199" s="44"/>
      <c r="J199" s="44"/>
      <c r="K199" s="44"/>
      <c r="L199" s="44"/>
      <c r="M199" s="44"/>
      <c r="N199" s="44"/>
      <c r="O199" s="44"/>
    </row>
    <row r="200" spans="1:15" ht="17.25" customHeight="1">
      <c r="A200" s="44"/>
      <c r="B200" s="44"/>
      <c r="C200" s="44"/>
      <c r="D200" s="44"/>
      <c r="E200" s="44"/>
      <c r="F200" s="44"/>
      <c r="G200" s="44"/>
      <c r="H200" s="44"/>
      <c r="I200" s="44"/>
      <c r="J200" s="44"/>
      <c r="K200" s="44"/>
      <c r="L200" s="44"/>
      <c r="M200" s="44"/>
      <c r="N200" s="44"/>
      <c r="O200" s="44"/>
    </row>
    <row r="201" spans="1:15" ht="17.25" customHeight="1">
      <c r="A201" s="44"/>
      <c r="B201" s="44"/>
      <c r="C201" s="44"/>
      <c r="D201" s="44"/>
      <c r="E201" s="44"/>
      <c r="F201" s="44"/>
      <c r="G201" s="44"/>
      <c r="H201" s="44"/>
      <c r="I201" s="44"/>
      <c r="J201" s="44"/>
      <c r="K201" s="44"/>
      <c r="L201" s="44"/>
      <c r="M201" s="44"/>
      <c r="N201" s="44"/>
      <c r="O201" s="44"/>
    </row>
    <row r="202" spans="1:15" ht="17.25" customHeight="1">
      <c r="A202" s="44"/>
      <c r="B202" s="44"/>
      <c r="C202" s="44"/>
      <c r="D202" s="44"/>
      <c r="E202" s="44"/>
      <c r="F202" s="44"/>
      <c r="G202" s="44"/>
      <c r="H202" s="44"/>
      <c r="I202" s="44"/>
      <c r="J202" s="44"/>
      <c r="K202" s="44"/>
      <c r="L202" s="44"/>
      <c r="M202" s="44"/>
      <c r="N202" s="44"/>
      <c r="O202" s="44"/>
    </row>
    <row r="203" spans="1:15" ht="17.25" customHeight="1">
      <c r="A203" s="44"/>
      <c r="B203" s="44"/>
      <c r="C203" s="44"/>
      <c r="D203" s="44"/>
      <c r="E203" s="44"/>
      <c r="F203" s="44"/>
      <c r="G203" s="44"/>
      <c r="H203" s="44"/>
      <c r="I203" s="44"/>
      <c r="J203" s="44"/>
      <c r="K203" s="44"/>
      <c r="L203" s="44"/>
      <c r="M203" s="44"/>
      <c r="N203" s="44"/>
      <c r="O203" s="44"/>
    </row>
    <row r="204" spans="1:15" ht="17.25" customHeight="1">
      <c r="A204" s="44"/>
      <c r="B204" s="44"/>
      <c r="C204" s="44"/>
      <c r="D204" s="44"/>
      <c r="E204" s="44"/>
      <c r="F204" s="44"/>
      <c r="G204" s="44"/>
      <c r="H204" s="44"/>
      <c r="I204" s="44"/>
      <c r="J204" s="44"/>
      <c r="K204" s="44"/>
      <c r="L204" s="44"/>
      <c r="M204" s="44"/>
      <c r="N204" s="44"/>
      <c r="O204" s="44"/>
    </row>
    <row r="205" spans="1:15" ht="17.25" customHeight="1">
      <c r="A205" s="44"/>
      <c r="B205" s="44"/>
      <c r="C205" s="44"/>
      <c r="D205" s="44"/>
      <c r="E205" s="44"/>
      <c r="F205" s="44"/>
      <c r="G205" s="44"/>
      <c r="H205" s="44"/>
      <c r="I205" s="44"/>
      <c r="J205" s="44"/>
      <c r="K205" s="44"/>
      <c r="L205" s="44"/>
      <c r="M205" s="44"/>
      <c r="N205" s="44"/>
      <c r="O205" s="44"/>
    </row>
    <row r="206" spans="1:15" ht="17.25" customHeight="1">
      <c r="A206" s="44"/>
      <c r="B206" s="44"/>
      <c r="C206" s="44"/>
      <c r="D206" s="44"/>
      <c r="E206" s="44"/>
      <c r="F206" s="44"/>
      <c r="G206" s="44"/>
      <c r="H206" s="44"/>
      <c r="I206" s="44"/>
      <c r="J206" s="44"/>
      <c r="K206" s="44"/>
      <c r="L206" s="44"/>
      <c r="M206" s="44"/>
      <c r="N206" s="44"/>
      <c r="O206" s="44"/>
    </row>
    <row r="207" spans="1:15" ht="17.25" customHeight="1">
      <c r="A207" s="44"/>
      <c r="B207" s="44"/>
      <c r="C207" s="44"/>
      <c r="D207" s="44"/>
      <c r="E207" s="44"/>
      <c r="F207" s="44"/>
      <c r="G207" s="44"/>
      <c r="H207" s="44"/>
      <c r="I207" s="44"/>
      <c r="J207" s="44"/>
      <c r="K207" s="44"/>
      <c r="L207" s="44"/>
      <c r="M207" s="44"/>
      <c r="N207" s="44"/>
      <c r="O207" s="44"/>
    </row>
    <row r="208" spans="1:15" ht="17.25" customHeight="1">
      <c r="A208" s="44"/>
      <c r="B208" s="44"/>
      <c r="C208" s="44"/>
      <c r="D208" s="44"/>
      <c r="E208" s="44"/>
      <c r="F208" s="44"/>
      <c r="G208" s="44"/>
      <c r="H208" s="44"/>
      <c r="I208" s="44"/>
      <c r="J208" s="44"/>
      <c r="K208" s="44"/>
      <c r="L208" s="44"/>
      <c r="M208" s="44"/>
      <c r="N208" s="44"/>
      <c r="O208" s="44"/>
    </row>
    <row r="209" spans="1:15" ht="17.25" customHeight="1">
      <c r="A209" s="44"/>
      <c r="B209" s="44"/>
      <c r="C209" s="44"/>
      <c r="D209" s="44"/>
      <c r="E209" s="44"/>
      <c r="F209" s="44"/>
      <c r="G209" s="44"/>
      <c r="H209" s="44"/>
      <c r="I209" s="44"/>
      <c r="J209" s="44"/>
      <c r="K209" s="44"/>
      <c r="L209" s="44"/>
      <c r="M209" s="44"/>
      <c r="N209" s="44"/>
      <c r="O209" s="44"/>
    </row>
    <row r="210" spans="1:15" ht="17.25" customHeight="1">
      <c r="A210" s="44"/>
      <c r="B210" s="44"/>
      <c r="C210" s="44"/>
      <c r="D210" s="44"/>
      <c r="E210" s="44"/>
      <c r="F210" s="44"/>
      <c r="G210" s="44"/>
      <c r="H210" s="44"/>
      <c r="I210" s="44"/>
      <c r="J210" s="44"/>
      <c r="K210" s="44"/>
      <c r="L210" s="44"/>
      <c r="M210" s="44"/>
      <c r="N210" s="44"/>
      <c r="O210" s="44"/>
    </row>
    <row r="211" spans="1:15" ht="17.25" customHeight="1">
      <c r="A211" s="44"/>
      <c r="B211" s="44"/>
      <c r="C211" s="44"/>
      <c r="D211" s="44"/>
      <c r="E211" s="44"/>
      <c r="F211" s="44"/>
      <c r="G211" s="44"/>
      <c r="H211" s="44"/>
      <c r="I211" s="44"/>
      <c r="J211" s="44"/>
      <c r="K211" s="44"/>
      <c r="L211" s="44"/>
      <c r="M211" s="44"/>
      <c r="N211" s="44"/>
      <c r="O211" s="44"/>
    </row>
    <row r="212" spans="1:15" ht="17.25" customHeight="1">
      <c r="A212" s="44"/>
      <c r="B212" s="44"/>
      <c r="C212" s="44"/>
      <c r="D212" s="44"/>
      <c r="E212" s="44"/>
      <c r="F212" s="44"/>
      <c r="G212" s="44"/>
      <c r="H212" s="44"/>
      <c r="I212" s="44"/>
      <c r="J212" s="44"/>
      <c r="K212" s="44"/>
      <c r="L212" s="44"/>
      <c r="M212" s="44"/>
      <c r="N212" s="44"/>
      <c r="O212" s="44"/>
    </row>
    <row r="213" spans="1:15" ht="17.25" customHeight="1">
      <c r="A213" s="44"/>
      <c r="B213" s="44"/>
      <c r="C213" s="44"/>
      <c r="D213" s="44"/>
      <c r="E213" s="44"/>
      <c r="F213" s="44"/>
      <c r="G213" s="44"/>
      <c r="H213" s="44"/>
      <c r="I213" s="44"/>
      <c r="J213" s="44"/>
      <c r="K213" s="44"/>
      <c r="L213" s="44"/>
      <c r="M213" s="44"/>
      <c r="N213" s="44"/>
      <c r="O213" s="44"/>
    </row>
    <row r="214" spans="1:15" ht="17.25" customHeight="1">
      <c r="A214" s="44"/>
      <c r="B214" s="44"/>
      <c r="C214" s="44"/>
      <c r="D214" s="44"/>
      <c r="E214" s="44"/>
      <c r="F214" s="44"/>
      <c r="G214" s="44"/>
      <c r="H214" s="44"/>
      <c r="I214" s="44"/>
      <c r="J214" s="44"/>
      <c r="K214" s="44"/>
      <c r="L214" s="44"/>
      <c r="M214" s="44"/>
      <c r="N214" s="44"/>
      <c r="O214" s="44"/>
    </row>
    <row r="215" spans="1:15" ht="17.25" customHeight="1">
      <c r="A215" s="44"/>
      <c r="B215" s="44"/>
      <c r="C215" s="44"/>
      <c r="D215" s="44"/>
      <c r="E215" s="44"/>
      <c r="F215" s="44"/>
      <c r="G215" s="44"/>
      <c r="H215" s="44"/>
      <c r="I215" s="44"/>
      <c r="J215" s="44"/>
      <c r="K215" s="44"/>
      <c r="L215" s="44"/>
      <c r="M215" s="44"/>
      <c r="N215" s="44"/>
      <c r="O215" s="44"/>
    </row>
    <row r="216" spans="1:15" ht="17.25" customHeight="1">
      <c r="A216" s="44"/>
      <c r="B216" s="44"/>
      <c r="C216" s="44"/>
      <c r="D216" s="44"/>
      <c r="E216" s="44"/>
      <c r="F216" s="44"/>
      <c r="G216" s="44"/>
      <c r="H216" s="44"/>
      <c r="I216" s="44"/>
      <c r="J216" s="44"/>
      <c r="K216" s="44"/>
      <c r="L216" s="44"/>
      <c r="M216" s="44"/>
      <c r="N216" s="44"/>
      <c r="O216" s="44"/>
    </row>
    <row r="217" spans="1:15" ht="17.25" customHeight="1">
      <c r="A217" s="44"/>
      <c r="B217" s="44"/>
      <c r="C217" s="44"/>
      <c r="D217" s="44"/>
      <c r="E217" s="44"/>
      <c r="F217" s="44"/>
      <c r="G217" s="44"/>
      <c r="H217" s="44"/>
      <c r="I217" s="44"/>
      <c r="J217" s="44"/>
      <c r="K217" s="44"/>
      <c r="L217" s="44"/>
      <c r="M217" s="44"/>
      <c r="N217" s="44"/>
      <c r="O217" s="44"/>
    </row>
    <row r="218" spans="1:15" ht="17.25" customHeight="1">
      <c r="A218" s="44"/>
      <c r="B218" s="44"/>
      <c r="C218" s="44"/>
      <c r="D218" s="44"/>
      <c r="E218" s="44"/>
      <c r="F218" s="44"/>
      <c r="G218" s="44"/>
      <c r="H218" s="44"/>
      <c r="I218" s="44"/>
      <c r="J218" s="44"/>
      <c r="K218" s="44"/>
      <c r="L218" s="44"/>
      <c r="M218" s="44"/>
      <c r="N218" s="44"/>
      <c r="O218" s="44"/>
    </row>
    <row r="219" spans="1:15" ht="17.25" customHeight="1">
      <c r="A219" s="44"/>
      <c r="B219" s="44"/>
      <c r="C219" s="44"/>
      <c r="D219" s="44"/>
      <c r="E219" s="44"/>
      <c r="F219" s="44"/>
      <c r="G219" s="44"/>
      <c r="H219" s="44"/>
      <c r="I219" s="44"/>
      <c r="J219" s="44"/>
      <c r="K219" s="44"/>
      <c r="L219" s="44"/>
      <c r="M219" s="44"/>
      <c r="N219" s="44"/>
      <c r="O219" s="44"/>
    </row>
    <row r="220" spans="1:15" ht="17.25" customHeight="1">
      <c r="A220" s="44"/>
      <c r="B220" s="44"/>
      <c r="C220" s="44"/>
      <c r="D220" s="44"/>
      <c r="E220" s="44"/>
      <c r="F220" s="44"/>
      <c r="G220" s="44"/>
      <c r="H220" s="44"/>
      <c r="I220" s="44"/>
      <c r="J220" s="44"/>
      <c r="K220" s="44"/>
      <c r="L220" s="44"/>
      <c r="M220" s="44"/>
      <c r="N220" s="44"/>
      <c r="O220" s="44"/>
    </row>
    <row r="221" spans="1:15" ht="17.25" customHeight="1">
      <c r="A221" s="44"/>
      <c r="B221" s="44"/>
      <c r="C221" s="44"/>
      <c r="D221" s="44"/>
      <c r="E221" s="44"/>
      <c r="F221" s="44"/>
      <c r="G221" s="44"/>
      <c r="H221" s="44"/>
      <c r="I221" s="44"/>
      <c r="J221" s="44"/>
      <c r="K221" s="44"/>
      <c r="L221" s="44"/>
      <c r="M221" s="44"/>
      <c r="N221" s="44"/>
      <c r="O221" s="44"/>
    </row>
    <row r="222" spans="1:15" ht="17.25" customHeight="1">
      <c r="A222" s="44"/>
      <c r="B222" s="44"/>
      <c r="C222" s="44"/>
      <c r="D222" s="44"/>
      <c r="E222" s="44"/>
      <c r="F222" s="44"/>
      <c r="G222" s="44"/>
      <c r="H222" s="44"/>
      <c r="I222" s="44"/>
      <c r="J222" s="44"/>
      <c r="K222" s="44"/>
      <c r="L222" s="44"/>
      <c r="M222" s="44"/>
      <c r="N222" s="44"/>
      <c r="O222" s="44"/>
    </row>
    <row r="223" spans="1:15" ht="17.25" customHeight="1">
      <c r="A223" s="44"/>
      <c r="B223" s="44"/>
      <c r="C223" s="44"/>
      <c r="D223" s="44"/>
      <c r="E223" s="44"/>
      <c r="F223" s="44"/>
      <c r="G223" s="44"/>
      <c r="H223" s="44"/>
      <c r="I223" s="44"/>
      <c r="J223" s="44"/>
      <c r="K223" s="44"/>
      <c r="L223" s="44"/>
      <c r="M223" s="44"/>
      <c r="N223" s="44"/>
      <c r="O223" s="44"/>
    </row>
    <row r="224" spans="1:15" ht="17.25" customHeight="1">
      <c r="A224" s="44"/>
      <c r="B224" s="44"/>
      <c r="C224" s="44"/>
      <c r="D224" s="44"/>
      <c r="E224" s="44"/>
      <c r="F224" s="44"/>
      <c r="G224" s="44"/>
      <c r="H224" s="44"/>
      <c r="I224" s="44"/>
      <c r="J224" s="44"/>
      <c r="K224" s="44"/>
      <c r="L224" s="44"/>
      <c r="M224" s="44"/>
      <c r="N224" s="44"/>
      <c r="O224" s="44"/>
    </row>
    <row r="225" spans="1:15" ht="17.25" customHeight="1">
      <c r="A225" s="44"/>
      <c r="B225" s="44"/>
      <c r="C225" s="44"/>
      <c r="D225" s="44"/>
      <c r="E225" s="44"/>
      <c r="F225" s="44"/>
      <c r="G225" s="44"/>
      <c r="H225" s="44"/>
      <c r="I225" s="44"/>
      <c r="J225" s="44"/>
      <c r="K225" s="44"/>
      <c r="L225" s="44"/>
      <c r="M225" s="44"/>
      <c r="N225" s="44"/>
      <c r="O225" s="44"/>
    </row>
    <row r="226" spans="1:15" ht="17.25" customHeight="1">
      <c r="A226" s="44"/>
      <c r="B226" s="44"/>
      <c r="C226" s="44"/>
      <c r="D226" s="44"/>
      <c r="E226" s="44"/>
      <c r="F226" s="44"/>
      <c r="G226" s="44"/>
      <c r="H226" s="44"/>
      <c r="I226" s="44"/>
      <c r="J226" s="44"/>
      <c r="K226" s="44"/>
      <c r="L226" s="44"/>
      <c r="M226" s="44"/>
      <c r="N226" s="44"/>
      <c r="O226" s="44"/>
    </row>
    <row r="227" spans="1:15" ht="17.25" customHeight="1">
      <c r="A227" s="44"/>
      <c r="B227" s="44"/>
      <c r="C227" s="44"/>
      <c r="D227" s="44"/>
      <c r="E227" s="44"/>
      <c r="F227" s="44"/>
      <c r="G227" s="44"/>
      <c r="H227" s="44"/>
      <c r="I227" s="44"/>
      <c r="J227" s="44"/>
      <c r="K227" s="44"/>
      <c r="L227" s="44"/>
      <c r="M227" s="44"/>
      <c r="N227" s="44"/>
      <c r="O227" s="44"/>
    </row>
    <row r="228" spans="1:15" ht="17.25" customHeight="1">
      <c r="A228" s="44"/>
      <c r="B228" s="44"/>
      <c r="C228" s="44"/>
      <c r="D228" s="44"/>
      <c r="E228" s="44"/>
      <c r="F228" s="44"/>
      <c r="G228" s="44"/>
      <c r="H228" s="44"/>
      <c r="I228" s="44"/>
      <c r="J228" s="44"/>
      <c r="K228" s="44"/>
      <c r="L228" s="44"/>
      <c r="M228" s="44"/>
      <c r="N228" s="44"/>
      <c r="O228" s="44"/>
    </row>
    <row r="229" spans="1:15" ht="17.25" customHeight="1">
      <c r="A229" s="44"/>
      <c r="B229" s="44"/>
      <c r="C229" s="44"/>
      <c r="D229" s="44"/>
      <c r="E229" s="44"/>
      <c r="F229" s="44"/>
      <c r="G229" s="44"/>
      <c r="H229" s="44"/>
      <c r="I229" s="44"/>
      <c r="J229" s="44"/>
      <c r="K229" s="44"/>
      <c r="L229" s="44"/>
      <c r="M229" s="44"/>
      <c r="N229" s="44"/>
      <c r="O229" s="44"/>
    </row>
    <row r="230" spans="1:15" ht="17.25" customHeight="1">
      <c r="A230" s="44"/>
      <c r="B230" s="44"/>
      <c r="C230" s="44"/>
      <c r="D230" s="44"/>
      <c r="E230" s="44"/>
      <c r="F230" s="44"/>
      <c r="G230" s="44"/>
      <c r="H230" s="44"/>
      <c r="I230" s="44"/>
      <c r="J230" s="44"/>
      <c r="K230" s="44"/>
      <c r="L230" s="44"/>
      <c r="M230" s="44"/>
      <c r="N230" s="44"/>
      <c r="O230" s="44"/>
    </row>
    <row r="231" spans="1:15" ht="17.25" customHeight="1">
      <c r="A231" s="44"/>
      <c r="B231" s="44"/>
      <c r="C231" s="44"/>
      <c r="D231" s="44"/>
      <c r="E231" s="44"/>
      <c r="F231" s="44"/>
      <c r="G231" s="44"/>
      <c r="H231" s="44"/>
      <c r="I231" s="44"/>
      <c r="J231" s="44"/>
      <c r="K231" s="44"/>
      <c r="L231" s="44"/>
      <c r="M231" s="44"/>
      <c r="N231" s="44"/>
      <c r="O231" s="44"/>
    </row>
    <row r="232" spans="1:15" ht="17.25" customHeight="1">
      <c r="A232" s="44"/>
      <c r="B232" s="44"/>
      <c r="C232" s="44"/>
      <c r="D232" s="44"/>
      <c r="E232" s="44"/>
      <c r="F232" s="44"/>
      <c r="G232" s="44"/>
      <c r="H232" s="44"/>
      <c r="I232" s="44"/>
      <c r="J232" s="44"/>
      <c r="K232" s="44"/>
      <c r="L232" s="44"/>
      <c r="M232" s="44"/>
      <c r="N232" s="44"/>
      <c r="O232" s="44"/>
    </row>
    <row r="233" spans="1:15" ht="17.25" customHeight="1">
      <c r="A233" s="44"/>
      <c r="B233" s="44"/>
      <c r="C233" s="44"/>
      <c r="D233" s="44"/>
      <c r="E233" s="44"/>
      <c r="F233" s="44"/>
      <c r="G233" s="44"/>
      <c r="H233" s="44"/>
      <c r="I233" s="44"/>
      <c r="J233" s="44"/>
      <c r="K233" s="44"/>
      <c r="L233" s="44"/>
      <c r="M233" s="44"/>
      <c r="N233" s="44"/>
      <c r="O233" s="44"/>
    </row>
    <row r="234" spans="1:15" ht="17.25" customHeight="1">
      <c r="A234" s="44"/>
      <c r="B234" s="44"/>
      <c r="C234" s="44"/>
      <c r="D234" s="44"/>
      <c r="E234" s="44"/>
      <c r="F234" s="44"/>
      <c r="G234" s="44"/>
      <c r="H234" s="44"/>
      <c r="I234" s="44"/>
      <c r="J234" s="44"/>
      <c r="K234" s="44"/>
      <c r="L234" s="44"/>
      <c r="M234" s="44"/>
      <c r="N234" s="44"/>
      <c r="O234" s="44"/>
    </row>
    <row r="235" spans="1:15" ht="17.25" customHeight="1">
      <c r="A235" s="44"/>
      <c r="B235" s="44"/>
      <c r="C235" s="44"/>
      <c r="D235" s="44"/>
      <c r="E235" s="44"/>
      <c r="F235" s="44"/>
      <c r="G235" s="44"/>
      <c r="H235" s="44"/>
      <c r="I235" s="44"/>
      <c r="J235" s="44"/>
      <c r="K235" s="44"/>
      <c r="L235" s="44"/>
      <c r="M235" s="44"/>
      <c r="N235" s="44"/>
      <c r="O235" s="44"/>
    </row>
    <row r="236" spans="1:15" ht="17.25" customHeight="1">
      <c r="A236" s="44"/>
      <c r="B236" s="44"/>
      <c r="C236" s="44"/>
      <c r="D236" s="44"/>
      <c r="E236" s="44"/>
      <c r="F236" s="44"/>
      <c r="G236" s="44"/>
      <c r="H236" s="44"/>
      <c r="I236" s="44"/>
      <c r="J236" s="44"/>
      <c r="K236" s="44"/>
      <c r="L236" s="44"/>
      <c r="M236" s="44"/>
      <c r="N236" s="44"/>
      <c r="O236" s="44"/>
    </row>
    <row r="237" spans="1:15" ht="17.25" customHeight="1">
      <c r="A237" s="44"/>
      <c r="B237" s="44"/>
      <c r="C237" s="44"/>
      <c r="D237" s="44"/>
      <c r="E237" s="44"/>
      <c r="F237" s="44"/>
      <c r="G237" s="44"/>
      <c r="H237" s="44"/>
      <c r="I237" s="44"/>
      <c r="J237" s="44"/>
      <c r="K237" s="44"/>
      <c r="L237" s="44"/>
      <c r="M237" s="44"/>
      <c r="N237" s="44"/>
      <c r="O237" s="44"/>
    </row>
    <row r="238" spans="1:15" ht="17.25" customHeight="1">
      <c r="A238" s="44"/>
      <c r="B238" s="44"/>
      <c r="C238" s="44"/>
      <c r="D238" s="44"/>
      <c r="E238" s="44"/>
      <c r="F238" s="44"/>
      <c r="G238" s="44"/>
      <c r="H238" s="44"/>
      <c r="I238" s="44"/>
      <c r="J238" s="44"/>
      <c r="K238" s="44"/>
      <c r="L238" s="44"/>
      <c r="M238" s="44"/>
      <c r="N238" s="44"/>
      <c r="O238" s="44"/>
    </row>
    <row r="239" spans="1:15" ht="17.25" customHeight="1">
      <c r="A239" s="44"/>
      <c r="B239" s="44"/>
      <c r="C239" s="44"/>
      <c r="D239" s="44"/>
      <c r="E239" s="44"/>
      <c r="F239" s="44"/>
      <c r="G239" s="44"/>
      <c r="H239" s="44"/>
      <c r="I239" s="44"/>
      <c r="J239" s="44"/>
      <c r="K239" s="44"/>
      <c r="L239" s="44"/>
      <c r="M239" s="44"/>
      <c r="N239" s="44"/>
      <c r="O239" s="44"/>
    </row>
    <row r="240" spans="1:15" ht="17.25" customHeight="1">
      <c r="A240" s="44"/>
      <c r="B240" s="44"/>
      <c r="C240" s="44"/>
      <c r="D240" s="44"/>
      <c r="E240" s="44"/>
      <c r="F240" s="44"/>
      <c r="G240" s="44"/>
      <c r="H240" s="44"/>
      <c r="I240" s="44"/>
      <c r="J240" s="44"/>
      <c r="K240" s="44"/>
      <c r="L240" s="44"/>
      <c r="M240" s="44"/>
      <c r="N240" s="44"/>
      <c r="O240" s="44"/>
    </row>
    <row r="241" spans="1:15" ht="17.25" customHeight="1">
      <c r="A241" s="44"/>
      <c r="B241" s="44"/>
      <c r="C241" s="44"/>
      <c r="D241" s="44"/>
      <c r="E241" s="44"/>
      <c r="F241" s="44"/>
      <c r="G241" s="44"/>
      <c r="H241" s="44"/>
      <c r="I241" s="44"/>
      <c r="J241" s="44"/>
      <c r="K241" s="44"/>
      <c r="L241" s="44"/>
      <c r="M241" s="44"/>
      <c r="N241" s="44"/>
      <c r="O241" s="44"/>
    </row>
    <row r="242" spans="1:15" ht="17.25" customHeight="1">
      <c r="A242" s="44"/>
      <c r="B242" s="44"/>
      <c r="C242" s="44"/>
      <c r="D242" s="44"/>
      <c r="E242" s="44"/>
      <c r="F242" s="44"/>
      <c r="G242" s="44"/>
      <c r="H242" s="44"/>
      <c r="I242" s="44"/>
      <c r="J242" s="44"/>
      <c r="K242" s="44"/>
      <c r="L242" s="44"/>
      <c r="M242" s="44"/>
      <c r="N242" s="44"/>
      <c r="O242" s="44"/>
    </row>
    <row r="243" spans="1:15" ht="17.25" customHeight="1">
      <c r="A243" s="44"/>
      <c r="B243" s="44"/>
      <c r="C243" s="44"/>
      <c r="D243" s="44"/>
      <c r="E243" s="44"/>
      <c r="F243" s="44"/>
      <c r="G243" s="44"/>
      <c r="H243" s="44"/>
      <c r="I243" s="44"/>
      <c r="J243" s="44"/>
      <c r="K243" s="44"/>
      <c r="L243" s="44"/>
      <c r="M243" s="44"/>
      <c r="N243" s="44"/>
      <c r="O243" s="44"/>
    </row>
    <row r="244" spans="1:15" ht="17.25" customHeight="1">
      <c r="A244" s="44"/>
      <c r="B244" s="44"/>
      <c r="C244" s="44"/>
      <c r="D244" s="44"/>
      <c r="E244" s="44"/>
      <c r="F244" s="44"/>
      <c r="G244" s="44"/>
      <c r="H244" s="44"/>
      <c r="I244" s="44"/>
      <c r="J244" s="44"/>
      <c r="K244" s="44"/>
      <c r="L244" s="44"/>
      <c r="M244" s="44"/>
      <c r="N244" s="44"/>
      <c r="O244" s="44"/>
    </row>
    <row r="245" spans="1:15" ht="17.25" customHeight="1">
      <c r="A245" s="44"/>
      <c r="B245" s="44"/>
      <c r="C245" s="44"/>
      <c r="D245" s="44"/>
      <c r="E245" s="44"/>
      <c r="F245" s="44"/>
      <c r="G245" s="44"/>
      <c r="H245" s="44"/>
      <c r="I245" s="44"/>
      <c r="J245" s="44"/>
      <c r="K245" s="44"/>
      <c r="L245" s="44"/>
      <c r="M245" s="44"/>
      <c r="N245" s="44"/>
      <c r="O245" s="44"/>
    </row>
    <row r="246" spans="1:15" ht="17.25" customHeight="1">
      <c r="A246" s="44"/>
      <c r="B246" s="44"/>
      <c r="C246" s="44"/>
      <c r="D246" s="44"/>
      <c r="E246" s="44"/>
      <c r="F246" s="44"/>
      <c r="G246" s="44"/>
      <c r="H246" s="44"/>
      <c r="I246" s="44"/>
      <c r="J246" s="44"/>
      <c r="K246" s="44"/>
      <c r="L246" s="44"/>
      <c r="M246" s="44"/>
      <c r="N246" s="44"/>
      <c r="O246" s="44"/>
    </row>
    <row r="247" spans="1:15" ht="17.25" customHeight="1">
      <c r="A247" s="44"/>
      <c r="B247" s="44"/>
      <c r="C247" s="44"/>
      <c r="D247" s="44"/>
      <c r="E247" s="44"/>
      <c r="F247" s="44"/>
      <c r="G247" s="44"/>
      <c r="H247" s="44"/>
      <c r="I247" s="44"/>
      <c r="J247" s="44"/>
      <c r="K247" s="44"/>
      <c r="L247" s="44"/>
      <c r="M247" s="44"/>
      <c r="N247" s="44"/>
      <c r="O247" s="44"/>
    </row>
    <row r="248" spans="1:15" ht="17.25" customHeight="1">
      <c r="A248" s="44"/>
      <c r="B248" s="44"/>
      <c r="C248" s="44"/>
      <c r="D248" s="44"/>
      <c r="E248" s="44"/>
      <c r="F248" s="44"/>
      <c r="G248" s="44"/>
      <c r="H248" s="44"/>
      <c r="I248" s="44"/>
      <c r="J248" s="44"/>
      <c r="K248" s="44"/>
      <c r="L248" s="44"/>
      <c r="M248" s="44"/>
      <c r="N248" s="44"/>
      <c r="O248" s="44"/>
    </row>
    <row r="249" spans="1:15" ht="17.25" customHeight="1">
      <c r="A249" s="44"/>
      <c r="B249" s="44"/>
      <c r="C249" s="44"/>
      <c r="D249" s="44"/>
      <c r="E249" s="44"/>
      <c r="F249" s="44"/>
      <c r="G249" s="44"/>
      <c r="H249" s="44"/>
      <c r="I249" s="44"/>
      <c r="J249" s="44"/>
      <c r="K249" s="44"/>
      <c r="L249" s="44"/>
      <c r="M249" s="44"/>
      <c r="N249" s="44"/>
      <c r="O249" s="44"/>
    </row>
    <row r="250" spans="1:15" ht="17.25" customHeight="1">
      <c r="A250" s="44"/>
      <c r="B250" s="44"/>
      <c r="C250" s="44"/>
      <c r="D250" s="44"/>
      <c r="E250" s="44"/>
      <c r="F250" s="44"/>
      <c r="G250" s="44"/>
      <c r="H250" s="44"/>
      <c r="I250" s="44"/>
      <c r="J250" s="44"/>
      <c r="K250" s="44"/>
      <c r="L250" s="44"/>
      <c r="M250" s="44"/>
      <c r="N250" s="44"/>
      <c r="O250" s="44"/>
    </row>
    <row r="251" spans="1:15" ht="17.25" customHeight="1">
      <c r="A251" s="44"/>
      <c r="B251" s="44"/>
      <c r="C251" s="44"/>
      <c r="D251" s="44"/>
      <c r="E251" s="44"/>
      <c r="F251" s="44"/>
      <c r="G251" s="44"/>
      <c r="H251" s="44"/>
      <c r="I251" s="44"/>
      <c r="J251" s="44"/>
      <c r="K251" s="44"/>
      <c r="L251" s="44"/>
      <c r="M251" s="44"/>
      <c r="N251" s="44"/>
      <c r="O251" s="44"/>
    </row>
    <row r="252" spans="1:15" ht="17.25" customHeight="1">
      <c r="A252" s="44"/>
      <c r="B252" s="44"/>
      <c r="C252" s="44"/>
      <c r="D252" s="44"/>
      <c r="E252" s="44"/>
      <c r="F252" s="44"/>
      <c r="G252" s="44"/>
      <c r="H252" s="44"/>
      <c r="I252" s="44"/>
      <c r="J252" s="44"/>
      <c r="K252" s="44"/>
      <c r="L252" s="44"/>
      <c r="M252" s="44"/>
      <c r="N252" s="44"/>
      <c r="O252" s="44"/>
    </row>
    <row r="253" spans="1:15" ht="17.25" customHeight="1">
      <c r="A253" s="44"/>
      <c r="B253" s="44"/>
      <c r="C253" s="44"/>
      <c r="D253" s="44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4"/>
    </row>
    <row r="254" spans="1:15" ht="17.25" customHeight="1">
      <c r="A254" s="44"/>
      <c r="B254" s="44"/>
      <c r="C254" s="44"/>
      <c r="D254" s="44"/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O254" s="44"/>
    </row>
    <row r="255" spans="1:15" ht="17.25" customHeight="1">
      <c r="A255" s="44"/>
      <c r="B255" s="44"/>
      <c r="C255" s="44"/>
      <c r="D255" s="44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</row>
    <row r="256" spans="1:15" ht="17.25" customHeight="1">
      <c r="A256" s="44"/>
      <c r="B256" s="44"/>
      <c r="C256" s="44"/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</row>
    <row r="257" spans="1:15" ht="17.25" customHeight="1">
      <c r="A257" s="44"/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</row>
    <row r="258" spans="1:15" ht="17.25" customHeight="1">
      <c r="A258" s="44"/>
      <c r="B258" s="44"/>
      <c r="C258" s="44"/>
      <c r="D258" s="44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</row>
    <row r="259" spans="1:15" ht="17.25" customHeight="1">
      <c r="A259" s="44"/>
      <c r="B259" s="44"/>
      <c r="C259" s="44"/>
      <c r="D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</row>
    <row r="260" spans="1:15" ht="17.25" customHeight="1">
      <c r="A260" s="44"/>
      <c r="B260" s="44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</row>
    <row r="261" spans="1:15" ht="17.25" customHeight="1">
      <c r="A261" s="44"/>
      <c r="B261" s="44"/>
      <c r="C261" s="44"/>
      <c r="D261" s="44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</row>
    <row r="262" spans="1:15" ht="17.25" customHeight="1">
      <c r="A262" s="44"/>
      <c r="B262" s="44"/>
      <c r="C262" s="44"/>
      <c r="D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</row>
    <row r="263" spans="1:15" ht="17.25" customHeight="1">
      <c r="A263" s="44"/>
      <c r="B263" s="44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</row>
    <row r="264" spans="1:15" ht="17.25" customHeight="1">
      <c r="A264" s="44"/>
      <c r="B264" s="44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</row>
    <row r="265" spans="1:15" ht="17.25" customHeight="1">
      <c r="A265" s="44"/>
      <c r="B265" s="44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</row>
    <row r="266" spans="1:15" ht="17.25" customHeight="1">
      <c r="A266" s="44"/>
      <c r="B266" s="44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</row>
    <row r="267" spans="1:15" ht="17.25" customHeight="1">
      <c r="A267" s="44"/>
      <c r="B267" s="44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</row>
    <row r="268" spans="1:15" ht="17.25" customHeight="1">
      <c r="A268" s="44"/>
      <c r="B268" s="44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</row>
    <row r="269" spans="1:15" ht="17.25" customHeight="1">
      <c r="A269" s="44"/>
      <c r="B269" s="44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</row>
    <row r="270" spans="1:15" ht="17.25" customHeight="1">
      <c r="A270" s="44"/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</row>
    <row r="271" spans="1:15" ht="17.25" customHeight="1">
      <c r="A271" s="44"/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</row>
    <row r="272" spans="1:15" ht="17.25" customHeight="1">
      <c r="A272" s="44"/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</row>
    <row r="273" spans="1:15" ht="17.25" customHeight="1">
      <c r="A273" s="44"/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</row>
    <row r="274" spans="1:15" ht="17.25" customHeight="1">
      <c r="A274" s="44"/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</row>
    <row r="275" spans="1:15" ht="17.25" customHeight="1">
      <c r="A275" s="44"/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</row>
    <row r="276" spans="1:15" ht="17.25" customHeight="1">
      <c r="A276" s="44"/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</row>
    <row r="277" spans="1:15" ht="17.25" customHeight="1">
      <c r="A277" s="44"/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</row>
    <row r="278" spans="1:15" ht="17.25" customHeight="1">
      <c r="A278" s="44"/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</row>
    <row r="279" spans="1:15" ht="17.25" customHeight="1">
      <c r="A279" s="44"/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</row>
    <row r="280" spans="1:15" ht="17.25" customHeight="1">
      <c r="A280" s="44"/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</row>
    <row r="281" spans="1:15" ht="17.25" customHeight="1">
      <c r="A281" s="44"/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</row>
    <row r="282" spans="1:15" ht="17.25" customHeight="1">
      <c r="A282" s="44"/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</row>
    <row r="283" spans="1:15" ht="17.25" customHeight="1">
      <c r="A283" s="44"/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</row>
    <row r="284" spans="1:15" ht="17.25" customHeight="1">
      <c r="A284" s="44"/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</row>
    <row r="285" spans="1:15" ht="17.25" customHeight="1">
      <c r="A285" s="44"/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</row>
    <row r="286" spans="1:15" ht="17.25" customHeight="1">
      <c r="A286" s="44"/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</row>
    <row r="287" spans="1:15" ht="17.25" customHeight="1">
      <c r="A287" s="44"/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</row>
    <row r="288" spans="1:15" ht="17.25" customHeight="1">
      <c r="A288" s="44"/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</row>
    <row r="289" spans="1:15" ht="17.25" customHeight="1">
      <c r="A289" s="44"/>
      <c r="B289" s="44"/>
      <c r="C289" s="44"/>
      <c r="D289" s="44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</row>
    <row r="290" spans="1:15" ht="17.25" customHeight="1">
      <c r="A290" s="44"/>
      <c r="B290" s="44"/>
      <c r="C290" s="44"/>
      <c r="D290" s="44"/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44"/>
    </row>
    <row r="291" spans="1:15" ht="17.25" customHeight="1">
      <c r="A291" s="44"/>
      <c r="B291" s="44"/>
      <c r="C291" s="44"/>
      <c r="D291" s="44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</row>
    <row r="292" spans="1:15" ht="17.25" customHeight="1">
      <c r="A292" s="44"/>
      <c r="B292" s="44"/>
      <c r="C292" s="44"/>
      <c r="D292" s="44"/>
      <c r="E292" s="44"/>
      <c r="F292" s="44"/>
      <c r="G292" s="44"/>
      <c r="H292" s="44"/>
      <c r="I292" s="44"/>
      <c r="J292" s="44"/>
      <c r="K292" s="44"/>
      <c r="L292" s="44"/>
      <c r="M292" s="44"/>
      <c r="N292" s="44"/>
      <c r="O292" s="44"/>
    </row>
    <row r="293" spans="1:15" ht="17.25" customHeight="1">
      <c r="A293" s="44"/>
      <c r="B293" s="44"/>
      <c r="C293" s="44"/>
      <c r="D293" s="44"/>
      <c r="E293" s="44"/>
      <c r="F293" s="44"/>
      <c r="G293" s="44"/>
      <c r="H293" s="44"/>
      <c r="I293" s="44"/>
      <c r="J293" s="44"/>
      <c r="K293" s="44"/>
      <c r="L293" s="44"/>
      <c r="M293" s="44"/>
      <c r="N293" s="44"/>
      <c r="O293" s="44"/>
    </row>
    <row r="294" spans="1:15" ht="17.25" customHeight="1">
      <c r="A294" s="44"/>
      <c r="B294" s="44"/>
      <c r="C294" s="44"/>
      <c r="D294" s="44"/>
      <c r="E294" s="44"/>
      <c r="F294" s="44"/>
      <c r="G294" s="44"/>
      <c r="H294" s="44"/>
      <c r="I294" s="44"/>
      <c r="J294" s="44"/>
      <c r="K294" s="44"/>
      <c r="L294" s="44"/>
      <c r="M294" s="44"/>
      <c r="N294" s="44"/>
      <c r="O294" s="44"/>
    </row>
    <row r="295" spans="1:15" ht="17.25" customHeight="1">
      <c r="A295" s="44"/>
      <c r="B295" s="44"/>
      <c r="C295" s="44"/>
      <c r="D295" s="44"/>
      <c r="E295" s="44"/>
      <c r="F295" s="44"/>
      <c r="G295" s="44"/>
      <c r="H295" s="44"/>
      <c r="I295" s="44"/>
      <c r="J295" s="44"/>
      <c r="K295" s="44"/>
      <c r="L295" s="44"/>
      <c r="M295" s="44"/>
      <c r="N295" s="44"/>
      <c r="O295" s="44"/>
    </row>
    <row r="296" spans="1:15" ht="17.25" customHeight="1">
      <c r="A296" s="44"/>
      <c r="B296" s="44"/>
      <c r="C296" s="44"/>
      <c r="D296" s="44"/>
      <c r="E296" s="44"/>
      <c r="F296" s="44"/>
      <c r="G296" s="44"/>
      <c r="H296" s="44"/>
      <c r="I296" s="44"/>
      <c r="J296" s="44"/>
      <c r="K296" s="44"/>
      <c r="L296" s="44"/>
      <c r="M296" s="44"/>
      <c r="N296" s="44"/>
      <c r="O296" s="44"/>
    </row>
    <row r="297" spans="1:15" ht="17.25" customHeight="1">
      <c r="A297" s="44"/>
      <c r="B297" s="44"/>
      <c r="C297" s="44"/>
      <c r="D297" s="44"/>
      <c r="E297" s="44"/>
      <c r="F297" s="44"/>
      <c r="G297" s="44"/>
      <c r="H297" s="44"/>
      <c r="I297" s="44"/>
      <c r="J297" s="44"/>
      <c r="K297" s="44"/>
      <c r="L297" s="44"/>
      <c r="M297" s="44"/>
      <c r="N297" s="44"/>
      <c r="O297" s="44"/>
    </row>
    <row r="298" spans="1:15" ht="17.25" customHeight="1">
      <c r="A298" s="44"/>
      <c r="B298" s="44"/>
      <c r="C298" s="44"/>
      <c r="D298" s="44"/>
      <c r="E298" s="44"/>
      <c r="F298" s="44"/>
      <c r="G298" s="44"/>
      <c r="H298" s="44"/>
      <c r="I298" s="44"/>
      <c r="J298" s="44"/>
      <c r="K298" s="44"/>
      <c r="L298" s="44"/>
      <c r="M298" s="44"/>
      <c r="N298" s="44"/>
      <c r="O298" s="44"/>
    </row>
    <row r="299" spans="1:15" ht="17.25" customHeight="1">
      <c r="A299" s="44"/>
      <c r="B299" s="44"/>
      <c r="C299" s="44"/>
      <c r="D299" s="44"/>
      <c r="E299" s="44"/>
      <c r="F299" s="44"/>
      <c r="G299" s="44"/>
      <c r="H299" s="44"/>
      <c r="I299" s="44"/>
      <c r="J299" s="44"/>
      <c r="K299" s="44"/>
      <c r="L299" s="44"/>
      <c r="M299" s="44"/>
      <c r="N299" s="44"/>
      <c r="O299" s="44"/>
    </row>
    <row r="300" spans="1:15" ht="17.25" customHeight="1">
      <c r="A300" s="44"/>
      <c r="B300" s="44"/>
      <c r="C300" s="44"/>
      <c r="D300" s="44"/>
      <c r="E300" s="44"/>
      <c r="F300" s="44"/>
      <c r="G300" s="44"/>
      <c r="H300" s="44"/>
      <c r="I300" s="44"/>
      <c r="J300" s="44"/>
      <c r="K300" s="44"/>
      <c r="L300" s="44"/>
      <c r="M300" s="44"/>
      <c r="N300" s="44"/>
      <c r="O300" s="44"/>
    </row>
    <row r="301" spans="1:15" ht="17.25" customHeight="1">
      <c r="A301" s="44"/>
      <c r="B301" s="44"/>
      <c r="C301" s="44"/>
      <c r="D301" s="44"/>
      <c r="E301" s="44"/>
      <c r="F301" s="44"/>
      <c r="G301" s="44"/>
      <c r="H301" s="44"/>
      <c r="I301" s="44"/>
      <c r="J301" s="44"/>
      <c r="K301" s="44"/>
      <c r="L301" s="44"/>
      <c r="M301" s="44"/>
      <c r="N301" s="44"/>
      <c r="O301" s="44"/>
    </row>
    <row r="302" spans="1:15" ht="17.25" customHeight="1">
      <c r="A302" s="44"/>
      <c r="B302" s="44"/>
      <c r="C302" s="44"/>
      <c r="D302" s="44"/>
      <c r="E302" s="44"/>
      <c r="F302" s="44"/>
      <c r="G302" s="44"/>
      <c r="H302" s="44"/>
      <c r="I302" s="44"/>
      <c r="J302" s="44"/>
      <c r="K302" s="44"/>
      <c r="L302" s="44"/>
      <c r="M302" s="44"/>
      <c r="N302" s="44"/>
      <c r="O302" s="44"/>
    </row>
    <row r="303" spans="1:15" ht="17.25" customHeight="1">
      <c r="A303" s="44"/>
      <c r="B303" s="44"/>
      <c r="C303" s="44"/>
      <c r="D303" s="44"/>
      <c r="E303" s="44"/>
      <c r="F303" s="44"/>
      <c r="G303" s="44"/>
      <c r="H303" s="44"/>
      <c r="I303" s="44"/>
      <c r="J303" s="44"/>
      <c r="K303" s="44"/>
      <c r="L303" s="44"/>
      <c r="M303" s="44"/>
      <c r="N303" s="44"/>
      <c r="O303" s="44"/>
    </row>
    <row r="304" spans="1:15" ht="17.25" customHeight="1">
      <c r="A304" s="44"/>
      <c r="B304" s="44"/>
      <c r="C304" s="44"/>
      <c r="D304" s="44"/>
      <c r="E304" s="44"/>
      <c r="F304" s="44"/>
      <c r="G304" s="44"/>
      <c r="H304" s="44"/>
      <c r="I304" s="44"/>
      <c r="J304" s="44"/>
      <c r="K304" s="44"/>
      <c r="L304" s="44"/>
      <c r="M304" s="44"/>
      <c r="N304" s="44"/>
      <c r="O304" s="44"/>
    </row>
    <row r="305" spans="1:15" ht="17.25" customHeight="1">
      <c r="A305" s="44"/>
      <c r="B305" s="44"/>
      <c r="C305" s="44"/>
      <c r="D305" s="44"/>
      <c r="E305" s="44"/>
      <c r="F305" s="44"/>
      <c r="G305" s="44"/>
      <c r="H305" s="44"/>
      <c r="I305" s="44"/>
      <c r="J305" s="44"/>
      <c r="K305" s="44"/>
      <c r="L305" s="44"/>
      <c r="M305" s="44"/>
      <c r="N305" s="44"/>
      <c r="O305" s="44"/>
    </row>
    <row r="306" spans="1:15" ht="17.25" customHeight="1">
      <c r="A306" s="44"/>
      <c r="B306" s="44"/>
      <c r="C306" s="44"/>
      <c r="D306" s="44"/>
      <c r="E306" s="44"/>
      <c r="F306" s="44"/>
      <c r="G306" s="44"/>
      <c r="H306" s="44"/>
      <c r="I306" s="44"/>
      <c r="J306" s="44"/>
      <c r="K306" s="44"/>
      <c r="L306" s="44"/>
      <c r="M306" s="44"/>
      <c r="N306" s="44"/>
      <c r="O306" s="44"/>
    </row>
    <row r="307" spans="1:15" ht="17.25" customHeight="1">
      <c r="A307" s="44"/>
      <c r="B307" s="44"/>
      <c r="C307" s="44"/>
      <c r="D307" s="44"/>
      <c r="E307" s="44"/>
      <c r="F307" s="44"/>
      <c r="G307" s="44"/>
      <c r="H307" s="44"/>
      <c r="I307" s="44"/>
      <c r="J307" s="44"/>
      <c r="K307" s="44"/>
      <c r="L307" s="44"/>
      <c r="M307" s="44"/>
      <c r="N307" s="44"/>
      <c r="O307" s="44"/>
    </row>
    <row r="308" spans="1:15" ht="17.25" customHeight="1">
      <c r="A308" s="44"/>
      <c r="B308" s="44"/>
      <c r="C308" s="44"/>
      <c r="D308" s="44"/>
      <c r="E308" s="44"/>
      <c r="F308" s="44"/>
      <c r="G308" s="44"/>
      <c r="H308" s="44"/>
      <c r="I308" s="44"/>
      <c r="J308" s="44"/>
      <c r="K308" s="44"/>
      <c r="L308" s="44"/>
      <c r="M308" s="44"/>
      <c r="N308" s="44"/>
      <c r="O308" s="44"/>
    </row>
    <row r="309" spans="1:15" ht="17.25" customHeight="1">
      <c r="A309" s="44"/>
      <c r="B309" s="44"/>
      <c r="C309" s="44"/>
      <c r="D309" s="44"/>
      <c r="E309" s="44"/>
      <c r="F309" s="44"/>
      <c r="G309" s="44"/>
      <c r="H309" s="44"/>
      <c r="I309" s="44"/>
      <c r="J309" s="44"/>
      <c r="K309" s="44"/>
      <c r="L309" s="44"/>
      <c r="M309" s="44"/>
      <c r="N309" s="44"/>
      <c r="O309" s="44"/>
    </row>
    <row r="310" spans="1:15" ht="17.25" customHeight="1">
      <c r="A310" s="44"/>
      <c r="B310" s="44"/>
      <c r="C310" s="44"/>
      <c r="D310" s="44"/>
      <c r="E310" s="44"/>
      <c r="F310" s="44"/>
      <c r="G310" s="44"/>
      <c r="H310" s="44"/>
      <c r="I310" s="44"/>
      <c r="J310" s="44"/>
      <c r="K310" s="44"/>
      <c r="L310" s="44"/>
      <c r="M310" s="44"/>
      <c r="N310" s="44"/>
      <c r="O310" s="44"/>
    </row>
    <row r="311" spans="1:15" ht="17.25" customHeight="1">
      <c r="A311" s="44"/>
      <c r="B311" s="44"/>
      <c r="C311" s="44"/>
      <c r="D311" s="44"/>
      <c r="E311" s="44"/>
      <c r="F311" s="44"/>
      <c r="G311" s="44"/>
      <c r="H311" s="44"/>
      <c r="I311" s="44"/>
      <c r="J311" s="44"/>
      <c r="K311" s="44"/>
      <c r="L311" s="44"/>
      <c r="M311" s="44"/>
      <c r="N311" s="44"/>
      <c r="O311" s="44"/>
    </row>
    <row r="312" spans="1:15" ht="17.25" customHeight="1">
      <c r="A312" s="44"/>
      <c r="B312" s="44"/>
      <c r="C312" s="44"/>
      <c r="D312" s="44"/>
      <c r="E312" s="44"/>
      <c r="F312" s="44"/>
      <c r="G312" s="44"/>
      <c r="H312" s="44"/>
      <c r="I312" s="44"/>
      <c r="J312" s="44"/>
      <c r="K312" s="44"/>
      <c r="L312" s="44"/>
      <c r="M312" s="44"/>
      <c r="N312" s="44"/>
      <c r="O312" s="44"/>
    </row>
    <row r="313" spans="1:15" ht="17.25" customHeight="1">
      <c r="A313" s="44"/>
      <c r="B313" s="44"/>
      <c r="C313" s="44"/>
      <c r="D313" s="44"/>
      <c r="E313" s="44"/>
      <c r="F313" s="44"/>
      <c r="G313" s="44"/>
      <c r="H313" s="44"/>
      <c r="I313" s="44"/>
      <c r="J313" s="44"/>
      <c r="K313" s="44"/>
      <c r="L313" s="44"/>
      <c r="M313" s="44"/>
      <c r="N313" s="44"/>
      <c r="O313" s="44"/>
    </row>
    <row r="314" spans="1:15" ht="17.25" customHeight="1">
      <c r="A314" s="44"/>
      <c r="B314" s="44"/>
      <c r="C314" s="44"/>
      <c r="D314" s="44"/>
      <c r="E314" s="44"/>
      <c r="F314" s="44"/>
      <c r="G314" s="44"/>
      <c r="H314" s="44"/>
      <c r="I314" s="44"/>
      <c r="J314" s="44"/>
      <c r="K314" s="44"/>
      <c r="L314" s="44"/>
      <c r="M314" s="44"/>
      <c r="N314" s="44"/>
      <c r="O314" s="44"/>
    </row>
    <row r="315" spans="1:15" ht="17.25" customHeight="1">
      <c r="A315" s="44"/>
      <c r="B315" s="44"/>
      <c r="C315" s="44"/>
      <c r="D315" s="44"/>
      <c r="E315" s="44"/>
      <c r="F315" s="44"/>
      <c r="G315" s="44"/>
      <c r="H315" s="44"/>
      <c r="I315" s="44"/>
      <c r="J315" s="44"/>
      <c r="K315" s="44"/>
      <c r="L315" s="44"/>
      <c r="M315" s="44"/>
      <c r="N315" s="44"/>
      <c r="O315" s="44"/>
    </row>
    <row r="316" spans="1:15" ht="17.25" customHeight="1">
      <c r="A316" s="44"/>
      <c r="B316" s="44"/>
      <c r="C316" s="44"/>
      <c r="D316" s="44"/>
      <c r="E316" s="44"/>
      <c r="F316" s="44"/>
      <c r="G316" s="44"/>
      <c r="H316" s="44"/>
      <c r="I316" s="44"/>
      <c r="J316" s="44"/>
      <c r="K316" s="44"/>
      <c r="L316" s="44"/>
      <c r="M316" s="44"/>
      <c r="N316" s="44"/>
      <c r="O316" s="44"/>
    </row>
    <row r="317" spans="1:15" ht="17.25" customHeight="1">
      <c r="A317" s="44"/>
      <c r="B317" s="44"/>
      <c r="C317" s="44"/>
      <c r="D317" s="44"/>
      <c r="E317" s="44"/>
      <c r="F317" s="44"/>
      <c r="G317" s="44"/>
      <c r="H317" s="44"/>
      <c r="I317" s="44"/>
      <c r="J317" s="44"/>
      <c r="K317" s="44"/>
      <c r="L317" s="44"/>
      <c r="M317" s="44"/>
      <c r="N317" s="44"/>
      <c r="O317" s="44"/>
    </row>
    <row r="318" spans="1:15" ht="17.25" customHeight="1">
      <c r="A318" s="44"/>
      <c r="B318" s="44"/>
      <c r="C318" s="44"/>
      <c r="D318" s="44"/>
      <c r="E318" s="44"/>
      <c r="F318" s="44"/>
      <c r="G318" s="44"/>
      <c r="H318" s="44"/>
      <c r="I318" s="44"/>
      <c r="J318" s="44"/>
      <c r="K318" s="44"/>
      <c r="L318" s="44"/>
      <c r="M318" s="44"/>
      <c r="N318" s="44"/>
      <c r="O318" s="44"/>
    </row>
    <row r="319" spans="1:15" ht="17.25" customHeight="1">
      <c r="A319" s="44"/>
      <c r="B319" s="44"/>
      <c r="C319" s="44"/>
      <c r="D319" s="44"/>
      <c r="E319" s="44"/>
      <c r="F319" s="44"/>
      <c r="G319" s="44"/>
      <c r="H319" s="44"/>
      <c r="I319" s="44"/>
      <c r="J319" s="44"/>
      <c r="K319" s="44"/>
      <c r="L319" s="44"/>
      <c r="M319" s="44"/>
      <c r="N319" s="44"/>
      <c r="O319" s="44"/>
    </row>
    <row r="320" spans="1:15" ht="17.25" customHeight="1">
      <c r="A320" s="44"/>
      <c r="B320" s="44"/>
      <c r="C320" s="44"/>
      <c r="D320" s="44"/>
      <c r="E320" s="44"/>
      <c r="F320" s="44"/>
      <c r="G320" s="44"/>
      <c r="H320" s="44"/>
      <c r="I320" s="44"/>
      <c r="J320" s="44"/>
      <c r="K320" s="44"/>
      <c r="L320" s="44"/>
      <c r="M320" s="44"/>
      <c r="N320" s="44"/>
      <c r="O320" s="44"/>
    </row>
    <row r="321" spans="1:15" ht="17.25" customHeight="1">
      <c r="A321" s="44"/>
      <c r="B321" s="44"/>
      <c r="C321" s="44"/>
      <c r="D321" s="44"/>
      <c r="E321" s="44"/>
      <c r="F321" s="44"/>
      <c r="G321" s="44"/>
      <c r="H321" s="44"/>
      <c r="I321" s="44"/>
      <c r="J321" s="44"/>
      <c r="K321" s="44"/>
      <c r="L321" s="44"/>
      <c r="M321" s="44"/>
      <c r="N321" s="44"/>
      <c r="O321" s="44"/>
    </row>
    <row r="322" spans="1:15" ht="17.25" customHeight="1">
      <c r="A322" s="44"/>
      <c r="B322" s="44"/>
      <c r="C322" s="44"/>
      <c r="D322" s="44"/>
      <c r="E322" s="44"/>
      <c r="F322" s="44"/>
      <c r="G322" s="44"/>
      <c r="H322" s="44"/>
      <c r="I322" s="44"/>
      <c r="J322" s="44"/>
      <c r="K322" s="44"/>
      <c r="L322" s="44"/>
      <c r="M322" s="44"/>
      <c r="N322" s="44"/>
      <c r="O322" s="44"/>
    </row>
    <row r="323" spans="1:15" ht="17.25" customHeight="1">
      <c r="A323" s="44"/>
      <c r="B323" s="44"/>
      <c r="C323" s="44"/>
      <c r="D323" s="44"/>
      <c r="E323" s="44"/>
      <c r="F323" s="44"/>
      <c r="G323" s="44"/>
      <c r="H323" s="44"/>
      <c r="I323" s="44"/>
      <c r="J323" s="44"/>
      <c r="K323" s="44"/>
      <c r="L323" s="44"/>
      <c r="M323" s="44"/>
      <c r="N323" s="44"/>
      <c r="O323" s="44"/>
    </row>
    <row r="324" spans="1:15" ht="17.25" customHeight="1">
      <c r="A324" s="44"/>
      <c r="B324" s="44"/>
      <c r="C324" s="44"/>
      <c r="D324" s="44"/>
      <c r="E324" s="44"/>
      <c r="F324" s="44"/>
      <c r="G324" s="44"/>
      <c r="H324" s="44"/>
      <c r="I324" s="44"/>
      <c r="J324" s="44"/>
      <c r="K324" s="44"/>
      <c r="L324" s="44"/>
      <c r="M324" s="44"/>
      <c r="N324" s="44"/>
      <c r="O324" s="44"/>
    </row>
    <row r="325" spans="1:15" ht="17.25" customHeight="1">
      <c r="A325" s="44"/>
      <c r="B325" s="44"/>
      <c r="C325" s="44"/>
      <c r="D325" s="44"/>
      <c r="E325" s="44"/>
      <c r="F325" s="44"/>
      <c r="G325" s="44"/>
      <c r="H325" s="44"/>
      <c r="I325" s="44"/>
      <c r="J325" s="44"/>
      <c r="K325" s="44"/>
      <c r="L325" s="44"/>
      <c r="M325" s="44"/>
      <c r="N325" s="44"/>
      <c r="O325" s="44"/>
    </row>
    <row r="326" spans="1:15" ht="17.25" customHeight="1">
      <c r="A326" s="44"/>
      <c r="B326" s="44"/>
      <c r="C326" s="44"/>
      <c r="D326" s="44"/>
      <c r="E326" s="44"/>
      <c r="F326" s="44"/>
      <c r="G326" s="44"/>
      <c r="H326" s="44"/>
      <c r="I326" s="44"/>
      <c r="J326" s="44"/>
      <c r="K326" s="44"/>
      <c r="L326" s="44"/>
      <c r="M326" s="44"/>
      <c r="N326" s="44"/>
      <c r="O326" s="44"/>
    </row>
    <row r="327" spans="1:15" ht="17.25" customHeight="1">
      <c r="A327" s="44"/>
      <c r="B327" s="44"/>
      <c r="C327" s="44"/>
      <c r="D327" s="44"/>
      <c r="E327" s="44"/>
      <c r="F327" s="44"/>
      <c r="G327" s="44"/>
      <c r="H327" s="44"/>
      <c r="I327" s="44"/>
      <c r="J327" s="44"/>
      <c r="K327" s="44"/>
      <c r="L327" s="44"/>
      <c r="M327" s="44"/>
      <c r="N327" s="44"/>
      <c r="O327" s="44"/>
    </row>
    <row r="328" spans="1:15" ht="17.25" customHeight="1">
      <c r="A328" s="44"/>
      <c r="B328" s="44"/>
      <c r="C328" s="44"/>
      <c r="D328" s="44"/>
      <c r="E328" s="44"/>
      <c r="F328" s="44"/>
      <c r="G328" s="44"/>
      <c r="H328" s="44"/>
      <c r="I328" s="44"/>
      <c r="J328" s="44"/>
      <c r="K328" s="44"/>
      <c r="L328" s="44"/>
      <c r="M328" s="44"/>
      <c r="N328" s="44"/>
      <c r="O328" s="44"/>
    </row>
    <row r="329" spans="1:15" ht="17.25" customHeight="1">
      <c r="A329" s="44"/>
      <c r="B329" s="44"/>
      <c r="C329" s="44"/>
      <c r="D329" s="44"/>
      <c r="E329" s="44"/>
      <c r="F329" s="44"/>
      <c r="G329" s="44"/>
      <c r="H329" s="44"/>
      <c r="I329" s="44"/>
      <c r="J329" s="44"/>
      <c r="K329" s="44"/>
      <c r="L329" s="44"/>
      <c r="M329" s="44"/>
      <c r="N329" s="44"/>
      <c r="O329" s="44"/>
    </row>
    <row r="330" spans="1:15" ht="17.25" customHeight="1">
      <c r="A330" s="44"/>
      <c r="B330" s="44"/>
      <c r="C330" s="44"/>
      <c r="D330" s="44"/>
      <c r="E330" s="44"/>
      <c r="F330" s="44"/>
      <c r="G330" s="44"/>
      <c r="H330" s="44"/>
      <c r="I330" s="44"/>
      <c r="J330" s="44"/>
      <c r="K330" s="44"/>
      <c r="L330" s="44"/>
      <c r="M330" s="44"/>
      <c r="N330" s="44"/>
      <c r="O330" s="44"/>
    </row>
    <row r="331" spans="1:15" ht="17.25" customHeight="1">
      <c r="A331" s="44"/>
      <c r="B331" s="44"/>
      <c r="C331" s="44"/>
      <c r="D331" s="44"/>
      <c r="E331" s="44"/>
      <c r="F331" s="44"/>
      <c r="G331" s="44"/>
      <c r="H331" s="44"/>
      <c r="I331" s="44"/>
      <c r="J331" s="44"/>
      <c r="K331" s="44"/>
      <c r="L331" s="44"/>
      <c r="M331" s="44"/>
      <c r="N331" s="44"/>
      <c r="O331" s="44"/>
    </row>
    <row r="332" spans="1:15" ht="17.25" customHeight="1">
      <c r="A332" s="44"/>
      <c r="B332" s="44"/>
      <c r="C332" s="44"/>
      <c r="D332" s="44"/>
      <c r="E332" s="44"/>
      <c r="F332" s="44"/>
      <c r="G332" s="44"/>
      <c r="H332" s="44"/>
      <c r="I332" s="44"/>
      <c r="J332" s="44"/>
      <c r="K332" s="44"/>
      <c r="L332" s="44"/>
      <c r="M332" s="44"/>
      <c r="N332" s="44"/>
      <c r="O332" s="44"/>
    </row>
    <row r="333" spans="1:15" ht="17.25" customHeight="1">
      <c r="A333" s="44"/>
      <c r="B333" s="44"/>
      <c r="C333" s="44"/>
      <c r="D333" s="44"/>
      <c r="E333" s="44"/>
      <c r="F333" s="44"/>
      <c r="G333" s="44"/>
      <c r="H333" s="44"/>
      <c r="I333" s="44"/>
      <c r="J333" s="44"/>
      <c r="K333" s="44"/>
      <c r="L333" s="44"/>
      <c r="M333" s="44"/>
      <c r="N333" s="44"/>
      <c r="O333" s="44"/>
    </row>
    <row r="334" spans="1:15" ht="17.25" customHeight="1">
      <c r="A334" s="44"/>
      <c r="B334" s="44"/>
      <c r="C334" s="44"/>
      <c r="D334" s="44"/>
      <c r="E334" s="44"/>
      <c r="F334" s="44"/>
      <c r="G334" s="44"/>
      <c r="H334" s="44"/>
      <c r="I334" s="44"/>
      <c r="J334" s="44"/>
      <c r="K334" s="44"/>
      <c r="L334" s="44"/>
      <c r="M334" s="44"/>
      <c r="N334" s="44"/>
      <c r="O334" s="44"/>
    </row>
    <row r="335" spans="1:15" ht="17.25" customHeight="1">
      <c r="A335" s="44"/>
      <c r="B335" s="44"/>
      <c r="C335" s="44"/>
      <c r="D335" s="44"/>
      <c r="E335" s="44"/>
      <c r="F335" s="44"/>
      <c r="G335" s="44"/>
      <c r="H335" s="44"/>
      <c r="I335" s="44"/>
      <c r="J335" s="44"/>
      <c r="K335" s="44"/>
      <c r="L335" s="44"/>
      <c r="M335" s="44"/>
      <c r="N335" s="44"/>
      <c r="O335" s="44"/>
    </row>
    <row r="336" spans="1:15" ht="17.25" customHeight="1">
      <c r="A336" s="44"/>
      <c r="B336" s="44"/>
      <c r="C336" s="44"/>
      <c r="D336" s="44"/>
      <c r="E336" s="44"/>
      <c r="F336" s="44"/>
      <c r="G336" s="44"/>
      <c r="H336" s="44"/>
      <c r="I336" s="44"/>
      <c r="J336" s="44"/>
      <c r="K336" s="44"/>
      <c r="L336" s="44"/>
      <c r="M336" s="44"/>
      <c r="N336" s="44"/>
      <c r="O336" s="44"/>
    </row>
    <row r="337" spans="1:15" ht="17.25" customHeight="1">
      <c r="A337" s="44"/>
      <c r="B337" s="44"/>
      <c r="C337" s="44"/>
      <c r="D337" s="44"/>
      <c r="E337" s="44"/>
      <c r="F337" s="44"/>
      <c r="G337" s="44"/>
      <c r="H337" s="44"/>
      <c r="I337" s="44"/>
      <c r="J337" s="44"/>
      <c r="K337" s="44"/>
      <c r="L337" s="44"/>
      <c r="M337" s="44"/>
      <c r="N337" s="44"/>
      <c r="O337" s="44"/>
    </row>
    <row r="338" spans="1:15" ht="17.25" customHeight="1">
      <c r="A338" s="44"/>
      <c r="B338" s="44"/>
      <c r="C338" s="44"/>
      <c r="D338" s="44"/>
      <c r="E338" s="44"/>
      <c r="F338" s="44"/>
      <c r="G338" s="44"/>
      <c r="H338" s="44"/>
      <c r="I338" s="44"/>
      <c r="J338" s="44"/>
      <c r="K338" s="44"/>
      <c r="L338" s="44"/>
      <c r="M338" s="44"/>
      <c r="N338" s="44"/>
      <c r="O338" s="44"/>
    </row>
    <row r="339" spans="1:15" ht="17.25" customHeight="1">
      <c r="A339" s="44"/>
      <c r="B339" s="44"/>
      <c r="C339" s="44"/>
      <c r="D339" s="44"/>
      <c r="E339" s="44"/>
      <c r="F339" s="44"/>
      <c r="G339" s="44"/>
      <c r="H339" s="44"/>
      <c r="I339" s="44"/>
      <c r="J339" s="44"/>
      <c r="K339" s="44"/>
      <c r="L339" s="44"/>
      <c r="M339" s="44"/>
      <c r="N339" s="44"/>
      <c r="O339" s="44"/>
    </row>
    <row r="340" spans="1:15" ht="17.25" customHeight="1">
      <c r="A340" s="44"/>
      <c r="B340" s="44"/>
      <c r="C340" s="44"/>
      <c r="D340" s="44"/>
      <c r="E340" s="44"/>
      <c r="F340" s="44"/>
      <c r="G340" s="44"/>
      <c r="H340" s="44"/>
      <c r="I340" s="44"/>
      <c r="J340" s="44"/>
      <c r="K340" s="44"/>
      <c r="L340" s="44"/>
      <c r="M340" s="44"/>
      <c r="N340" s="44"/>
      <c r="O340" s="44"/>
    </row>
    <row r="341" spans="1:15" ht="17.25" customHeight="1">
      <c r="A341" s="44"/>
      <c r="B341" s="44"/>
      <c r="C341" s="44"/>
      <c r="D341" s="44"/>
      <c r="E341" s="44"/>
      <c r="F341" s="44"/>
      <c r="G341" s="44"/>
      <c r="H341" s="44"/>
      <c r="I341" s="44"/>
      <c r="J341" s="44"/>
      <c r="K341" s="44"/>
      <c r="L341" s="44"/>
      <c r="M341" s="44"/>
      <c r="N341" s="44"/>
      <c r="O341" s="44"/>
    </row>
    <row r="342" spans="1:15" ht="17.25" customHeight="1">
      <c r="A342" s="44"/>
      <c r="B342" s="44"/>
      <c r="C342" s="44"/>
      <c r="D342" s="44"/>
      <c r="E342" s="44"/>
      <c r="F342" s="44"/>
      <c r="G342" s="44"/>
      <c r="H342" s="44"/>
      <c r="I342" s="44"/>
      <c r="J342" s="44"/>
      <c r="K342" s="44"/>
      <c r="L342" s="44"/>
      <c r="M342" s="44"/>
      <c r="N342" s="44"/>
      <c r="O342" s="44"/>
    </row>
    <row r="343" spans="1:15" ht="17.25" customHeight="1">
      <c r="A343" s="44"/>
      <c r="B343" s="44"/>
      <c r="C343" s="44"/>
      <c r="D343" s="44"/>
      <c r="E343" s="44"/>
      <c r="F343" s="44"/>
      <c r="G343" s="44"/>
      <c r="H343" s="44"/>
      <c r="I343" s="44"/>
      <c r="J343" s="44"/>
      <c r="K343" s="44"/>
      <c r="L343" s="44"/>
      <c r="M343" s="44"/>
      <c r="N343" s="44"/>
      <c r="O343" s="44"/>
    </row>
    <row r="344" spans="1:15" ht="17.25" customHeight="1">
      <c r="A344" s="44"/>
      <c r="B344" s="44"/>
      <c r="C344" s="44"/>
      <c r="D344" s="44"/>
      <c r="E344" s="44"/>
      <c r="F344" s="44"/>
      <c r="G344" s="44"/>
      <c r="H344" s="44"/>
      <c r="I344" s="44"/>
      <c r="J344" s="44"/>
      <c r="K344" s="44"/>
      <c r="L344" s="44"/>
      <c r="M344" s="44"/>
      <c r="N344" s="44"/>
      <c r="O344" s="44"/>
    </row>
    <row r="345" spans="1:15" ht="17.25" customHeight="1">
      <c r="A345" s="44"/>
      <c r="B345" s="44"/>
      <c r="C345" s="44"/>
      <c r="D345" s="44"/>
      <c r="E345" s="44"/>
      <c r="F345" s="44"/>
      <c r="G345" s="44"/>
      <c r="H345" s="44"/>
      <c r="I345" s="44"/>
      <c r="J345" s="44"/>
      <c r="K345" s="44"/>
      <c r="L345" s="44"/>
      <c r="M345" s="44"/>
      <c r="N345" s="44"/>
      <c r="O345" s="44"/>
    </row>
    <row r="346" spans="1:15" ht="17.25" customHeight="1">
      <c r="A346" s="44"/>
      <c r="B346" s="44"/>
      <c r="C346" s="44"/>
      <c r="D346" s="44"/>
      <c r="E346" s="44"/>
      <c r="F346" s="44"/>
      <c r="G346" s="44"/>
      <c r="H346" s="44"/>
      <c r="I346" s="44"/>
      <c r="J346" s="44"/>
      <c r="K346" s="44"/>
      <c r="L346" s="44"/>
      <c r="M346" s="44"/>
      <c r="N346" s="44"/>
      <c r="O346" s="44"/>
    </row>
    <row r="347" spans="1:15" ht="17.25" customHeight="1">
      <c r="A347" s="44"/>
      <c r="B347" s="44"/>
      <c r="C347" s="44"/>
      <c r="D347" s="44"/>
      <c r="E347" s="44"/>
      <c r="F347" s="44"/>
      <c r="G347" s="44"/>
      <c r="H347" s="44"/>
      <c r="I347" s="44"/>
      <c r="J347" s="44"/>
      <c r="K347" s="44"/>
      <c r="L347" s="44"/>
      <c r="M347" s="44"/>
      <c r="N347" s="44"/>
      <c r="O347" s="44"/>
    </row>
    <row r="348" spans="1:15" ht="17.25" customHeight="1">
      <c r="A348" s="44"/>
      <c r="B348" s="44"/>
      <c r="C348" s="44"/>
      <c r="D348" s="44"/>
      <c r="E348" s="44"/>
      <c r="F348" s="44"/>
      <c r="G348" s="44"/>
      <c r="H348" s="44"/>
      <c r="I348" s="44"/>
      <c r="J348" s="44"/>
      <c r="K348" s="44"/>
      <c r="L348" s="44"/>
      <c r="M348" s="44"/>
      <c r="N348" s="44"/>
      <c r="O348" s="44"/>
    </row>
    <row r="349" spans="1:15" ht="17.25" customHeight="1">
      <c r="A349" s="44"/>
      <c r="B349" s="44"/>
      <c r="C349" s="44"/>
      <c r="D349" s="44"/>
      <c r="E349" s="44"/>
      <c r="F349" s="44"/>
      <c r="G349" s="44"/>
      <c r="H349" s="44"/>
      <c r="I349" s="44"/>
      <c r="J349" s="44"/>
      <c r="K349" s="44"/>
      <c r="L349" s="44"/>
      <c r="M349" s="44"/>
      <c r="N349" s="44"/>
      <c r="O349" s="44"/>
    </row>
    <row r="350" spans="1:15" ht="17.25" customHeight="1">
      <c r="A350" s="44"/>
      <c r="B350" s="44"/>
      <c r="C350" s="44"/>
      <c r="D350" s="44"/>
      <c r="E350" s="44"/>
      <c r="F350" s="44"/>
      <c r="G350" s="44"/>
      <c r="H350" s="44"/>
      <c r="I350" s="44"/>
      <c r="J350" s="44"/>
      <c r="K350" s="44"/>
      <c r="L350" s="44"/>
      <c r="M350" s="44"/>
      <c r="N350" s="44"/>
      <c r="O350" s="44"/>
    </row>
    <row r="351" spans="1:15" ht="17.25" customHeight="1">
      <c r="A351" s="44"/>
      <c r="B351" s="44"/>
      <c r="C351" s="44"/>
      <c r="D351" s="44"/>
      <c r="E351" s="44"/>
      <c r="F351" s="44"/>
      <c r="G351" s="44"/>
      <c r="H351" s="44"/>
      <c r="I351" s="44"/>
      <c r="J351" s="44"/>
      <c r="K351" s="44"/>
      <c r="L351" s="44"/>
      <c r="M351" s="44"/>
      <c r="N351" s="44"/>
      <c r="O351" s="44"/>
    </row>
    <row r="352" spans="1:15" ht="17.25" customHeight="1">
      <c r="A352" s="44"/>
      <c r="B352" s="44"/>
      <c r="C352" s="44"/>
      <c r="D352" s="44"/>
      <c r="E352" s="44"/>
      <c r="F352" s="44"/>
      <c r="G352" s="44"/>
      <c r="H352" s="44"/>
      <c r="I352" s="44"/>
      <c r="J352" s="44"/>
      <c r="K352" s="44"/>
      <c r="L352" s="44"/>
      <c r="M352" s="44"/>
      <c r="N352" s="44"/>
      <c r="O352" s="44"/>
    </row>
    <row r="353" spans="1:15" ht="17.25" customHeight="1">
      <c r="A353" s="44"/>
      <c r="B353" s="44"/>
      <c r="C353" s="44"/>
      <c r="D353" s="44"/>
      <c r="E353" s="44"/>
      <c r="F353" s="44"/>
      <c r="G353" s="44"/>
      <c r="H353" s="44"/>
      <c r="I353" s="44"/>
      <c r="J353" s="44"/>
      <c r="K353" s="44"/>
      <c r="L353" s="44"/>
      <c r="M353" s="44"/>
      <c r="N353" s="44"/>
      <c r="O353" s="44"/>
    </row>
    <row r="354" spans="1:15" ht="17.25" customHeight="1">
      <c r="A354" s="44"/>
      <c r="B354" s="44"/>
      <c r="C354" s="44"/>
      <c r="D354" s="44"/>
      <c r="E354" s="44"/>
      <c r="F354" s="44"/>
      <c r="G354" s="44"/>
      <c r="H354" s="44"/>
      <c r="I354" s="44"/>
      <c r="J354" s="44"/>
      <c r="K354" s="44"/>
      <c r="L354" s="44"/>
      <c r="M354" s="44"/>
      <c r="N354" s="44"/>
      <c r="O354" s="44"/>
    </row>
    <row r="355" spans="1:15" ht="17.25" customHeight="1">
      <c r="A355" s="44"/>
      <c r="B355" s="44"/>
      <c r="C355" s="44"/>
      <c r="D355" s="44"/>
      <c r="E355" s="44"/>
      <c r="F355" s="44"/>
      <c r="G355" s="44"/>
      <c r="H355" s="44"/>
      <c r="I355" s="44"/>
      <c r="J355" s="44"/>
      <c r="K355" s="44"/>
      <c r="L355" s="44"/>
      <c r="M355" s="44"/>
      <c r="N355" s="44"/>
      <c r="O355" s="44"/>
    </row>
    <row r="356" spans="1:15" ht="17.25" customHeight="1">
      <c r="A356" s="44"/>
      <c r="B356" s="44"/>
      <c r="C356" s="44"/>
      <c r="D356" s="44"/>
      <c r="E356" s="44"/>
      <c r="F356" s="44"/>
      <c r="G356" s="44"/>
      <c r="H356" s="44"/>
      <c r="I356" s="44"/>
      <c r="J356" s="44"/>
      <c r="K356" s="44"/>
      <c r="L356" s="44"/>
      <c r="M356" s="44"/>
      <c r="N356" s="44"/>
      <c r="O356" s="44"/>
    </row>
    <row r="357" spans="1:15" ht="17.25" customHeight="1">
      <c r="A357" s="44"/>
      <c r="B357" s="44"/>
      <c r="C357" s="44"/>
      <c r="D357" s="44"/>
      <c r="E357" s="44"/>
      <c r="F357" s="44"/>
      <c r="G357" s="44"/>
      <c r="H357" s="44"/>
      <c r="I357" s="44"/>
      <c r="J357" s="44"/>
      <c r="K357" s="44"/>
      <c r="L357" s="44"/>
      <c r="M357" s="44"/>
      <c r="N357" s="44"/>
      <c r="O357" s="44"/>
    </row>
    <row r="358" spans="1:15" ht="17.25" customHeight="1">
      <c r="A358" s="44"/>
      <c r="B358" s="44"/>
      <c r="C358" s="44"/>
      <c r="D358" s="44"/>
      <c r="E358" s="44"/>
      <c r="F358" s="44"/>
      <c r="G358" s="44"/>
      <c r="H358" s="44"/>
      <c r="I358" s="44"/>
      <c r="J358" s="44"/>
      <c r="K358" s="44"/>
      <c r="L358" s="44"/>
      <c r="M358" s="44"/>
      <c r="N358" s="44"/>
      <c r="O358" s="44"/>
    </row>
    <row r="359" spans="1:15" ht="17.25" customHeight="1">
      <c r="A359" s="44"/>
      <c r="B359" s="44"/>
      <c r="C359" s="44"/>
      <c r="D359" s="44"/>
      <c r="E359" s="44"/>
      <c r="F359" s="44"/>
      <c r="G359" s="44"/>
      <c r="H359" s="44"/>
      <c r="I359" s="44"/>
      <c r="J359" s="44"/>
      <c r="K359" s="44"/>
      <c r="L359" s="44"/>
      <c r="M359" s="44"/>
      <c r="N359" s="44"/>
      <c r="O359" s="44"/>
    </row>
    <row r="360" spans="1:15" ht="17.25" customHeight="1">
      <c r="A360" s="44"/>
      <c r="B360" s="44"/>
      <c r="C360" s="44"/>
      <c r="D360" s="44"/>
      <c r="E360" s="44"/>
      <c r="F360" s="44"/>
      <c r="G360" s="44"/>
      <c r="H360" s="44"/>
      <c r="I360" s="44"/>
      <c r="J360" s="44"/>
      <c r="K360" s="44"/>
      <c r="L360" s="44"/>
      <c r="M360" s="44"/>
      <c r="N360" s="44"/>
      <c r="O360" s="44"/>
    </row>
    <row r="361" spans="1:15" ht="17.25" customHeight="1">
      <c r="A361" s="44"/>
      <c r="B361" s="44"/>
      <c r="C361" s="44"/>
      <c r="D361" s="44"/>
      <c r="E361" s="44"/>
      <c r="F361" s="44"/>
      <c r="G361" s="44"/>
      <c r="H361" s="44"/>
      <c r="I361" s="44"/>
      <c r="J361" s="44"/>
      <c r="K361" s="44"/>
      <c r="L361" s="44"/>
      <c r="M361" s="44"/>
      <c r="N361" s="44"/>
      <c r="O361" s="44"/>
    </row>
    <row r="362" spans="1:15" ht="17.25" customHeight="1">
      <c r="A362" s="44"/>
      <c r="B362" s="44"/>
      <c r="C362" s="44"/>
      <c r="D362" s="44"/>
      <c r="E362" s="44"/>
      <c r="F362" s="44"/>
      <c r="G362" s="44"/>
      <c r="H362" s="44"/>
      <c r="I362" s="44"/>
      <c r="J362" s="44"/>
      <c r="K362" s="44"/>
      <c r="L362" s="44"/>
      <c r="M362" s="44"/>
      <c r="N362" s="44"/>
      <c r="O362" s="44"/>
    </row>
    <row r="363" spans="1:15" ht="17.25" customHeight="1">
      <c r="A363" s="44"/>
      <c r="B363" s="44"/>
      <c r="C363" s="44"/>
      <c r="D363" s="44"/>
      <c r="E363" s="44"/>
      <c r="F363" s="44"/>
      <c r="G363" s="44"/>
      <c r="H363" s="44"/>
      <c r="I363" s="44"/>
      <c r="J363" s="44"/>
      <c r="K363" s="44"/>
      <c r="L363" s="44"/>
      <c r="M363" s="44"/>
      <c r="N363" s="44"/>
      <c r="O363" s="44"/>
    </row>
    <row r="364" spans="1:15" ht="17.25" customHeight="1">
      <c r="A364" s="44"/>
      <c r="B364" s="44"/>
      <c r="C364" s="44"/>
      <c r="D364" s="44"/>
      <c r="E364" s="44"/>
      <c r="F364" s="44"/>
      <c r="G364" s="44"/>
      <c r="H364" s="44"/>
      <c r="I364" s="44"/>
      <c r="J364" s="44"/>
      <c r="K364" s="44"/>
      <c r="L364" s="44"/>
      <c r="M364" s="44"/>
      <c r="N364" s="44"/>
      <c r="O364" s="44"/>
    </row>
    <row r="365" spans="1:15" ht="17.25" customHeight="1">
      <c r="A365" s="44"/>
      <c r="B365" s="44"/>
      <c r="C365" s="44"/>
      <c r="D365" s="44"/>
      <c r="E365" s="44"/>
      <c r="F365" s="44"/>
      <c r="G365" s="44"/>
      <c r="H365" s="44"/>
      <c r="I365" s="44"/>
      <c r="J365" s="44"/>
      <c r="K365" s="44"/>
      <c r="L365" s="44"/>
      <c r="M365" s="44"/>
      <c r="N365" s="44"/>
      <c r="O365" s="44"/>
    </row>
    <row r="366" spans="1:15" ht="17.25" customHeight="1">
      <c r="A366" s="44"/>
      <c r="B366" s="44"/>
      <c r="C366" s="44"/>
      <c r="D366" s="44"/>
      <c r="E366" s="44"/>
      <c r="F366" s="44"/>
      <c r="G366" s="44"/>
      <c r="H366" s="44"/>
      <c r="I366" s="44"/>
      <c r="J366" s="44"/>
      <c r="K366" s="44"/>
      <c r="L366" s="44"/>
      <c r="M366" s="44"/>
      <c r="N366" s="44"/>
      <c r="O366" s="44"/>
    </row>
    <row r="367" spans="1:15" ht="17.25" customHeight="1">
      <c r="A367" s="44"/>
      <c r="B367" s="44"/>
      <c r="C367" s="44"/>
      <c r="D367" s="44"/>
      <c r="E367" s="44"/>
      <c r="F367" s="44"/>
      <c r="G367" s="44"/>
      <c r="H367" s="44"/>
      <c r="I367" s="44"/>
      <c r="J367" s="44"/>
      <c r="K367" s="44"/>
      <c r="L367" s="44"/>
      <c r="M367" s="44"/>
      <c r="N367" s="44"/>
      <c r="O367" s="44"/>
    </row>
    <row r="368" spans="1:15" ht="17.25" customHeight="1">
      <c r="A368" s="44"/>
      <c r="B368" s="44"/>
      <c r="C368" s="44"/>
      <c r="D368" s="44"/>
      <c r="E368" s="44"/>
      <c r="F368" s="44"/>
      <c r="G368" s="44"/>
      <c r="H368" s="44"/>
      <c r="I368" s="44"/>
      <c r="J368" s="44"/>
      <c r="K368" s="44"/>
      <c r="L368" s="44"/>
      <c r="M368" s="44"/>
      <c r="N368" s="44"/>
      <c r="O368" s="44"/>
    </row>
    <row r="369" spans="1:15" ht="17.25" customHeight="1">
      <c r="A369" s="44"/>
      <c r="B369" s="44"/>
      <c r="C369" s="44"/>
      <c r="D369" s="44"/>
      <c r="E369" s="44"/>
      <c r="F369" s="44"/>
      <c r="G369" s="44"/>
      <c r="H369" s="44"/>
      <c r="I369" s="44"/>
      <c r="J369" s="44"/>
      <c r="K369" s="44"/>
      <c r="L369" s="44"/>
      <c r="M369" s="44"/>
      <c r="N369" s="44"/>
      <c r="O369" s="44"/>
    </row>
    <row r="370" spans="1:15" ht="17.25" customHeight="1">
      <c r="A370" s="44"/>
      <c r="B370" s="44"/>
      <c r="C370" s="44"/>
      <c r="D370" s="44"/>
      <c r="E370" s="44"/>
      <c r="F370" s="44"/>
      <c r="G370" s="44"/>
      <c r="H370" s="44"/>
      <c r="I370" s="44"/>
      <c r="J370" s="44"/>
      <c r="K370" s="44"/>
      <c r="L370" s="44"/>
      <c r="M370" s="44"/>
      <c r="N370" s="44"/>
      <c r="O370" s="44"/>
    </row>
    <row r="371" spans="1:15" ht="17.25" customHeight="1">
      <c r="A371" s="44"/>
      <c r="B371" s="44"/>
      <c r="C371" s="44"/>
      <c r="D371" s="44"/>
      <c r="E371" s="44"/>
      <c r="F371" s="44"/>
      <c r="G371" s="44"/>
      <c r="H371" s="44"/>
      <c r="I371" s="44"/>
      <c r="J371" s="44"/>
      <c r="K371" s="44"/>
      <c r="L371" s="44"/>
      <c r="M371" s="44"/>
      <c r="N371" s="44"/>
      <c r="O371" s="44"/>
    </row>
    <row r="372" spans="1:15" ht="17.25" customHeight="1">
      <c r="A372" s="44"/>
      <c r="B372" s="44"/>
      <c r="C372" s="44"/>
      <c r="D372" s="44"/>
      <c r="E372" s="44"/>
      <c r="F372" s="44"/>
      <c r="G372" s="44"/>
      <c r="H372" s="44"/>
      <c r="I372" s="44"/>
      <c r="J372" s="44"/>
      <c r="K372" s="44"/>
      <c r="L372" s="44"/>
      <c r="M372" s="44"/>
      <c r="N372" s="44"/>
      <c r="O372" s="44"/>
    </row>
    <row r="373" spans="1:15" ht="17.25" customHeight="1">
      <c r="A373" s="44"/>
      <c r="B373" s="44"/>
      <c r="C373" s="44"/>
      <c r="D373" s="44"/>
      <c r="E373" s="44"/>
      <c r="F373" s="44"/>
      <c r="G373" s="44"/>
      <c r="H373" s="44"/>
      <c r="I373" s="44"/>
      <c r="J373" s="44"/>
      <c r="K373" s="44"/>
      <c r="L373" s="44"/>
      <c r="M373" s="44"/>
      <c r="N373" s="44"/>
      <c r="O373" s="44"/>
    </row>
    <row r="374" spans="1:15" ht="17.25" customHeight="1">
      <c r="A374" s="44"/>
      <c r="B374" s="44"/>
      <c r="C374" s="44"/>
      <c r="D374" s="44"/>
      <c r="E374" s="44"/>
      <c r="F374" s="44"/>
      <c r="G374" s="44"/>
      <c r="H374" s="44"/>
      <c r="I374" s="44"/>
      <c r="J374" s="44"/>
      <c r="K374" s="44"/>
      <c r="L374" s="44"/>
      <c r="M374" s="44"/>
      <c r="N374" s="44"/>
      <c r="O374" s="44"/>
    </row>
    <row r="375" spans="1:15" ht="17.25" customHeight="1">
      <c r="A375" s="44"/>
      <c r="B375" s="44"/>
      <c r="C375" s="44"/>
      <c r="D375" s="44"/>
      <c r="E375" s="44"/>
      <c r="F375" s="44"/>
      <c r="G375" s="44"/>
      <c r="H375" s="44"/>
      <c r="I375" s="44"/>
      <c r="J375" s="44"/>
      <c r="K375" s="44"/>
      <c r="L375" s="44"/>
      <c r="M375" s="44"/>
      <c r="N375" s="44"/>
      <c r="O375" s="44"/>
    </row>
    <row r="376" spans="1:15" ht="17.25" customHeight="1">
      <c r="A376" s="44"/>
      <c r="B376" s="44"/>
      <c r="C376" s="44"/>
      <c r="D376" s="44"/>
      <c r="E376" s="44"/>
      <c r="F376" s="44"/>
      <c r="G376" s="44"/>
      <c r="H376" s="44"/>
      <c r="I376" s="44"/>
      <c r="J376" s="44"/>
      <c r="K376" s="44"/>
      <c r="L376" s="44"/>
      <c r="M376" s="44"/>
      <c r="N376" s="44"/>
      <c r="O376" s="44"/>
    </row>
    <row r="377" spans="1:15" ht="17.25" customHeight="1">
      <c r="A377" s="44"/>
      <c r="B377" s="44"/>
      <c r="C377" s="44"/>
      <c r="D377" s="44"/>
      <c r="E377" s="44"/>
      <c r="F377" s="44"/>
      <c r="G377" s="44"/>
      <c r="H377" s="44"/>
      <c r="I377" s="44"/>
      <c r="J377" s="44"/>
      <c r="K377" s="44"/>
      <c r="L377" s="44"/>
      <c r="M377" s="44"/>
      <c r="N377" s="44"/>
      <c r="O377" s="44"/>
    </row>
    <row r="378" spans="1:15" ht="17.25" customHeight="1">
      <c r="A378" s="44"/>
      <c r="B378" s="44"/>
      <c r="C378" s="44"/>
      <c r="D378" s="44"/>
      <c r="E378" s="44"/>
      <c r="F378" s="44"/>
      <c r="G378" s="44"/>
      <c r="H378" s="44"/>
      <c r="I378" s="44"/>
      <c r="J378" s="44"/>
      <c r="K378" s="44"/>
      <c r="L378" s="44"/>
      <c r="M378" s="44"/>
      <c r="N378" s="44"/>
      <c r="O378" s="44"/>
    </row>
    <row r="379" spans="1:15" ht="17.25" customHeight="1">
      <c r="A379" s="44"/>
      <c r="B379" s="44"/>
      <c r="C379" s="44"/>
      <c r="D379" s="44"/>
      <c r="E379" s="44"/>
      <c r="F379" s="44"/>
      <c r="G379" s="44"/>
      <c r="H379" s="44"/>
      <c r="I379" s="44"/>
      <c r="J379" s="44"/>
      <c r="K379" s="44"/>
      <c r="L379" s="44"/>
      <c r="M379" s="44"/>
      <c r="N379" s="44"/>
      <c r="O379" s="44"/>
    </row>
    <row r="380" spans="1:15" ht="17.25" customHeight="1">
      <c r="A380" s="44"/>
      <c r="B380" s="44"/>
      <c r="C380" s="44"/>
      <c r="D380" s="44"/>
      <c r="E380" s="44"/>
      <c r="F380" s="44"/>
      <c r="G380" s="44"/>
      <c r="H380" s="44"/>
      <c r="I380" s="44"/>
      <c r="J380" s="44"/>
      <c r="K380" s="44"/>
      <c r="L380" s="44"/>
      <c r="M380" s="44"/>
      <c r="N380" s="44"/>
      <c r="O380" s="44"/>
    </row>
    <row r="381" spans="1:15" ht="17.25" customHeight="1">
      <c r="A381" s="44"/>
      <c r="B381" s="44"/>
      <c r="C381" s="44"/>
      <c r="D381" s="44"/>
      <c r="E381" s="44"/>
      <c r="F381" s="44"/>
      <c r="G381" s="44"/>
      <c r="H381" s="44"/>
      <c r="I381" s="44"/>
      <c r="J381" s="44"/>
      <c r="K381" s="44"/>
      <c r="L381" s="44"/>
      <c r="M381" s="44"/>
      <c r="N381" s="44"/>
      <c r="O381" s="44"/>
    </row>
    <row r="382" spans="1:15" ht="17.25" customHeight="1">
      <c r="A382" s="44"/>
      <c r="B382" s="44"/>
      <c r="C382" s="44"/>
      <c r="D382" s="44"/>
      <c r="E382" s="44"/>
      <c r="F382" s="44"/>
      <c r="G382" s="44"/>
      <c r="H382" s="44"/>
      <c r="I382" s="44"/>
      <c r="J382" s="44"/>
      <c r="K382" s="44"/>
      <c r="L382" s="44"/>
      <c r="M382" s="44"/>
      <c r="N382" s="44"/>
      <c r="O382" s="44"/>
    </row>
    <row r="383" spans="1:15" ht="17.25" customHeight="1">
      <c r="A383" s="44"/>
      <c r="B383" s="44"/>
      <c r="C383" s="44"/>
      <c r="D383" s="44"/>
      <c r="E383" s="44"/>
      <c r="F383" s="44"/>
      <c r="G383" s="44"/>
      <c r="H383" s="44"/>
      <c r="I383" s="44"/>
      <c r="J383" s="44"/>
      <c r="K383" s="44"/>
      <c r="L383" s="44"/>
      <c r="M383" s="44"/>
      <c r="N383" s="44"/>
      <c r="O383" s="44"/>
    </row>
    <row r="384" spans="1:15" ht="17.25" customHeight="1">
      <c r="A384" s="44"/>
      <c r="B384" s="44"/>
      <c r="C384" s="44"/>
      <c r="D384" s="44"/>
      <c r="E384" s="44"/>
      <c r="F384" s="44"/>
      <c r="G384" s="44"/>
      <c r="H384" s="44"/>
      <c r="I384" s="44"/>
      <c r="J384" s="44"/>
      <c r="K384" s="44"/>
      <c r="L384" s="44"/>
      <c r="M384" s="44"/>
      <c r="N384" s="44"/>
      <c r="O384" s="44"/>
    </row>
    <row r="385" spans="1:15" ht="17.25" customHeight="1">
      <c r="A385" s="44"/>
      <c r="B385" s="44"/>
      <c r="C385" s="44"/>
      <c r="D385" s="44"/>
      <c r="E385" s="44"/>
      <c r="F385" s="44"/>
      <c r="G385" s="44"/>
      <c r="H385" s="44"/>
      <c r="I385" s="44"/>
      <c r="J385" s="44"/>
      <c r="K385" s="44"/>
      <c r="L385" s="44"/>
      <c r="M385" s="44"/>
      <c r="N385" s="44"/>
      <c r="O385" s="44"/>
    </row>
    <row r="386" spans="1:15" ht="17.25" customHeight="1">
      <c r="A386" s="44"/>
      <c r="B386" s="44"/>
      <c r="C386" s="44"/>
      <c r="D386" s="44"/>
      <c r="E386" s="44"/>
      <c r="F386" s="44"/>
      <c r="G386" s="44"/>
      <c r="H386" s="44"/>
      <c r="I386" s="44"/>
      <c r="J386" s="44"/>
      <c r="K386" s="44"/>
      <c r="L386" s="44"/>
      <c r="M386" s="44"/>
      <c r="N386" s="44"/>
      <c r="O386" s="44"/>
    </row>
    <row r="387" spans="1:15" ht="17.25" customHeight="1">
      <c r="A387" s="44"/>
      <c r="B387" s="44"/>
      <c r="C387" s="44"/>
      <c r="D387" s="44"/>
      <c r="E387" s="44"/>
      <c r="F387" s="44"/>
      <c r="G387" s="44"/>
      <c r="H387" s="44"/>
      <c r="I387" s="44"/>
      <c r="J387" s="44"/>
      <c r="K387" s="44"/>
      <c r="L387" s="44"/>
      <c r="M387" s="44"/>
      <c r="N387" s="44"/>
      <c r="O387" s="44"/>
    </row>
    <row r="388" spans="1:15" ht="17.25" customHeight="1">
      <c r="A388" s="44"/>
      <c r="B388" s="44"/>
      <c r="C388" s="44"/>
      <c r="D388" s="44"/>
      <c r="E388" s="44"/>
      <c r="F388" s="44"/>
      <c r="G388" s="44"/>
      <c r="H388" s="44"/>
      <c r="I388" s="44"/>
      <c r="J388" s="44"/>
      <c r="K388" s="44"/>
      <c r="L388" s="44"/>
      <c r="M388" s="44"/>
      <c r="N388" s="44"/>
      <c r="O388" s="44"/>
    </row>
    <row r="389" spans="1:15" ht="17.25" customHeight="1">
      <c r="A389" s="44"/>
      <c r="B389" s="44"/>
      <c r="C389" s="44"/>
      <c r="D389" s="44"/>
      <c r="E389" s="44"/>
      <c r="F389" s="44"/>
      <c r="G389" s="44"/>
      <c r="H389" s="44"/>
      <c r="I389" s="44"/>
      <c r="J389" s="44"/>
      <c r="K389" s="44"/>
      <c r="L389" s="44"/>
      <c r="M389" s="44"/>
      <c r="N389" s="44"/>
      <c r="O389" s="44"/>
    </row>
    <row r="390" spans="1:15" ht="17.25" customHeight="1">
      <c r="A390" s="44"/>
      <c r="B390" s="44"/>
      <c r="C390" s="44"/>
      <c r="D390" s="44"/>
      <c r="E390" s="44"/>
      <c r="F390" s="44"/>
      <c r="G390" s="44"/>
      <c r="H390" s="44"/>
      <c r="I390" s="44"/>
      <c r="J390" s="44"/>
      <c r="K390" s="44"/>
      <c r="L390" s="44"/>
      <c r="M390" s="44"/>
      <c r="N390" s="44"/>
      <c r="O390" s="44"/>
    </row>
    <row r="391" spans="1:15" ht="17.25" customHeight="1">
      <c r="A391" s="44"/>
      <c r="B391" s="44"/>
      <c r="C391" s="44"/>
      <c r="D391" s="44"/>
      <c r="E391" s="44"/>
      <c r="F391" s="44"/>
      <c r="G391" s="44"/>
      <c r="H391" s="44"/>
      <c r="I391" s="44"/>
      <c r="J391" s="44"/>
      <c r="K391" s="44"/>
      <c r="L391" s="44"/>
      <c r="M391" s="44"/>
      <c r="N391" s="44"/>
      <c r="O391" s="44"/>
    </row>
    <row r="392" spans="1:15" ht="17.25" customHeight="1">
      <c r="A392" s="44"/>
      <c r="B392" s="44"/>
      <c r="C392" s="44"/>
      <c r="D392" s="44"/>
      <c r="E392" s="44"/>
      <c r="F392" s="44"/>
      <c r="G392" s="44"/>
      <c r="H392" s="44"/>
      <c r="I392" s="44"/>
      <c r="J392" s="44"/>
      <c r="K392" s="44"/>
      <c r="L392" s="44"/>
      <c r="M392" s="44"/>
      <c r="N392" s="44"/>
      <c r="O392" s="44"/>
    </row>
    <row r="393" spans="1:15" ht="17.25" customHeight="1">
      <c r="A393" s="44"/>
      <c r="B393" s="44"/>
      <c r="C393" s="44"/>
      <c r="D393" s="44"/>
      <c r="E393" s="44"/>
      <c r="F393" s="44"/>
      <c r="G393" s="44"/>
      <c r="H393" s="44"/>
      <c r="I393" s="44"/>
      <c r="J393" s="44"/>
      <c r="K393" s="44"/>
      <c r="L393" s="44"/>
      <c r="M393" s="44"/>
      <c r="N393" s="44"/>
      <c r="O393" s="44"/>
    </row>
    <row r="394" spans="1:15" ht="17.25" customHeight="1">
      <c r="A394" s="44"/>
      <c r="B394" s="44"/>
      <c r="C394" s="44"/>
      <c r="D394" s="44"/>
      <c r="E394" s="44"/>
      <c r="F394" s="44"/>
      <c r="G394" s="44"/>
      <c r="H394" s="44"/>
      <c r="I394" s="44"/>
      <c r="J394" s="44"/>
      <c r="K394" s="44"/>
      <c r="L394" s="44"/>
      <c r="M394" s="44"/>
      <c r="N394" s="44"/>
      <c r="O394" s="44"/>
    </row>
    <row r="395" spans="1:15" ht="17.25" customHeight="1">
      <c r="A395" s="44"/>
      <c r="B395" s="44"/>
      <c r="C395" s="44"/>
      <c r="D395" s="44"/>
      <c r="E395" s="44"/>
      <c r="F395" s="44"/>
      <c r="G395" s="44"/>
      <c r="H395" s="44"/>
      <c r="I395" s="44"/>
      <c r="J395" s="44"/>
      <c r="K395" s="44"/>
      <c r="L395" s="44"/>
      <c r="M395" s="44"/>
      <c r="N395" s="44"/>
      <c r="O395" s="44"/>
    </row>
    <row r="396" spans="1:15" ht="17.25" customHeight="1">
      <c r="A396" s="44"/>
      <c r="B396" s="44"/>
      <c r="C396" s="44"/>
      <c r="D396" s="44"/>
      <c r="E396" s="44"/>
      <c r="F396" s="44"/>
      <c r="G396" s="44"/>
      <c r="H396" s="44"/>
      <c r="I396" s="44"/>
      <c r="J396" s="44"/>
      <c r="K396" s="44"/>
      <c r="L396" s="44"/>
      <c r="M396" s="44"/>
      <c r="N396" s="44"/>
      <c r="O396" s="44"/>
    </row>
    <row r="397" spans="1:15" ht="17.25" customHeight="1">
      <c r="A397" s="44"/>
      <c r="B397" s="44"/>
      <c r="C397" s="44"/>
      <c r="D397" s="44"/>
      <c r="E397" s="44"/>
      <c r="F397" s="44"/>
      <c r="G397" s="44"/>
      <c r="H397" s="44"/>
      <c r="I397" s="44"/>
      <c r="J397" s="44"/>
      <c r="K397" s="44"/>
      <c r="L397" s="44"/>
      <c r="M397" s="44"/>
      <c r="N397" s="44"/>
      <c r="O397" s="44"/>
    </row>
    <row r="398" spans="1:15" ht="17.25" customHeight="1">
      <c r="A398" s="44"/>
      <c r="B398" s="44"/>
      <c r="C398" s="44"/>
      <c r="D398" s="44"/>
      <c r="E398" s="44"/>
      <c r="F398" s="44"/>
      <c r="G398" s="44"/>
      <c r="H398" s="44"/>
      <c r="I398" s="44"/>
      <c r="J398" s="44"/>
      <c r="K398" s="44"/>
      <c r="L398" s="44"/>
      <c r="M398" s="44"/>
      <c r="N398" s="44"/>
      <c r="O398" s="44"/>
    </row>
    <row r="399" spans="1:15" ht="17.25" customHeight="1">
      <c r="A399" s="44"/>
      <c r="B399" s="44"/>
      <c r="C399" s="44"/>
      <c r="D399" s="44"/>
      <c r="E399" s="44"/>
      <c r="F399" s="44"/>
      <c r="G399" s="44"/>
      <c r="H399" s="44"/>
      <c r="I399" s="44"/>
      <c r="J399" s="44"/>
      <c r="K399" s="44"/>
      <c r="L399" s="44"/>
      <c r="M399" s="44"/>
      <c r="N399" s="44"/>
      <c r="O399" s="44"/>
    </row>
    <row r="400" spans="1:15" ht="17.25" customHeight="1">
      <c r="A400" s="44"/>
      <c r="B400" s="44"/>
      <c r="C400" s="44"/>
      <c r="D400" s="44"/>
      <c r="E400" s="44"/>
      <c r="F400" s="44"/>
      <c r="G400" s="44"/>
      <c r="H400" s="44"/>
      <c r="I400" s="44"/>
      <c r="J400" s="44"/>
      <c r="K400" s="44"/>
      <c r="L400" s="44"/>
      <c r="M400" s="44"/>
      <c r="N400" s="44"/>
      <c r="O400" s="44"/>
    </row>
    <row r="401" spans="1:15" ht="17.25" customHeight="1">
      <c r="A401" s="44"/>
      <c r="B401" s="44"/>
      <c r="C401" s="44"/>
      <c r="D401" s="44"/>
      <c r="E401" s="44"/>
      <c r="F401" s="44"/>
      <c r="G401" s="44"/>
      <c r="H401" s="44"/>
      <c r="I401" s="44"/>
      <c r="J401" s="44"/>
      <c r="K401" s="44"/>
      <c r="L401" s="44"/>
      <c r="M401" s="44"/>
      <c r="N401" s="44"/>
      <c r="O401" s="44"/>
    </row>
    <row r="402" spans="1:15" ht="17.25" customHeight="1">
      <c r="A402" s="44"/>
      <c r="B402" s="44"/>
      <c r="C402" s="44"/>
      <c r="D402" s="44"/>
      <c r="E402" s="44"/>
      <c r="F402" s="44"/>
      <c r="G402" s="44"/>
      <c r="H402" s="44"/>
      <c r="I402" s="44"/>
      <c r="J402" s="44"/>
      <c r="K402" s="44"/>
      <c r="L402" s="44"/>
      <c r="M402" s="44"/>
      <c r="N402" s="44"/>
      <c r="O402" s="44"/>
    </row>
    <row r="403" spans="1:15" ht="17.25" customHeight="1">
      <c r="A403" s="44"/>
      <c r="B403" s="44"/>
      <c r="C403" s="44"/>
      <c r="D403" s="44"/>
      <c r="E403" s="44"/>
      <c r="F403" s="44"/>
      <c r="G403" s="44"/>
      <c r="H403" s="44"/>
      <c r="I403" s="44"/>
      <c r="J403" s="44"/>
      <c r="K403" s="44"/>
      <c r="L403" s="44"/>
      <c r="M403" s="44"/>
      <c r="N403" s="44"/>
      <c r="O403" s="44"/>
    </row>
    <row r="404" spans="1:15" ht="17.25" customHeight="1">
      <c r="A404" s="44"/>
      <c r="B404" s="44"/>
      <c r="C404" s="44"/>
      <c r="D404" s="44"/>
      <c r="E404" s="44"/>
      <c r="F404" s="44"/>
      <c r="G404" s="44"/>
      <c r="H404" s="44"/>
      <c r="I404" s="44"/>
      <c r="J404" s="44"/>
      <c r="K404" s="44"/>
      <c r="L404" s="44"/>
      <c r="M404" s="44"/>
      <c r="N404" s="44"/>
      <c r="O404" s="44"/>
    </row>
    <row r="405" spans="1:15" ht="17.25" customHeight="1">
      <c r="A405" s="44"/>
      <c r="B405" s="44"/>
      <c r="C405" s="44"/>
      <c r="D405" s="44"/>
      <c r="E405" s="44"/>
      <c r="F405" s="44"/>
      <c r="G405" s="44"/>
      <c r="H405" s="44"/>
      <c r="I405" s="44"/>
      <c r="J405" s="44"/>
      <c r="K405" s="44"/>
      <c r="L405" s="44"/>
      <c r="M405" s="44"/>
      <c r="N405" s="44"/>
      <c r="O405" s="44"/>
    </row>
    <row r="406" spans="1:15" ht="17.25" customHeight="1">
      <c r="A406" s="44"/>
      <c r="B406" s="44"/>
      <c r="C406" s="44"/>
      <c r="D406" s="44"/>
      <c r="E406" s="44"/>
      <c r="F406" s="44"/>
      <c r="G406" s="44"/>
      <c r="H406" s="44"/>
      <c r="I406" s="44"/>
      <c r="J406" s="44"/>
      <c r="K406" s="44"/>
      <c r="L406" s="44"/>
      <c r="M406" s="44"/>
      <c r="N406" s="44"/>
      <c r="O406" s="44"/>
    </row>
    <row r="407" spans="1:15" ht="17.25" customHeight="1">
      <c r="A407" s="44"/>
      <c r="B407" s="44"/>
      <c r="C407" s="44"/>
      <c r="D407" s="44"/>
      <c r="E407" s="44"/>
      <c r="F407" s="44"/>
      <c r="G407" s="44"/>
      <c r="H407" s="44"/>
      <c r="I407" s="44"/>
      <c r="J407" s="44"/>
      <c r="K407" s="44"/>
      <c r="L407" s="44"/>
      <c r="M407" s="44"/>
      <c r="N407" s="44"/>
      <c r="O407" s="44"/>
    </row>
    <row r="408" spans="1:15" ht="17.25" customHeight="1">
      <c r="A408" s="44"/>
      <c r="B408" s="44"/>
      <c r="C408" s="44"/>
      <c r="D408" s="44"/>
      <c r="E408" s="44"/>
      <c r="F408" s="44"/>
      <c r="G408" s="44"/>
      <c r="H408" s="44"/>
      <c r="I408" s="44"/>
      <c r="J408" s="44"/>
      <c r="K408" s="44"/>
      <c r="L408" s="44"/>
      <c r="M408" s="44"/>
      <c r="N408" s="44"/>
      <c r="O408" s="44"/>
    </row>
    <row r="409" spans="1:15" ht="17.25" customHeight="1">
      <c r="A409" s="44"/>
      <c r="B409" s="44"/>
      <c r="C409" s="44"/>
      <c r="D409" s="44"/>
      <c r="E409" s="44"/>
      <c r="F409" s="44"/>
      <c r="G409" s="44"/>
      <c r="H409" s="44"/>
      <c r="I409" s="44"/>
      <c r="J409" s="44"/>
      <c r="K409" s="44"/>
      <c r="L409" s="44"/>
      <c r="M409" s="44"/>
      <c r="N409" s="44"/>
      <c r="O409" s="44"/>
    </row>
    <row r="410" spans="1:15" ht="17.25" customHeight="1">
      <c r="A410" s="44"/>
      <c r="B410" s="44"/>
      <c r="C410" s="44"/>
      <c r="D410" s="44"/>
      <c r="E410" s="44"/>
      <c r="F410" s="44"/>
      <c r="G410" s="44"/>
      <c r="H410" s="44"/>
      <c r="I410" s="44"/>
      <c r="J410" s="44"/>
      <c r="K410" s="44"/>
      <c r="L410" s="44"/>
      <c r="M410" s="44"/>
      <c r="N410" s="44"/>
      <c r="O410" s="44"/>
    </row>
    <row r="411" spans="1:15" ht="17.25" customHeight="1">
      <c r="A411" s="44"/>
      <c r="B411" s="44"/>
      <c r="C411" s="44"/>
      <c r="D411" s="44"/>
      <c r="E411" s="44"/>
      <c r="F411" s="44"/>
      <c r="G411" s="44"/>
      <c r="H411" s="44"/>
      <c r="I411" s="44"/>
      <c r="J411" s="44"/>
      <c r="K411" s="44"/>
      <c r="L411" s="44"/>
      <c r="M411" s="44"/>
      <c r="N411" s="44"/>
      <c r="O411" s="44"/>
    </row>
    <row r="412" spans="1:15" ht="17.25" customHeight="1">
      <c r="A412" s="44"/>
      <c r="B412" s="44"/>
      <c r="C412" s="44"/>
      <c r="D412" s="44"/>
      <c r="E412" s="44"/>
      <c r="F412" s="44"/>
      <c r="G412" s="44"/>
      <c r="H412" s="44"/>
      <c r="I412" s="44"/>
      <c r="J412" s="44"/>
      <c r="K412" s="44"/>
      <c r="L412" s="44"/>
      <c r="M412" s="44"/>
      <c r="N412" s="44"/>
      <c r="O412" s="44"/>
    </row>
    <row r="413" spans="1:15" ht="17.25" customHeight="1">
      <c r="A413" s="44"/>
      <c r="B413" s="44"/>
      <c r="C413" s="44"/>
      <c r="D413" s="44"/>
      <c r="E413" s="44"/>
      <c r="F413" s="44"/>
      <c r="G413" s="44"/>
      <c r="H413" s="44"/>
      <c r="I413" s="44"/>
      <c r="J413" s="44"/>
      <c r="K413" s="44"/>
      <c r="L413" s="44"/>
      <c r="M413" s="44"/>
      <c r="N413" s="44"/>
      <c r="O413" s="44"/>
    </row>
    <row r="414" spans="1:15" ht="17.25" customHeight="1">
      <c r="A414" s="44"/>
      <c r="B414" s="44"/>
      <c r="C414" s="44"/>
      <c r="D414" s="44"/>
      <c r="E414" s="44"/>
      <c r="F414" s="44"/>
      <c r="G414" s="44"/>
      <c r="H414" s="44"/>
      <c r="I414" s="44"/>
      <c r="J414" s="44"/>
      <c r="K414" s="44"/>
      <c r="L414" s="44"/>
      <c r="M414" s="44"/>
      <c r="N414" s="44"/>
      <c r="O414" s="44"/>
    </row>
    <row r="415" spans="1:15" ht="17.25" customHeight="1">
      <c r="A415" s="44"/>
      <c r="B415" s="44"/>
      <c r="C415" s="44"/>
      <c r="D415" s="44"/>
      <c r="E415" s="44"/>
      <c r="F415" s="44"/>
      <c r="G415" s="44"/>
      <c r="H415" s="44"/>
      <c r="I415" s="44"/>
      <c r="J415" s="44"/>
      <c r="K415" s="44"/>
      <c r="L415" s="44"/>
      <c r="M415" s="44"/>
      <c r="N415" s="44"/>
      <c r="O415" s="44"/>
    </row>
    <row r="416" spans="1:15" ht="17.25" customHeight="1">
      <c r="A416" s="44"/>
      <c r="B416" s="44"/>
      <c r="C416" s="44"/>
      <c r="D416" s="44"/>
      <c r="E416" s="44"/>
      <c r="F416" s="44"/>
      <c r="G416" s="44"/>
      <c r="H416" s="44"/>
      <c r="I416" s="44"/>
      <c r="J416" s="44"/>
      <c r="K416" s="44"/>
      <c r="L416" s="44"/>
      <c r="M416" s="44"/>
      <c r="N416" s="44"/>
      <c r="O416" s="44"/>
    </row>
    <row r="417" spans="1:15" ht="17.25" customHeight="1">
      <c r="A417" s="44"/>
      <c r="B417" s="44"/>
      <c r="C417" s="44"/>
      <c r="D417" s="44"/>
      <c r="E417" s="44"/>
      <c r="F417" s="44"/>
      <c r="G417" s="44"/>
      <c r="H417" s="44"/>
      <c r="I417" s="44"/>
      <c r="J417" s="44"/>
      <c r="K417" s="44"/>
      <c r="L417" s="44"/>
      <c r="M417" s="44"/>
      <c r="N417" s="44"/>
      <c r="O417" s="44"/>
    </row>
    <row r="418" spans="1:15" ht="17.25" customHeight="1">
      <c r="A418" s="44"/>
      <c r="B418" s="44"/>
      <c r="C418" s="44"/>
      <c r="D418" s="44"/>
      <c r="E418" s="44"/>
      <c r="F418" s="44"/>
      <c r="G418" s="44"/>
      <c r="H418" s="44"/>
      <c r="I418" s="44"/>
      <c r="J418" s="44"/>
      <c r="K418" s="44"/>
      <c r="L418" s="44"/>
      <c r="M418" s="44"/>
      <c r="N418" s="44"/>
      <c r="O418" s="44"/>
    </row>
    <row r="419" spans="1:15" ht="17.25" customHeight="1">
      <c r="A419" s="44"/>
      <c r="B419" s="44"/>
      <c r="C419" s="44"/>
      <c r="D419" s="44"/>
      <c r="E419" s="44"/>
      <c r="F419" s="44"/>
      <c r="G419" s="44"/>
      <c r="H419" s="44"/>
      <c r="I419" s="44"/>
      <c r="J419" s="44"/>
      <c r="K419" s="44"/>
      <c r="L419" s="44"/>
      <c r="M419" s="44"/>
      <c r="N419" s="44"/>
      <c r="O419" s="44"/>
    </row>
    <row r="420" spans="1:15" ht="17.25" customHeight="1">
      <c r="A420" s="44"/>
      <c r="B420" s="44"/>
      <c r="C420" s="44"/>
      <c r="D420" s="44"/>
      <c r="E420" s="44"/>
      <c r="F420" s="44"/>
      <c r="G420" s="44"/>
      <c r="H420" s="44"/>
      <c r="I420" s="44"/>
      <c r="J420" s="44"/>
      <c r="K420" s="44"/>
      <c r="L420" s="44"/>
      <c r="M420" s="44"/>
      <c r="N420" s="44"/>
      <c r="O420" s="44"/>
    </row>
    <row r="421" spans="1:15" ht="17.25" customHeight="1">
      <c r="A421" s="44"/>
      <c r="B421" s="44"/>
      <c r="C421" s="44"/>
      <c r="D421" s="44"/>
      <c r="E421" s="44"/>
      <c r="F421" s="44"/>
      <c r="G421" s="44"/>
      <c r="H421" s="44"/>
      <c r="I421" s="44"/>
      <c r="J421" s="44"/>
      <c r="K421" s="44"/>
      <c r="L421" s="44"/>
      <c r="M421" s="44"/>
      <c r="N421" s="44"/>
      <c r="O421" s="44"/>
    </row>
    <row r="422" spans="1:15" ht="17.25" customHeight="1">
      <c r="A422" s="44"/>
      <c r="B422" s="44"/>
      <c r="C422" s="44"/>
      <c r="D422" s="44"/>
      <c r="E422" s="44"/>
      <c r="F422" s="44"/>
      <c r="G422" s="44"/>
      <c r="H422" s="44"/>
      <c r="I422" s="44"/>
      <c r="J422" s="44"/>
      <c r="K422" s="44"/>
      <c r="L422" s="44"/>
      <c r="M422" s="44"/>
      <c r="N422" s="44"/>
      <c r="O422" s="44"/>
    </row>
    <row r="423" spans="1:15" ht="17.25" customHeight="1">
      <c r="A423" s="44"/>
      <c r="B423" s="44"/>
      <c r="C423" s="44"/>
      <c r="D423" s="44"/>
      <c r="E423" s="44"/>
      <c r="F423" s="44"/>
      <c r="G423" s="44"/>
      <c r="H423" s="44"/>
      <c r="I423" s="44"/>
      <c r="J423" s="44"/>
      <c r="K423" s="44"/>
      <c r="L423" s="44"/>
      <c r="M423" s="44"/>
      <c r="N423" s="44"/>
      <c r="O423" s="44"/>
    </row>
    <row r="424" spans="1:15" ht="17.25" customHeight="1">
      <c r="A424" s="44"/>
      <c r="B424" s="44"/>
      <c r="C424" s="44"/>
      <c r="D424" s="44"/>
      <c r="E424" s="44"/>
      <c r="F424" s="44"/>
      <c r="G424" s="44"/>
      <c r="H424" s="44"/>
      <c r="I424" s="44"/>
      <c r="J424" s="44"/>
      <c r="K424" s="44"/>
      <c r="L424" s="44"/>
      <c r="M424" s="44"/>
      <c r="N424" s="44"/>
      <c r="O424" s="44"/>
    </row>
    <row r="425" spans="1:15" ht="17.25" customHeight="1">
      <c r="A425" s="44"/>
      <c r="B425" s="44"/>
      <c r="C425" s="44"/>
      <c r="D425" s="44"/>
      <c r="E425" s="44"/>
      <c r="F425" s="44"/>
      <c r="G425" s="44"/>
      <c r="H425" s="44"/>
      <c r="I425" s="44"/>
      <c r="J425" s="44"/>
      <c r="K425" s="44"/>
      <c r="L425" s="44"/>
      <c r="M425" s="44"/>
      <c r="N425" s="44"/>
      <c r="O425" s="44"/>
    </row>
    <row r="426" spans="1:15" ht="17.25" customHeight="1">
      <c r="A426" s="44"/>
      <c r="B426" s="44"/>
      <c r="C426" s="44"/>
      <c r="D426" s="44"/>
      <c r="E426" s="44"/>
      <c r="F426" s="44"/>
      <c r="G426" s="44"/>
      <c r="H426" s="44"/>
      <c r="I426" s="44"/>
      <c r="J426" s="44"/>
      <c r="K426" s="44"/>
      <c r="L426" s="44"/>
      <c r="M426" s="44"/>
      <c r="N426" s="44"/>
      <c r="O426" s="44"/>
    </row>
    <row r="427" spans="1:15" ht="17.25" customHeight="1">
      <c r="A427" s="44"/>
      <c r="B427" s="44"/>
      <c r="C427" s="44"/>
      <c r="D427" s="44"/>
      <c r="E427" s="44"/>
      <c r="F427" s="44"/>
      <c r="G427" s="44"/>
      <c r="H427" s="44"/>
      <c r="I427" s="44"/>
      <c r="J427" s="44"/>
      <c r="K427" s="44"/>
      <c r="L427" s="44"/>
      <c r="M427" s="44"/>
      <c r="N427" s="44"/>
      <c r="O427" s="44"/>
    </row>
    <row r="428" spans="1:15" ht="17.25" customHeight="1">
      <c r="A428" s="44"/>
      <c r="B428" s="44"/>
      <c r="C428" s="44"/>
      <c r="D428" s="44"/>
      <c r="E428" s="44"/>
      <c r="F428" s="44"/>
      <c r="G428" s="44"/>
      <c r="H428" s="44"/>
      <c r="I428" s="44"/>
      <c r="J428" s="44"/>
      <c r="K428" s="44"/>
      <c r="L428" s="44"/>
      <c r="M428" s="44"/>
      <c r="N428" s="44"/>
      <c r="O428" s="44"/>
    </row>
    <row r="429" spans="1:15" ht="17.25" customHeight="1">
      <c r="A429" s="44"/>
      <c r="B429" s="44"/>
      <c r="C429" s="44"/>
      <c r="D429" s="44"/>
      <c r="E429" s="44"/>
      <c r="F429" s="44"/>
      <c r="G429" s="44"/>
      <c r="H429" s="44"/>
      <c r="I429" s="44"/>
      <c r="J429" s="44"/>
      <c r="K429" s="44"/>
      <c r="L429" s="44"/>
      <c r="M429" s="44"/>
      <c r="N429" s="44"/>
      <c r="O429" s="44"/>
    </row>
    <row r="430" spans="1:15" ht="17.25" customHeight="1">
      <c r="A430" s="44"/>
      <c r="B430" s="44"/>
      <c r="C430" s="44"/>
      <c r="D430" s="44"/>
      <c r="E430" s="44"/>
      <c r="F430" s="44"/>
      <c r="G430" s="44"/>
      <c r="H430" s="44"/>
      <c r="I430" s="44"/>
      <c r="J430" s="44"/>
      <c r="K430" s="44"/>
      <c r="L430" s="44"/>
      <c r="M430" s="44"/>
      <c r="N430" s="44"/>
      <c r="O430" s="44"/>
    </row>
    <row r="431" spans="1:15" ht="17.25" customHeight="1">
      <c r="A431" s="44"/>
      <c r="B431" s="44"/>
      <c r="C431" s="44"/>
      <c r="D431" s="44"/>
      <c r="E431" s="44"/>
      <c r="F431" s="44"/>
      <c r="G431" s="44"/>
      <c r="H431" s="44"/>
      <c r="I431" s="44"/>
      <c r="J431" s="44"/>
      <c r="K431" s="44"/>
      <c r="L431" s="44"/>
      <c r="M431" s="44"/>
      <c r="N431" s="44"/>
      <c r="O431" s="44"/>
    </row>
    <row r="432" spans="1:15" ht="17.25" customHeight="1">
      <c r="A432" s="44"/>
      <c r="B432" s="44"/>
      <c r="C432" s="44"/>
      <c r="D432" s="44"/>
      <c r="E432" s="44"/>
      <c r="F432" s="44"/>
      <c r="G432" s="44"/>
      <c r="H432" s="44"/>
      <c r="I432" s="44"/>
      <c r="J432" s="44"/>
      <c r="K432" s="44"/>
      <c r="L432" s="44"/>
      <c r="M432" s="44"/>
      <c r="N432" s="44"/>
      <c r="O432" s="44"/>
    </row>
    <row r="433" spans="1:15" ht="17.25" customHeight="1">
      <c r="A433" s="44"/>
      <c r="B433" s="44"/>
      <c r="C433" s="44"/>
      <c r="D433" s="44"/>
      <c r="E433" s="44"/>
      <c r="F433" s="44"/>
      <c r="G433" s="44"/>
      <c r="H433" s="44"/>
      <c r="I433" s="44"/>
      <c r="J433" s="44"/>
      <c r="K433" s="44"/>
      <c r="L433" s="44"/>
      <c r="M433" s="44"/>
      <c r="N433" s="44"/>
      <c r="O433" s="44"/>
    </row>
    <row r="434" spans="1:15" ht="17.25" customHeight="1">
      <c r="A434" s="44"/>
      <c r="B434" s="44"/>
      <c r="C434" s="44"/>
      <c r="D434" s="44"/>
      <c r="E434" s="44"/>
      <c r="F434" s="44"/>
      <c r="G434" s="44"/>
      <c r="H434" s="44"/>
      <c r="I434" s="44"/>
      <c r="J434" s="44"/>
      <c r="K434" s="44"/>
      <c r="L434" s="44"/>
      <c r="M434" s="44"/>
      <c r="N434" s="44"/>
      <c r="O434" s="44"/>
    </row>
    <row r="435" spans="1:15" ht="17.25" customHeight="1">
      <c r="A435" s="44"/>
      <c r="B435" s="44"/>
      <c r="C435" s="44"/>
      <c r="D435" s="44"/>
      <c r="E435" s="44"/>
      <c r="F435" s="44"/>
      <c r="G435" s="44"/>
      <c r="H435" s="44"/>
      <c r="I435" s="44"/>
      <c r="J435" s="44"/>
      <c r="K435" s="44"/>
      <c r="L435" s="44"/>
      <c r="M435" s="44"/>
      <c r="N435" s="44"/>
      <c r="O435" s="44"/>
    </row>
    <row r="436" spans="1:15" ht="17.25" customHeight="1">
      <c r="A436" s="44"/>
      <c r="B436" s="44"/>
      <c r="C436" s="44"/>
      <c r="D436" s="44"/>
      <c r="E436" s="44"/>
      <c r="F436" s="44"/>
      <c r="G436" s="44"/>
      <c r="H436" s="44"/>
      <c r="I436" s="44"/>
      <c r="J436" s="44"/>
      <c r="K436" s="44"/>
      <c r="L436" s="44"/>
      <c r="M436" s="44"/>
      <c r="N436" s="44"/>
      <c r="O436" s="44"/>
    </row>
    <row r="437" spans="1:15" ht="17.25" customHeight="1">
      <c r="A437" s="44"/>
      <c r="B437" s="44"/>
      <c r="C437" s="44"/>
      <c r="D437" s="44"/>
      <c r="E437" s="44"/>
      <c r="F437" s="44"/>
      <c r="G437" s="44"/>
      <c r="H437" s="44"/>
      <c r="I437" s="44"/>
      <c r="J437" s="44"/>
      <c r="K437" s="44"/>
      <c r="L437" s="44"/>
      <c r="M437" s="44"/>
      <c r="N437" s="44"/>
      <c r="O437" s="44"/>
    </row>
    <row r="438" spans="1:15" ht="17.25" customHeight="1">
      <c r="A438" s="44"/>
      <c r="B438" s="44"/>
      <c r="C438" s="44"/>
      <c r="D438" s="44"/>
      <c r="E438" s="44"/>
      <c r="F438" s="44"/>
      <c r="G438" s="44"/>
      <c r="H438" s="44"/>
      <c r="I438" s="44"/>
      <c r="J438" s="44"/>
      <c r="K438" s="44"/>
      <c r="L438" s="44"/>
      <c r="M438" s="44"/>
      <c r="N438" s="44"/>
      <c r="O438" s="44"/>
    </row>
    <row r="439" spans="1:15" ht="17.25" customHeight="1">
      <c r="A439" s="44"/>
      <c r="B439" s="44"/>
      <c r="C439" s="44"/>
      <c r="D439" s="44"/>
      <c r="E439" s="44"/>
      <c r="F439" s="44"/>
      <c r="G439" s="44"/>
      <c r="H439" s="44"/>
      <c r="I439" s="44"/>
      <c r="J439" s="44"/>
      <c r="K439" s="44"/>
      <c r="L439" s="44"/>
      <c r="M439" s="44"/>
      <c r="N439" s="44"/>
      <c r="O439" s="44"/>
    </row>
    <row r="440" spans="1:15" ht="17.25" customHeight="1">
      <c r="A440" s="44"/>
      <c r="B440" s="44"/>
      <c r="C440" s="44"/>
      <c r="D440" s="44"/>
      <c r="E440" s="44"/>
      <c r="F440" s="44"/>
      <c r="G440" s="44"/>
      <c r="H440" s="44"/>
      <c r="I440" s="44"/>
      <c r="J440" s="44"/>
      <c r="K440" s="44"/>
      <c r="L440" s="44"/>
      <c r="M440" s="44"/>
      <c r="N440" s="44"/>
      <c r="O440" s="44"/>
    </row>
    <row r="441" spans="1:15" ht="17.25" customHeight="1">
      <c r="A441" s="44"/>
      <c r="B441" s="44"/>
      <c r="C441" s="44"/>
      <c r="D441" s="44"/>
      <c r="E441" s="44"/>
      <c r="F441" s="44"/>
      <c r="G441" s="44"/>
      <c r="H441" s="44"/>
      <c r="I441" s="44"/>
      <c r="J441" s="44"/>
      <c r="K441" s="44"/>
      <c r="L441" s="44"/>
      <c r="M441" s="44"/>
      <c r="N441" s="44"/>
      <c r="O441" s="44"/>
    </row>
    <row r="442" spans="1:15" ht="17.25" customHeight="1">
      <c r="A442" s="44"/>
      <c r="B442" s="44"/>
      <c r="C442" s="44"/>
      <c r="D442" s="44"/>
      <c r="E442" s="44"/>
      <c r="F442" s="44"/>
      <c r="G442" s="44"/>
      <c r="H442" s="44"/>
      <c r="I442" s="44"/>
      <c r="J442" s="44"/>
      <c r="K442" s="44"/>
      <c r="L442" s="44"/>
      <c r="M442" s="44"/>
      <c r="N442" s="44"/>
      <c r="O442" s="44"/>
    </row>
    <row r="443" spans="1:15" ht="17.25" customHeight="1">
      <c r="A443" s="44"/>
      <c r="B443" s="44"/>
      <c r="C443" s="44"/>
      <c r="D443" s="44"/>
      <c r="E443" s="44"/>
      <c r="F443" s="44"/>
      <c r="G443" s="44"/>
      <c r="H443" s="44"/>
      <c r="I443" s="44"/>
      <c r="J443" s="44"/>
      <c r="K443" s="44"/>
      <c r="L443" s="44"/>
      <c r="M443" s="44"/>
      <c r="N443" s="44"/>
      <c r="O443" s="44"/>
    </row>
    <row r="444" spans="1:15" ht="17.25" customHeight="1">
      <c r="A444" s="44"/>
      <c r="B444" s="44"/>
      <c r="C444" s="44"/>
      <c r="D444" s="44"/>
      <c r="E444" s="44"/>
      <c r="F444" s="44"/>
      <c r="G444" s="44"/>
      <c r="H444" s="44"/>
      <c r="I444" s="44"/>
      <c r="J444" s="44"/>
      <c r="K444" s="44"/>
      <c r="L444" s="44"/>
      <c r="M444" s="44"/>
      <c r="N444" s="44"/>
      <c r="O444" s="44"/>
    </row>
    <row r="445" spans="1:15" ht="17.25" customHeight="1">
      <c r="A445" s="44"/>
      <c r="B445" s="44"/>
      <c r="C445" s="44"/>
      <c r="D445" s="44"/>
      <c r="E445" s="44"/>
      <c r="F445" s="44"/>
      <c r="G445" s="44"/>
      <c r="H445" s="44"/>
      <c r="I445" s="44"/>
      <c r="J445" s="44"/>
      <c r="K445" s="44"/>
      <c r="L445" s="44"/>
      <c r="M445" s="44"/>
      <c r="N445" s="44"/>
      <c r="O445" s="44"/>
    </row>
    <row r="446" spans="1:15" ht="17.25" customHeight="1">
      <c r="A446" s="44"/>
      <c r="B446" s="44"/>
      <c r="C446" s="44"/>
      <c r="D446" s="44"/>
      <c r="E446" s="44"/>
      <c r="F446" s="44"/>
      <c r="G446" s="44"/>
      <c r="H446" s="44"/>
      <c r="I446" s="44"/>
      <c r="J446" s="44"/>
      <c r="K446" s="44"/>
      <c r="L446" s="44"/>
      <c r="M446" s="44"/>
      <c r="N446" s="44"/>
      <c r="O446" s="44"/>
    </row>
    <row r="447" spans="1:15" ht="17.25" customHeight="1">
      <c r="A447" s="44"/>
      <c r="B447" s="44"/>
      <c r="C447" s="44"/>
      <c r="D447" s="44"/>
      <c r="E447" s="44"/>
      <c r="F447" s="44"/>
      <c r="G447" s="44"/>
      <c r="H447" s="44"/>
      <c r="I447" s="44"/>
      <c r="J447" s="44"/>
      <c r="K447" s="44"/>
      <c r="L447" s="44"/>
      <c r="M447" s="44"/>
      <c r="N447" s="44"/>
      <c r="O447" s="44"/>
    </row>
    <row r="448" spans="1:15" ht="17.25" customHeight="1">
      <c r="A448" s="44"/>
      <c r="B448" s="44"/>
      <c r="C448" s="44"/>
      <c r="D448" s="44"/>
      <c r="E448" s="44"/>
      <c r="F448" s="44"/>
      <c r="G448" s="44"/>
      <c r="H448" s="44"/>
      <c r="I448" s="44"/>
      <c r="J448" s="44"/>
      <c r="K448" s="44"/>
      <c r="L448" s="44"/>
      <c r="M448" s="44"/>
      <c r="N448" s="44"/>
      <c r="O448" s="44"/>
    </row>
    <row r="449" spans="1:15" ht="17.25" customHeight="1">
      <c r="A449" s="44"/>
      <c r="B449" s="44"/>
      <c r="C449" s="44"/>
      <c r="D449" s="44"/>
      <c r="E449" s="44"/>
      <c r="F449" s="44"/>
      <c r="G449" s="44"/>
      <c r="H449" s="44"/>
      <c r="I449" s="44"/>
      <c r="J449" s="44"/>
      <c r="K449" s="44"/>
      <c r="L449" s="44"/>
      <c r="M449" s="44"/>
      <c r="N449" s="44"/>
      <c r="O449" s="44"/>
    </row>
    <row r="450" spans="1:15" ht="17.25" customHeight="1">
      <c r="A450" s="44"/>
      <c r="B450" s="44"/>
      <c r="C450" s="44"/>
      <c r="D450" s="44"/>
      <c r="E450" s="44"/>
      <c r="F450" s="44"/>
      <c r="G450" s="44"/>
      <c r="H450" s="44"/>
      <c r="I450" s="44"/>
      <c r="J450" s="44"/>
      <c r="K450" s="44"/>
      <c r="L450" s="44"/>
      <c r="M450" s="44"/>
      <c r="N450" s="44"/>
      <c r="O450" s="44"/>
    </row>
    <row r="451" spans="1:15" ht="17.25" customHeight="1">
      <c r="A451" s="44"/>
      <c r="B451" s="44"/>
      <c r="C451" s="44"/>
      <c r="D451" s="44"/>
      <c r="E451" s="44"/>
      <c r="F451" s="44"/>
      <c r="G451" s="44"/>
      <c r="H451" s="44"/>
      <c r="I451" s="44"/>
      <c r="J451" s="44"/>
      <c r="K451" s="44"/>
      <c r="L451" s="44"/>
      <c r="M451" s="44"/>
      <c r="N451" s="44"/>
      <c r="O451" s="44"/>
    </row>
    <row r="452" spans="1:15" ht="17.25" customHeight="1">
      <c r="A452" s="44"/>
      <c r="B452" s="44"/>
      <c r="C452" s="44"/>
      <c r="D452" s="44"/>
      <c r="E452" s="44"/>
      <c r="F452" s="44"/>
      <c r="G452" s="44"/>
      <c r="H452" s="44"/>
      <c r="I452" s="44"/>
      <c r="J452" s="44"/>
      <c r="K452" s="44"/>
      <c r="L452" s="44"/>
      <c r="M452" s="44"/>
      <c r="N452" s="44"/>
      <c r="O452" s="44"/>
    </row>
    <row r="453" spans="1:15" ht="17.25" customHeight="1">
      <c r="A453" s="44"/>
      <c r="B453" s="44"/>
      <c r="C453" s="44"/>
      <c r="D453" s="44"/>
      <c r="E453" s="44"/>
      <c r="F453" s="44"/>
      <c r="G453" s="44"/>
      <c r="H453" s="44"/>
      <c r="I453" s="44"/>
      <c r="J453" s="44"/>
      <c r="K453" s="44"/>
      <c r="L453" s="44"/>
      <c r="M453" s="44"/>
      <c r="N453" s="44"/>
      <c r="O453" s="44"/>
    </row>
    <row r="454" spans="1:15" ht="17.25" customHeight="1">
      <c r="A454" s="44"/>
      <c r="B454" s="44"/>
      <c r="C454" s="44"/>
      <c r="D454" s="44"/>
      <c r="E454" s="44"/>
      <c r="F454" s="44"/>
      <c r="G454" s="44"/>
      <c r="H454" s="44"/>
      <c r="I454" s="44"/>
      <c r="J454" s="44"/>
      <c r="K454" s="44"/>
      <c r="L454" s="44"/>
      <c r="M454" s="44"/>
      <c r="N454" s="44"/>
      <c r="O454" s="44"/>
    </row>
    <row r="455" spans="1:15" ht="17.25" customHeight="1">
      <c r="A455" s="44"/>
      <c r="B455" s="44"/>
      <c r="C455" s="44"/>
      <c r="D455" s="44"/>
      <c r="E455" s="44"/>
      <c r="F455" s="44"/>
      <c r="G455" s="44"/>
      <c r="H455" s="44"/>
      <c r="I455" s="44"/>
      <c r="J455" s="44"/>
      <c r="K455" s="44"/>
      <c r="L455" s="44"/>
      <c r="M455" s="44"/>
      <c r="N455" s="44"/>
      <c r="O455" s="44"/>
    </row>
    <row r="456" spans="1:15" ht="17.25" customHeight="1">
      <c r="A456" s="44"/>
      <c r="B456" s="44"/>
      <c r="C456" s="44"/>
      <c r="D456" s="44"/>
      <c r="E456" s="44"/>
      <c r="F456" s="44"/>
      <c r="G456" s="44"/>
      <c r="H456" s="44"/>
      <c r="I456" s="44"/>
      <c r="J456" s="44"/>
      <c r="K456" s="44"/>
      <c r="L456" s="44"/>
      <c r="M456" s="44"/>
      <c r="N456" s="44"/>
      <c r="O456" s="44"/>
    </row>
    <row r="457" spans="1:15" ht="17.25" customHeight="1">
      <c r="A457" s="44"/>
      <c r="B457" s="44"/>
      <c r="C457" s="44"/>
      <c r="D457" s="44"/>
      <c r="E457" s="44"/>
      <c r="F457" s="44"/>
      <c r="G457" s="44"/>
      <c r="H457" s="44"/>
      <c r="I457" s="44"/>
      <c r="J457" s="44"/>
      <c r="K457" s="44"/>
      <c r="L457" s="44"/>
      <c r="M457" s="44"/>
      <c r="N457" s="44"/>
      <c r="O457" s="44"/>
    </row>
    <row r="458" spans="1:15" ht="17.25" customHeight="1">
      <c r="A458" s="44"/>
      <c r="B458" s="44"/>
      <c r="C458" s="44"/>
      <c r="D458" s="44"/>
      <c r="E458" s="44"/>
      <c r="F458" s="44"/>
      <c r="G458" s="44"/>
      <c r="H458" s="44"/>
      <c r="I458" s="44"/>
      <c r="J458" s="44"/>
      <c r="K458" s="44"/>
      <c r="L458" s="44"/>
      <c r="M458" s="44"/>
      <c r="N458" s="44"/>
      <c r="O458" s="44"/>
    </row>
    <row r="459" spans="1:15" ht="17.25" customHeight="1">
      <c r="A459" s="44"/>
      <c r="B459" s="44"/>
      <c r="C459" s="44"/>
      <c r="D459" s="44"/>
      <c r="E459" s="44"/>
      <c r="F459" s="44"/>
      <c r="G459" s="44"/>
      <c r="H459" s="44"/>
      <c r="I459" s="44"/>
      <c r="J459" s="44"/>
      <c r="K459" s="44"/>
      <c r="L459" s="44"/>
      <c r="M459" s="44"/>
      <c r="N459" s="44"/>
      <c r="O459" s="44"/>
    </row>
    <row r="460" spans="1:15" ht="17.25" customHeight="1">
      <c r="A460" s="44"/>
      <c r="B460" s="44"/>
      <c r="C460" s="44"/>
      <c r="D460" s="44"/>
      <c r="E460" s="44"/>
      <c r="F460" s="44"/>
      <c r="G460" s="44"/>
      <c r="H460" s="44"/>
      <c r="I460" s="44"/>
      <c r="J460" s="44"/>
      <c r="K460" s="44"/>
      <c r="L460" s="44"/>
      <c r="M460" s="44"/>
      <c r="N460" s="44"/>
      <c r="O460" s="44"/>
    </row>
    <row r="461" spans="1:15" ht="17.25" customHeight="1">
      <c r="A461" s="44"/>
      <c r="B461" s="44"/>
      <c r="C461" s="44"/>
      <c r="D461" s="44"/>
      <c r="E461" s="44"/>
      <c r="F461" s="44"/>
      <c r="G461" s="44"/>
      <c r="H461" s="44"/>
      <c r="I461" s="44"/>
      <c r="J461" s="44"/>
      <c r="K461" s="44"/>
      <c r="L461" s="44"/>
      <c r="M461" s="44"/>
      <c r="N461" s="44"/>
      <c r="O461" s="44"/>
    </row>
    <row r="462" spans="1:15" ht="17.25" customHeight="1">
      <c r="A462" s="44"/>
      <c r="B462" s="44"/>
      <c r="C462" s="44"/>
      <c r="D462" s="44"/>
      <c r="E462" s="44"/>
      <c r="F462" s="44"/>
      <c r="G462" s="44"/>
      <c r="H462" s="44"/>
      <c r="I462" s="44"/>
      <c r="J462" s="44"/>
      <c r="K462" s="44"/>
      <c r="L462" s="44"/>
      <c r="M462" s="44"/>
      <c r="N462" s="44"/>
      <c r="O462" s="44"/>
    </row>
    <row r="463" spans="1:15" ht="17.25" customHeight="1">
      <c r="A463" s="44"/>
      <c r="B463" s="44"/>
      <c r="C463" s="44"/>
      <c r="D463" s="44"/>
      <c r="E463" s="44"/>
      <c r="F463" s="44"/>
      <c r="G463" s="44"/>
      <c r="H463" s="44"/>
      <c r="I463" s="44"/>
      <c r="J463" s="44"/>
      <c r="K463" s="44"/>
      <c r="L463" s="44"/>
      <c r="M463" s="44"/>
      <c r="N463" s="44"/>
      <c r="O463" s="44"/>
    </row>
    <row r="464" spans="1:15" ht="17.25" customHeight="1">
      <c r="A464" s="44"/>
      <c r="B464" s="44"/>
      <c r="C464" s="44"/>
      <c r="D464" s="44"/>
      <c r="E464" s="44"/>
      <c r="F464" s="44"/>
      <c r="G464" s="44"/>
      <c r="H464" s="44"/>
      <c r="I464" s="44"/>
      <c r="J464" s="44"/>
      <c r="K464" s="44"/>
      <c r="L464" s="44"/>
      <c r="M464" s="44"/>
      <c r="N464" s="44"/>
      <c r="O464" s="44"/>
    </row>
    <row r="465" spans="1:15" ht="17.25" customHeight="1">
      <c r="A465" s="44"/>
      <c r="B465" s="44"/>
      <c r="C465" s="44"/>
      <c r="D465" s="44"/>
      <c r="E465" s="44"/>
      <c r="F465" s="44"/>
      <c r="G465" s="44"/>
      <c r="H465" s="44"/>
      <c r="I465" s="44"/>
      <c r="J465" s="44"/>
      <c r="K465" s="44"/>
      <c r="L465" s="44"/>
      <c r="M465" s="44"/>
      <c r="N465" s="44"/>
      <c r="O465" s="44"/>
    </row>
    <row r="466" spans="1:15" ht="17.25" customHeight="1">
      <c r="A466" s="44"/>
      <c r="B466" s="44"/>
      <c r="C466" s="44"/>
      <c r="D466" s="44"/>
      <c r="E466" s="44"/>
      <c r="F466" s="44"/>
      <c r="G466" s="44"/>
      <c r="H466" s="44"/>
      <c r="I466" s="44"/>
      <c r="J466" s="44"/>
      <c r="K466" s="44"/>
      <c r="L466" s="44"/>
      <c r="M466" s="44"/>
      <c r="N466" s="44"/>
      <c r="O466" s="44"/>
    </row>
    <row r="467" spans="1:15" ht="17.25" customHeight="1">
      <c r="A467" s="44"/>
      <c r="B467" s="44"/>
      <c r="C467" s="44"/>
      <c r="D467" s="44"/>
      <c r="E467" s="44"/>
      <c r="F467" s="44"/>
      <c r="G467" s="44"/>
      <c r="H467" s="44"/>
      <c r="I467" s="44"/>
      <c r="J467" s="44"/>
      <c r="K467" s="44"/>
      <c r="L467" s="44"/>
      <c r="M467" s="44"/>
      <c r="N467" s="44"/>
      <c r="O467" s="44"/>
    </row>
    <row r="468" spans="1:15" ht="17.25" customHeight="1">
      <c r="A468" s="44"/>
      <c r="B468" s="44"/>
      <c r="C468" s="44"/>
      <c r="D468" s="44"/>
      <c r="E468" s="44"/>
      <c r="F468" s="44"/>
      <c r="G468" s="44"/>
      <c r="H468" s="44"/>
      <c r="I468" s="44"/>
      <c r="J468" s="44"/>
      <c r="K468" s="44"/>
      <c r="L468" s="44"/>
      <c r="M468" s="44"/>
      <c r="N468" s="44"/>
      <c r="O468" s="44"/>
    </row>
    <row r="469" spans="1:15" ht="17.25" customHeight="1">
      <c r="A469" s="44"/>
      <c r="B469" s="44"/>
      <c r="C469" s="44"/>
      <c r="D469" s="44"/>
      <c r="E469" s="44"/>
      <c r="F469" s="44"/>
      <c r="G469" s="44"/>
      <c r="H469" s="44"/>
      <c r="I469" s="44"/>
      <c r="J469" s="44"/>
      <c r="K469" s="44"/>
      <c r="L469" s="44"/>
      <c r="M469" s="44"/>
      <c r="N469" s="44"/>
      <c r="O469" s="44"/>
    </row>
    <row r="470" spans="1:15" ht="17.25" customHeight="1">
      <c r="A470" s="44"/>
      <c r="B470" s="44"/>
      <c r="C470" s="44"/>
      <c r="D470" s="44"/>
      <c r="E470" s="44"/>
      <c r="F470" s="44"/>
      <c r="G470" s="44"/>
      <c r="H470" s="44"/>
      <c r="I470" s="44"/>
      <c r="J470" s="44"/>
      <c r="K470" s="44"/>
      <c r="L470" s="44"/>
      <c r="M470" s="44"/>
      <c r="N470" s="44"/>
      <c r="O470" s="44"/>
    </row>
    <row r="471" spans="1:15" ht="17.25" customHeight="1">
      <c r="A471" s="44"/>
      <c r="B471" s="44"/>
      <c r="C471" s="44"/>
      <c r="D471" s="44"/>
      <c r="E471" s="44"/>
      <c r="F471" s="44"/>
      <c r="G471" s="44"/>
      <c r="H471" s="44"/>
      <c r="I471" s="44"/>
      <c r="J471" s="44"/>
      <c r="K471" s="44"/>
      <c r="L471" s="44"/>
      <c r="M471" s="44"/>
      <c r="N471" s="44"/>
      <c r="O471" s="44"/>
    </row>
    <row r="472" spans="1:15" ht="17.25" customHeight="1">
      <c r="A472" s="44"/>
      <c r="B472" s="44"/>
      <c r="C472" s="44"/>
      <c r="D472" s="44"/>
      <c r="E472" s="44"/>
      <c r="F472" s="44"/>
      <c r="G472" s="44"/>
      <c r="H472" s="44"/>
      <c r="I472" s="44"/>
      <c r="J472" s="44"/>
      <c r="K472" s="44"/>
      <c r="L472" s="44"/>
      <c r="M472" s="44"/>
      <c r="N472" s="44"/>
      <c r="O472" s="44"/>
    </row>
    <row r="473" spans="1:15" ht="17.25" customHeight="1">
      <c r="A473" s="44"/>
      <c r="B473" s="44"/>
      <c r="C473" s="44"/>
      <c r="D473" s="44"/>
      <c r="E473" s="44"/>
      <c r="F473" s="44"/>
      <c r="G473" s="44"/>
      <c r="H473" s="44"/>
      <c r="I473" s="44"/>
      <c r="J473" s="44"/>
      <c r="K473" s="44"/>
      <c r="L473" s="44"/>
      <c r="M473" s="44"/>
      <c r="N473" s="44"/>
      <c r="O473" s="44"/>
    </row>
    <row r="474" spans="1:15" ht="17.25" customHeight="1">
      <c r="A474" s="44"/>
      <c r="B474" s="44"/>
      <c r="C474" s="44"/>
      <c r="D474" s="44"/>
      <c r="E474" s="44"/>
      <c r="F474" s="44"/>
      <c r="G474" s="44"/>
      <c r="H474" s="44"/>
      <c r="I474" s="44"/>
      <c r="J474" s="44"/>
      <c r="K474" s="44"/>
      <c r="L474" s="44"/>
      <c r="M474" s="44"/>
      <c r="N474" s="44"/>
      <c r="O474" s="44"/>
    </row>
    <row r="475" spans="1:15" ht="17.25" customHeight="1">
      <c r="A475" s="44"/>
      <c r="B475" s="44"/>
      <c r="C475" s="44"/>
      <c r="D475" s="44"/>
      <c r="E475" s="44"/>
      <c r="F475" s="44"/>
      <c r="G475" s="44"/>
      <c r="H475" s="44"/>
      <c r="I475" s="44"/>
      <c r="J475" s="44"/>
      <c r="K475" s="44"/>
      <c r="L475" s="44"/>
      <c r="M475" s="44"/>
      <c r="N475" s="44"/>
      <c r="O475" s="44"/>
    </row>
    <row r="476" spans="1:15" ht="17.25" customHeight="1">
      <c r="A476" s="44"/>
      <c r="B476" s="44"/>
      <c r="C476" s="44"/>
      <c r="D476" s="44"/>
      <c r="E476" s="44"/>
      <c r="F476" s="44"/>
      <c r="G476" s="44"/>
      <c r="H476" s="44"/>
      <c r="I476" s="44"/>
      <c r="J476" s="44"/>
      <c r="K476" s="44"/>
      <c r="L476" s="44"/>
      <c r="M476" s="44"/>
      <c r="N476" s="44"/>
      <c r="O476" s="44"/>
    </row>
    <row r="477" spans="1:15" ht="17.25" customHeight="1">
      <c r="A477" s="44"/>
      <c r="B477" s="44"/>
      <c r="C477" s="44"/>
      <c r="D477" s="44"/>
      <c r="E477" s="44"/>
      <c r="F477" s="44"/>
      <c r="G477" s="44"/>
      <c r="H477" s="44"/>
      <c r="I477" s="44"/>
      <c r="J477" s="44"/>
      <c r="K477" s="44"/>
      <c r="L477" s="44"/>
      <c r="M477" s="44"/>
      <c r="N477" s="44"/>
      <c r="O477" s="44"/>
    </row>
    <row r="478" spans="1:15" ht="17.25" customHeight="1">
      <c r="A478" s="44"/>
      <c r="B478" s="44"/>
      <c r="C478" s="44"/>
      <c r="D478" s="44"/>
      <c r="E478" s="44"/>
      <c r="F478" s="44"/>
      <c r="G478" s="44"/>
      <c r="H478" s="44"/>
      <c r="I478" s="44"/>
      <c r="J478" s="44"/>
      <c r="K478" s="44"/>
      <c r="L478" s="44"/>
      <c r="M478" s="44"/>
      <c r="N478" s="44"/>
      <c r="O478" s="44"/>
    </row>
    <row r="479" spans="1:15" ht="17.25" customHeight="1">
      <c r="A479" s="44"/>
      <c r="B479" s="44"/>
      <c r="C479" s="44"/>
      <c r="D479" s="44"/>
      <c r="E479" s="44"/>
      <c r="F479" s="44"/>
      <c r="G479" s="44"/>
      <c r="H479" s="44"/>
      <c r="I479" s="44"/>
      <c r="J479" s="44"/>
      <c r="K479" s="44"/>
      <c r="L479" s="44"/>
      <c r="M479" s="44"/>
      <c r="N479" s="44"/>
      <c r="O479" s="44"/>
    </row>
    <row r="480" spans="1:15" ht="17.25" customHeight="1">
      <c r="A480" s="44"/>
      <c r="B480" s="44"/>
      <c r="C480" s="44"/>
      <c r="D480" s="44"/>
      <c r="E480" s="44"/>
      <c r="F480" s="44"/>
      <c r="G480" s="44"/>
      <c r="H480" s="44"/>
      <c r="I480" s="44"/>
      <c r="J480" s="44"/>
      <c r="K480" s="44"/>
      <c r="L480" s="44"/>
      <c r="M480" s="44"/>
      <c r="N480" s="44"/>
      <c r="O480" s="44"/>
    </row>
    <row r="481" spans="1:15" ht="17.25" customHeight="1">
      <c r="A481" s="44"/>
      <c r="B481" s="44"/>
      <c r="C481" s="44"/>
      <c r="D481" s="44"/>
      <c r="E481" s="44"/>
      <c r="F481" s="44"/>
      <c r="G481" s="44"/>
      <c r="H481" s="44"/>
      <c r="I481" s="44"/>
      <c r="J481" s="44"/>
      <c r="K481" s="44"/>
      <c r="L481" s="44"/>
      <c r="M481" s="44"/>
      <c r="N481" s="44"/>
      <c r="O481" s="44"/>
    </row>
    <row r="482" spans="1:15" ht="17.25" customHeight="1">
      <c r="A482" s="44"/>
      <c r="B482" s="44"/>
      <c r="C482" s="44"/>
      <c r="D482" s="44"/>
      <c r="E482" s="44"/>
      <c r="F482" s="44"/>
      <c r="G482" s="44"/>
      <c r="H482" s="44"/>
      <c r="I482" s="44"/>
      <c r="J482" s="44"/>
      <c r="K482" s="44"/>
      <c r="L482" s="44"/>
      <c r="M482" s="44"/>
      <c r="N482" s="44"/>
      <c r="O482" s="44"/>
    </row>
    <row r="483" spans="1:15" ht="17.25" customHeight="1">
      <c r="A483" s="44"/>
      <c r="B483" s="44"/>
      <c r="C483" s="44"/>
      <c r="D483" s="44"/>
      <c r="E483" s="44"/>
      <c r="F483" s="44"/>
      <c r="G483" s="44"/>
      <c r="H483" s="44"/>
      <c r="I483" s="44"/>
      <c r="J483" s="44"/>
      <c r="K483" s="44"/>
      <c r="L483" s="44"/>
      <c r="M483" s="44"/>
      <c r="N483" s="44"/>
      <c r="O483" s="44"/>
    </row>
    <row r="484" spans="1:15" ht="17.25" customHeight="1">
      <c r="A484" s="44"/>
      <c r="B484" s="44"/>
      <c r="C484" s="44"/>
      <c r="D484" s="44"/>
      <c r="E484" s="44"/>
      <c r="F484" s="44"/>
      <c r="G484" s="44"/>
      <c r="H484" s="44"/>
      <c r="I484" s="44"/>
      <c r="J484" s="44"/>
      <c r="K484" s="44"/>
      <c r="L484" s="44"/>
      <c r="M484" s="44"/>
      <c r="N484" s="44"/>
      <c r="O484" s="44"/>
    </row>
    <row r="485" spans="1:15" ht="17.25" customHeight="1">
      <c r="A485" s="44"/>
      <c r="B485" s="44"/>
      <c r="C485" s="44"/>
      <c r="D485" s="44"/>
      <c r="E485" s="44"/>
      <c r="F485" s="44"/>
      <c r="G485" s="44"/>
      <c r="H485" s="44"/>
      <c r="I485" s="44"/>
      <c r="J485" s="44"/>
      <c r="K485" s="44"/>
      <c r="L485" s="44"/>
      <c r="M485" s="44"/>
      <c r="N485" s="44"/>
      <c r="O485" s="44"/>
    </row>
    <row r="486" spans="1:15" ht="17.25" customHeight="1">
      <c r="A486" s="44"/>
      <c r="B486" s="44"/>
      <c r="C486" s="44"/>
      <c r="D486" s="44"/>
      <c r="E486" s="44"/>
      <c r="F486" s="44"/>
      <c r="G486" s="44"/>
      <c r="H486" s="44"/>
      <c r="I486" s="44"/>
      <c r="J486" s="44"/>
      <c r="K486" s="44"/>
      <c r="L486" s="44"/>
      <c r="M486" s="44"/>
      <c r="N486" s="44"/>
      <c r="O486" s="44"/>
    </row>
    <row r="487" spans="1:15" ht="17.25" customHeight="1">
      <c r="A487" s="44"/>
      <c r="B487" s="44"/>
      <c r="C487" s="44"/>
      <c r="D487" s="44"/>
      <c r="E487" s="44"/>
      <c r="F487" s="44"/>
      <c r="G487" s="44"/>
      <c r="H487" s="44"/>
      <c r="I487" s="44"/>
      <c r="J487" s="44"/>
      <c r="K487" s="44"/>
      <c r="L487" s="44"/>
      <c r="M487" s="44"/>
      <c r="N487" s="44"/>
      <c r="O487" s="44"/>
    </row>
    <row r="488" spans="1:15" ht="17.25" customHeight="1">
      <c r="A488" s="44"/>
      <c r="B488" s="44"/>
      <c r="C488" s="44"/>
      <c r="D488" s="44"/>
      <c r="E488" s="44"/>
      <c r="F488" s="44"/>
      <c r="G488" s="44"/>
      <c r="H488" s="44"/>
      <c r="I488" s="44"/>
      <c r="J488" s="44"/>
      <c r="K488" s="44"/>
      <c r="L488" s="44"/>
      <c r="M488" s="44"/>
      <c r="N488" s="44"/>
      <c r="O488" s="44"/>
    </row>
    <row r="489" spans="1:15" ht="17.25" customHeight="1">
      <c r="A489" s="44"/>
      <c r="B489" s="44"/>
      <c r="C489" s="44"/>
      <c r="D489" s="44"/>
      <c r="E489" s="44"/>
      <c r="F489" s="44"/>
      <c r="G489" s="44"/>
      <c r="H489" s="44"/>
      <c r="I489" s="44"/>
      <c r="J489" s="44"/>
      <c r="K489" s="44"/>
      <c r="L489" s="44"/>
      <c r="M489" s="44"/>
      <c r="N489" s="44"/>
      <c r="O489" s="44"/>
    </row>
    <row r="490" spans="1:15" ht="17.25" customHeight="1">
      <c r="A490" s="44"/>
      <c r="B490" s="44"/>
      <c r="C490" s="44"/>
      <c r="D490" s="44"/>
      <c r="E490" s="44"/>
      <c r="F490" s="44"/>
      <c r="G490" s="44"/>
      <c r="H490" s="44"/>
      <c r="I490" s="44"/>
      <c r="J490" s="44"/>
      <c r="K490" s="44"/>
      <c r="L490" s="44"/>
      <c r="M490" s="44"/>
      <c r="N490" s="44"/>
      <c r="O490" s="44"/>
    </row>
    <row r="491" spans="1:15" ht="17.25" customHeight="1">
      <c r="A491" s="44"/>
      <c r="B491" s="44"/>
      <c r="C491" s="44"/>
      <c r="D491" s="44"/>
      <c r="E491" s="44"/>
      <c r="F491" s="44"/>
      <c r="G491" s="44"/>
      <c r="H491" s="44"/>
      <c r="I491" s="44"/>
      <c r="J491" s="44"/>
      <c r="K491" s="44"/>
      <c r="L491" s="44"/>
      <c r="M491" s="44"/>
      <c r="N491" s="44"/>
      <c r="O491" s="44"/>
    </row>
    <row r="492" spans="1:15" ht="17.25" customHeight="1">
      <c r="A492" s="44"/>
      <c r="B492" s="44"/>
      <c r="C492" s="44"/>
      <c r="D492" s="44"/>
      <c r="E492" s="44"/>
      <c r="F492" s="44"/>
      <c r="G492" s="44"/>
      <c r="H492" s="44"/>
      <c r="I492" s="44"/>
      <c r="J492" s="44"/>
      <c r="K492" s="44"/>
      <c r="L492" s="44"/>
      <c r="M492" s="44"/>
      <c r="N492" s="44"/>
      <c r="O492" s="44"/>
    </row>
    <row r="493" spans="1:15" ht="17.25" customHeight="1">
      <c r="A493" s="44"/>
      <c r="B493" s="44"/>
      <c r="C493" s="44"/>
      <c r="D493" s="44"/>
      <c r="E493" s="44"/>
      <c r="F493" s="44"/>
      <c r="G493" s="44"/>
      <c r="H493" s="44"/>
      <c r="I493" s="44"/>
      <c r="J493" s="44"/>
      <c r="K493" s="44"/>
      <c r="L493" s="44"/>
      <c r="M493" s="44"/>
      <c r="N493" s="44"/>
      <c r="O493" s="44"/>
    </row>
    <row r="494" spans="1:15" ht="17.25" customHeight="1">
      <c r="A494" s="44"/>
      <c r="B494" s="44"/>
      <c r="C494" s="44"/>
      <c r="D494" s="44"/>
      <c r="E494" s="44"/>
      <c r="F494" s="44"/>
      <c r="G494" s="44"/>
      <c r="H494" s="44"/>
      <c r="I494" s="44"/>
      <c r="J494" s="44"/>
      <c r="K494" s="44"/>
      <c r="L494" s="44"/>
      <c r="M494" s="44"/>
      <c r="N494" s="44"/>
      <c r="O494" s="44"/>
    </row>
    <row r="495" spans="1:15" ht="17.25" customHeight="1">
      <c r="A495" s="44"/>
      <c r="B495" s="44"/>
      <c r="C495" s="44"/>
      <c r="D495" s="44"/>
      <c r="E495" s="44"/>
      <c r="F495" s="44"/>
      <c r="G495" s="44"/>
      <c r="H495" s="44"/>
      <c r="I495" s="44"/>
      <c r="J495" s="44"/>
      <c r="K495" s="44"/>
      <c r="L495" s="44"/>
      <c r="M495" s="44"/>
      <c r="N495" s="44"/>
      <c r="O495" s="44"/>
    </row>
    <row r="496" spans="1:15" ht="17.25" customHeight="1">
      <c r="A496" s="44"/>
      <c r="B496" s="44"/>
      <c r="C496" s="44"/>
      <c r="D496" s="44"/>
      <c r="E496" s="44"/>
      <c r="F496" s="44"/>
      <c r="G496" s="44"/>
      <c r="H496" s="44"/>
      <c r="I496" s="44"/>
      <c r="J496" s="44"/>
      <c r="K496" s="44"/>
      <c r="L496" s="44"/>
      <c r="M496" s="44"/>
      <c r="N496" s="44"/>
      <c r="O496" s="44"/>
    </row>
    <row r="497" spans="1:15" ht="17.25" customHeight="1">
      <c r="A497" s="44"/>
      <c r="B497" s="44"/>
      <c r="C497" s="44"/>
      <c r="D497" s="44"/>
      <c r="E497" s="44"/>
      <c r="F497" s="44"/>
      <c r="G497" s="44"/>
      <c r="H497" s="44"/>
      <c r="I497" s="44"/>
      <c r="J497" s="44"/>
      <c r="K497" s="44"/>
      <c r="L497" s="44"/>
      <c r="M497" s="44"/>
      <c r="N497" s="44"/>
      <c r="O497" s="44"/>
    </row>
    <row r="498" spans="1:15" ht="17.25" customHeight="1">
      <c r="A498" s="44"/>
      <c r="B498" s="44"/>
      <c r="C498" s="44"/>
      <c r="D498" s="44"/>
      <c r="E498" s="44"/>
      <c r="F498" s="44"/>
      <c r="G498" s="44"/>
      <c r="H498" s="44"/>
      <c r="I498" s="44"/>
      <c r="J498" s="44"/>
      <c r="K498" s="44"/>
      <c r="L498" s="44"/>
      <c r="M498" s="44"/>
      <c r="N498" s="44"/>
      <c r="O498" s="44"/>
    </row>
    <row r="499" spans="1:15" ht="17.25" customHeight="1">
      <c r="A499" s="44"/>
      <c r="B499" s="44"/>
      <c r="C499" s="44"/>
      <c r="D499" s="44"/>
      <c r="E499" s="44"/>
      <c r="F499" s="44"/>
      <c r="G499" s="44"/>
      <c r="H499" s="44"/>
      <c r="I499" s="44"/>
      <c r="J499" s="44"/>
      <c r="K499" s="44"/>
      <c r="L499" s="44"/>
      <c r="M499" s="44"/>
      <c r="N499" s="44"/>
      <c r="O499" s="44"/>
    </row>
    <row r="500" spans="1:15" ht="17.25" customHeight="1">
      <c r="A500" s="44"/>
      <c r="B500" s="44"/>
      <c r="C500" s="44"/>
      <c r="D500" s="44"/>
      <c r="E500" s="44"/>
      <c r="F500" s="44"/>
      <c r="G500" s="44"/>
      <c r="H500" s="44"/>
      <c r="I500" s="44"/>
      <c r="J500" s="44"/>
      <c r="K500" s="44"/>
      <c r="L500" s="44"/>
      <c r="M500" s="44"/>
      <c r="N500" s="44"/>
      <c r="O500" s="44"/>
    </row>
    <row r="501" spans="1:15" ht="17.25" customHeight="1">
      <c r="A501" s="44"/>
      <c r="B501" s="44"/>
      <c r="C501" s="44"/>
      <c r="D501" s="44"/>
      <c r="E501" s="44"/>
      <c r="F501" s="44"/>
      <c r="G501" s="44"/>
      <c r="H501" s="44"/>
      <c r="I501" s="44"/>
      <c r="J501" s="44"/>
      <c r="K501" s="44"/>
      <c r="L501" s="44"/>
      <c r="M501" s="44"/>
      <c r="N501" s="44"/>
      <c r="O501" s="44"/>
    </row>
    <row r="502" spans="1:15" ht="17.25" customHeight="1">
      <c r="A502" s="44"/>
      <c r="B502" s="44"/>
      <c r="C502" s="44"/>
      <c r="D502" s="44"/>
      <c r="E502" s="44"/>
      <c r="F502" s="44"/>
      <c r="G502" s="44"/>
      <c r="H502" s="44"/>
      <c r="I502" s="44"/>
      <c r="J502" s="44"/>
      <c r="K502" s="44"/>
      <c r="L502" s="44"/>
      <c r="M502" s="44"/>
      <c r="N502" s="44"/>
      <c r="O502" s="44"/>
    </row>
    <row r="503" spans="1:15" ht="17.25" customHeight="1">
      <c r="A503" s="44"/>
      <c r="B503" s="44"/>
      <c r="C503" s="44"/>
      <c r="D503" s="44"/>
      <c r="E503" s="44"/>
      <c r="F503" s="44"/>
      <c r="G503" s="44"/>
      <c r="H503" s="44"/>
      <c r="I503" s="44"/>
      <c r="J503" s="44"/>
      <c r="K503" s="44"/>
      <c r="L503" s="44"/>
      <c r="M503" s="44"/>
      <c r="N503" s="44"/>
      <c r="O503" s="44"/>
    </row>
    <row r="504" spans="1:15" ht="17.25" customHeight="1">
      <c r="A504" s="44"/>
      <c r="B504" s="44"/>
      <c r="C504" s="44"/>
      <c r="D504" s="44"/>
      <c r="E504" s="44"/>
      <c r="F504" s="44"/>
      <c r="G504" s="44"/>
      <c r="H504" s="44"/>
      <c r="I504" s="44"/>
      <c r="J504" s="44"/>
      <c r="K504" s="44"/>
      <c r="L504" s="44"/>
      <c r="M504" s="44"/>
      <c r="N504" s="44"/>
      <c r="O504" s="44"/>
    </row>
    <row r="505" spans="1:15" ht="17.25" customHeight="1">
      <c r="A505" s="44"/>
      <c r="B505" s="44"/>
      <c r="C505" s="44"/>
      <c r="D505" s="44"/>
      <c r="E505" s="44"/>
      <c r="F505" s="44"/>
      <c r="G505" s="44"/>
      <c r="H505" s="44"/>
      <c r="I505" s="44"/>
      <c r="J505" s="44"/>
      <c r="K505" s="44"/>
      <c r="L505" s="44"/>
      <c r="M505" s="44"/>
      <c r="N505" s="44"/>
      <c r="O505" s="44"/>
    </row>
    <row r="506" spans="1:15" ht="17.25" customHeight="1">
      <c r="A506" s="44"/>
      <c r="B506" s="44"/>
      <c r="C506" s="44"/>
      <c r="D506" s="44"/>
      <c r="E506" s="44"/>
      <c r="F506" s="44"/>
      <c r="G506" s="44"/>
      <c r="H506" s="44"/>
      <c r="I506" s="44"/>
      <c r="J506" s="44"/>
      <c r="K506" s="44"/>
      <c r="L506" s="44"/>
      <c r="M506" s="44"/>
      <c r="N506" s="44"/>
      <c r="O506" s="44"/>
    </row>
    <row r="507" spans="1:15" ht="17.25" customHeight="1">
      <c r="A507" s="44"/>
      <c r="B507" s="44"/>
      <c r="C507" s="44"/>
      <c r="D507" s="44"/>
      <c r="E507" s="44"/>
      <c r="F507" s="44"/>
      <c r="G507" s="44"/>
      <c r="H507" s="44"/>
      <c r="I507" s="44"/>
      <c r="J507" s="44"/>
      <c r="K507" s="44"/>
      <c r="L507" s="44"/>
      <c r="M507" s="44"/>
      <c r="N507" s="44"/>
      <c r="O507" s="44"/>
    </row>
    <row r="508" spans="1:15" ht="17.25" customHeight="1">
      <c r="A508" s="44"/>
      <c r="B508" s="44"/>
      <c r="C508" s="44"/>
      <c r="D508" s="44"/>
      <c r="E508" s="44"/>
      <c r="F508" s="44"/>
      <c r="G508" s="44"/>
      <c r="H508" s="44"/>
      <c r="I508" s="44"/>
      <c r="J508" s="44"/>
      <c r="K508" s="44"/>
      <c r="L508" s="44"/>
      <c r="M508" s="44"/>
      <c r="N508" s="44"/>
      <c r="O508" s="44"/>
    </row>
    <row r="509" spans="1:15" ht="17.25" customHeight="1">
      <c r="A509" s="44"/>
      <c r="B509" s="44"/>
      <c r="C509" s="44"/>
      <c r="D509" s="44"/>
      <c r="E509" s="44"/>
      <c r="F509" s="44"/>
      <c r="G509" s="44"/>
      <c r="H509" s="44"/>
      <c r="I509" s="44"/>
      <c r="J509" s="44"/>
      <c r="K509" s="44"/>
      <c r="L509" s="44"/>
      <c r="M509" s="44"/>
      <c r="N509" s="44"/>
      <c r="O509" s="44"/>
    </row>
    <row r="510" spans="1:15" ht="17.25" customHeight="1">
      <c r="A510" s="44"/>
      <c r="B510" s="44"/>
      <c r="C510" s="44"/>
      <c r="D510" s="44"/>
      <c r="E510" s="44"/>
      <c r="F510" s="44"/>
      <c r="G510" s="44"/>
      <c r="H510" s="44"/>
      <c r="I510" s="44"/>
      <c r="J510" s="44"/>
      <c r="K510" s="44"/>
      <c r="L510" s="44"/>
      <c r="M510" s="44"/>
      <c r="N510" s="44"/>
      <c r="O510" s="44"/>
    </row>
    <row r="511" spans="1:15" ht="17.25" customHeight="1">
      <c r="A511" s="44"/>
      <c r="B511" s="44"/>
      <c r="C511" s="44"/>
      <c r="D511" s="44"/>
      <c r="E511" s="44"/>
      <c r="F511" s="44"/>
      <c r="G511" s="44"/>
      <c r="H511" s="44"/>
      <c r="I511" s="44"/>
      <c r="J511" s="44"/>
      <c r="K511" s="44"/>
      <c r="L511" s="44"/>
      <c r="M511" s="44"/>
      <c r="N511" s="44"/>
      <c r="O511" s="44"/>
    </row>
    <row r="512" spans="1:15" ht="17.25" customHeight="1">
      <c r="A512" s="44"/>
      <c r="B512" s="44"/>
      <c r="C512" s="44"/>
      <c r="D512" s="44"/>
      <c r="E512" s="44"/>
      <c r="F512" s="44"/>
      <c r="G512" s="44"/>
      <c r="H512" s="44"/>
      <c r="I512" s="44"/>
      <c r="J512" s="44"/>
      <c r="K512" s="44"/>
      <c r="L512" s="44"/>
      <c r="M512" s="44"/>
      <c r="N512" s="44"/>
      <c r="O512" s="44"/>
    </row>
    <row r="513" spans="1:15" ht="17.25" customHeight="1">
      <c r="A513" s="44"/>
      <c r="B513" s="44"/>
      <c r="C513" s="44"/>
      <c r="D513" s="44"/>
      <c r="E513" s="44"/>
      <c r="F513" s="44"/>
      <c r="G513" s="44"/>
      <c r="H513" s="44"/>
      <c r="I513" s="44"/>
      <c r="J513" s="44"/>
      <c r="K513" s="44"/>
      <c r="L513" s="44"/>
      <c r="M513" s="44"/>
      <c r="N513" s="44"/>
      <c r="O513" s="44"/>
    </row>
    <row r="514" spans="1:15" ht="17.25" customHeight="1">
      <c r="A514" s="44"/>
      <c r="B514" s="44"/>
      <c r="C514" s="44"/>
      <c r="D514" s="44"/>
      <c r="E514" s="44"/>
      <c r="F514" s="44"/>
      <c r="G514" s="44"/>
      <c r="H514" s="44"/>
      <c r="I514" s="44"/>
      <c r="J514" s="44"/>
      <c r="K514" s="44"/>
      <c r="L514" s="44"/>
      <c r="M514" s="44"/>
      <c r="N514" s="44"/>
      <c r="O514" s="44"/>
    </row>
    <row r="515" spans="1:15" ht="17.25" customHeight="1">
      <c r="A515" s="44"/>
      <c r="B515" s="44"/>
      <c r="C515" s="44"/>
      <c r="D515" s="44"/>
      <c r="E515" s="44"/>
      <c r="F515" s="44"/>
      <c r="G515" s="44"/>
      <c r="H515" s="44"/>
      <c r="I515" s="44"/>
      <c r="J515" s="44"/>
      <c r="K515" s="44"/>
      <c r="L515" s="44"/>
      <c r="M515" s="44"/>
      <c r="N515" s="44"/>
      <c r="O515" s="44"/>
    </row>
    <row r="516" spans="1:15" ht="17.25" customHeight="1">
      <c r="A516" s="44"/>
      <c r="B516" s="44"/>
      <c r="C516" s="44"/>
      <c r="D516" s="44"/>
      <c r="E516" s="44"/>
      <c r="F516" s="44"/>
      <c r="G516" s="44"/>
      <c r="H516" s="44"/>
      <c r="I516" s="44"/>
      <c r="J516" s="44"/>
      <c r="K516" s="44"/>
      <c r="L516" s="44"/>
      <c r="M516" s="44"/>
      <c r="N516" s="44"/>
      <c r="O516" s="44"/>
    </row>
    <row r="517" spans="1:15" ht="17.25" customHeight="1">
      <c r="A517" s="44"/>
      <c r="B517" s="44"/>
      <c r="C517" s="44"/>
      <c r="D517" s="44"/>
      <c r="E517" s="44"/>
      <c r="F517" s="44"/>
      <c r="G517" s="44"/>
      <c r="H517" s="44"/>
      <c r="I517" s="44"/>
      <c r="J517" s="44"/>
      <c r="K517" s="44"/>
      <c r="L517" s="44"/>
      <c r="M517" s="44"/>
      <c r="N517" s="44"/>
      <c r="O517" s="44"/>
    </row>
    <row r="518" spans="1:15" ht="17.25" customHeight="1">
      <c r="A518" s="44"/>
      <c r="B518" s="44"/>
      <c r="C518" s="44"/>
      <c r="D518" s="44"/>
      <c r="E518" s="44"/>
      <c r="F518" s="44"/>
      <c r="G518" s="44"/>
      <c r="H518" s="44"/>
      <c r="I518" s="44"/>
      <c r="J518" s="44"/>
      <c r="K518" s="44"/>
      <c r="L518" s="44"/>
      <c r="M518" s="44"/>
      <c r="N518" s="44"/>
      <c r="O518" s="44"/>
    </row>
    <row r="519" spans="1:15" ht="17.25" customHeight="1">
      <c r="A519" s="44"/>
      <c r="B519" s="44"/>
      <c r="C519" s="44"/>
      <c r="D519" s="44"/>
      <c r="E519" s="44"/>
      <c r="F519" s="44"/>
      <c r="G519" s="44"/>
      <c r="H519" s="44"/>
      <c r="I519" s="44"/>
      <c r="J519" s="44"/>
      <c r="K519" s="44"/>
      <c r="L519" s="44"/>
      <c r="M519" s="44"/>
      <c r="N519" s="44"/>
      <c r="O519" s="44"/>
    </row>
    <row r="520" spans="1:15" ht="17.25" customHeight="1">
      <c r="A520" s="44"/>
      <c r="B520" s="44"/>
      <c r="C520" s="44"/>
      <c r="D520" s="44"/>
      <c r="E520" s="44"/>
      <c r="F520" s="44"/>
      <c r="G520" s="44"/>
      <c r="H520" s="44"/>
      <c r="I520" s="44"/>
      <c r="J520" s="44"/>
      <c r="K520" s="44"/>
      <c r="L520" s="44"/>
      <c r="M520" s="44"/>
      <c r="N520" s="44"/>
      <c r="O520" s="44"/>
    </row>
    <row r="521" spans="1:15" ht="17.25" customHeight="1">
      <c r="A521" s="44"/>
      <c r="B521" s="44"/>
      <c r="C521" s="44"/>
      <c r="D521" s="44"/>
      <c r="E521" s="44"/>
      <c r="F521" s="44"/>
      <c r="G521" s="44"/>
      <c r="H521" s="44"/>
      <c r="I521" s="44"/>
      <c r="J521" s="44"/>
      <c r="K521" s="44"/>
      <c r="L521" s="44"/>
      <c r="M521" s="44"/>
      <c r="N521" s="44"/>
      <c r="O521" s="44"/>
    </row>
    <row r="522" spans="1:15" ht="17.25" customHeight="1">
      <c r="A522" s="44"/>
      <c r="B522" s="44"/>
      <c r="C522" s="44"/>
      <c r="D522" s="44"/>
      <c r="E522" s="44"/>
      <c r="F522" s="44"/>
      <c r="G522" s="44"/>
      <c r="H522" s="44"/>
      <c r="I522" s="44"/>
      <c r="J522" s="44"/>
      <c r="K522" s="44"/>
      <c r="L522" s="44"/>
      <c r="M522" s="44"/>
      <c r="N522" s="44"/>
      <c r="O522" s="44"/>
    </row>
    <row r="523" spans="1:15" ht="17.25" customHeight="1">
      <c r="A523" s="44"/>
      <c r="B523" s="44"/>
      <c r="C523" s="44"/>
      <c r="D523" s="44"/>
      <c r="E523" s="44"/>
      <c r="F523" s="44"/>
      <c r="G523" s="44"/>
      <c r="H523" s="44"/>
      <c r="I523" s="44"/>
      <c r="J523" s="44"/>
      <c r="K523" s="44"/>
      <c r="L523" s="44"/>
      <c r="M523" s="44"/>
      <c r="N523" s="44"/>
      <c r="O523" s="44"/>
    </row>
    <row r="524" spans="1:15" ht="17.25" customHeight="1">
      <c r="A524" s="44"/>
      <c r="B524" s="44"/>
      <c r="C524" s="44"/>
      <c r="D524" s="44"/>
      <c r="E524" s="44"/>
      <c r="F524" s="44"/>
      <c r="G524" s="44"/>
      <c r="H524" s="44"/>
      <c r="I524" s="44"/>
      <c r="J524" s="44"/>
      <c r="K524" s="44"/>
      <c r="L524" s="44"/>
      <c r="M524" s="44"/>
      <c r="N524" s="44"/>
      <c r="O524" s="44"/>
    </row>
    <row r="525" spans="1:15" ht="17.25" customHeight="1">
      <c r="A525" s="44"/>
      <c r="B525" s="44"/>
      <c r="C525" s="44"/>
      <c r="D525" s="44"/>
      <c r="E525" s="44"/>
      <c r="F525" s="44"/>
      <c r="G525" s="44"/>
      <c r="H525" s="44"/>
      <c r="I525" s="44"/>
      <c r="J525" s="44"/>
      <c r="K525" s="44"/>
      <c r="L525" s="44"/>
      <c r="M525" s="44"/>
      <c r="N525" s="44"/>
      <c r="O525" s="44"/>
    </row>
    <row r="526" spans="1:15" ht="17.25" customHeight="1">
      <c r="A526" s="44"/>
      <c r="B526" s="44"/>
      <c r="C526" s="44"/>
      <c r="D526" s="44"/>
      <c r="E526" s="44"/>
      <c r="F526" s="44"/>
      <c r="G526" s="44"/>
      <c r="H526" s="44"/>
      <c r="I526" s="44"/>
      <c r="J526" s="44"/>
      <c r="K526" s="44"/>
      <c r="L526" s="44"/>
      <c r="M526" s="44"/>
      <c r="N526" s="44"/>
      <c r="O526" s="44"/>
    </row>
    <row r="527" spans="1:15" ht="17.25" customHeight="1">
      <c r="A527" s="44"/>
      <c r="B527" s="44"/>
      <c r="C527" s="44"/>
      <c r="D527" s="44"/>
      <c r="E527" s="44"/>
      <c r="F527" s="44"/>
      <c r="G527" s="44"/>
      <c r="H527" s="44"/>
      <c r="I527" s="44"/>
      <c r="J527" s="44"/>
      <c r="K527" s="44"/>
      <c r="L527" s="44"/>
      <c r="M527" s="44"/>
      <c r="N527" s="44"/>
      <c r="O527" s="44"/>
    </row>
    <row r="528" spans="1:15" ht="17.25" customHeight="1">
      <c r="A528" s="44"/>
      <c r="B528" s="44"/>
      <c r="C528" s="44"/>
      <c r="D528" s="44"/>
      <c r="E528" s="44"/>
      <c r="F528" s="44"/>
      <c r="G528" s="44"/>
      <c r="H528" s="44"/>
      <c r="I528" s="44"/>
      <c r="J528" s="44"/>
      <c r="K528" s="44"/>
      <c r="L528" s="44"/>
      <c r="M528" s="44"/>
      <c r="N528" s="44"/>
      <c r="O528" s="44"/>
    </row>
    <row r="529" spans="1:15" ht="17.25" customHeight="1">
      <c r="A529" s="44"/>
      <c r="B529" s="44"/>
      <c r="C529" s="44"/>
      <c r="D529" s="44"/>
      <c r="E529" s="44"/>
      <c r="F529" s="44"/>
      <c r="G529" s="44"/>
      <c r="H529" s="44"/>
      <c r="I529" s="44"/>
      <c r="J529" s="44"/>
      <c r="K529" s="44"/>
      <c r="L529" s="44"/>
      <c r="M529" s="44"/>
      <c r="N529" s="44"/>
      <c r="O529" s="44"/>
    </row>
    <row r="530" spans="1:15" ht="17.25" customHeight="1">
      <c r="A530" s="44"/>
      <c r="B530" s="44"/>
      <c r="C530" s="44"/>
      <c r="D530" s="44"/>
      <c r="E530" s="44"/>
      <c r="F530" s="44"/>
      <c r="G530" s="44"/>
      <c r="H530" s="44"/>
      <c r="I530" s="44"/>
      <c r="J530" s="44"/>
      <c r="K530" s="44"/>
      <c r="L530" s="44"/>
      <c r="M530" s="44"/>
      <c r="N530" s="44"/>
      <c r="O530" s="44"/>
    </row>
    <row r="531" spans="1:15" ht="17.25" customHeight="1">
      <c r="A531" s="44"/>
      <c r="B531" s="44"/>
      <c r="C531" s="44"/>
      <c r="D531" s="44"/>
      <c r="E531" s="44"/>
      <c r="F531" s="44"/>
      <c r="G531" s="44"/>
      <c r="H531" s="44"/>
      <c r="I531" s="44"/>
      <c r="J531" s="44"/>
      <c r="K531" s="44"/>
      <c r="L531" s="44"/>
      <c r="M531" s="44"/>
      <c r="N531" s="44"/>
      <c r="O531" s="44"/>
    </row>
    <row r="532" spans="1:15" ht="17.25" customHeight="1">
      <c r="A532" s="44"/>
      <c r="B532" s="44"/>
      <c r="C532" s="44"/>
      <c r="D532" s="44"/>
      <c r="E532" s="44"/>
      <c r="F532" s="44"/>
      <c r="G532" s="44"/>
      <c r="H532" s="44"/>
      <c r="I532" s="44"/>
      <c r="J532" s="44"/>
      <c r="K532" s="44"/>
      <c r="L532" s="44"/>
      <c r="M532" s="44"/>
      <c r="N532" s="44"/>
      <c r="O532" s="44"/>
    </row>
    <row r="533" spans="1:15" ht="17.25" customHeight="1">
      <c r="A533" s="44"/>
      <c r="B533" s="44"/>
      <c r="C533" s="44"/>
      <c r="D533" s="44"/>
      <c r="E533" s="44"/>
      <c r="F533" s="44"/>
      <c r="G533" s="44"/>
      <c r="H533" s="44"/>
      <c r="I533" s="44"/>
      <c r="J533" s="44"/>
      <c r="K533" s="44"/>
      <c r="L533" s="44"/>
      <c r="M533" s="44"/>
      <c r="N533" s="44"/>
      <c r="O533" s="44"/>
    </row>
    <row r="534" spans="1:15" ht="17.25" customHeight="1">
      <c r="A534" s="44"/>
      <c r="B534" s="44"/>
      <c r="C534" s="44"/>
      <c r="D534" s="44"/>
      <c r="E534" s="44"/>
      <c r="F534" s="44"/>
      <c r="G534" s="44"/>
      <c r="H534" s="44"/>
      <c r="I534" s="44"/>
      <c r="J534" s="44"/>
      <c r="K534" s="44"/>
      <c r="L534" s="44"/>
      <c r="M534" s="44"/>
      <c r="N534" s="44"/>
      <c r="O534" s="44"/>
    </row>
    <row r="535" spans="1:15" ht="17.25" customHeight="1">
      <c r="A535" s="44"/>
      <c r="B535" s="44"/>
      <c r="C535" s="44"/>
      <c r="D535" s="44"/>
      <c r="E535" s="44"/>
      <c r="F535" s="44"/>
      <c r="G535" s="44"/>
      <c r="H535" s="44"/>
      <c r="I535" s="44"/>
      <c r="J535" s="44"/>
      <c r="K535" s="44"/>
      <c r="L535" s="44"/>
      <c r="M535" s="44"/>
      <c r="N535" s="44"/>
      <c r="O535" s="44"/>
    </row>
    <row r="536" spans="1:15" ht="17.25" customHeight="1">
      <c r="A536" s="44"/>
      <c r="B536" s="44"/>
      <c r="C536" s="44"/>
      <c r="D536" s="44"/>
      <c r="E536" s="44"/>
      <c r="F536" s="44"/>
      <c r="G536" s="44"/>
      <c r="H536" s="44"/>
      <c r="I536" s="44"/>
      <c r="J536" s="44"/>
      <c r="K536" s="44"/>
      <c r="L536" s="44"/>
      <c r="M536" s="44"/>
      <c r="N536" s="44"/>
      <c r="O536" s="44"/>
    </row>
    <row r="537" spans="1:15" ht="17.25" customHeight="1">
      <c r="A537" s="44"/>
      <c r="B537" s="44"/>
      <c r="C537" s="44"/>
      <c r="D537" s="44"/>
      <c r="E537" s="44"/>
      <c r="F537" s="44"/>
      <c r="G537" s="44"/>
      <c r="H537" s="44"/>
      <c r="I537" s="44"/>
      <c r="J537" s="44"/>
      <c r="K537" s="44"/>
      <c r="L537" s="44"/>
      <c r="M537" s="44"/>
      <c r="N537" s="44"/>
      <c r="O537" s="44"/>
    </row>
    <row r="538" spans="1:15" ht="17.25" customHeight="1">
      <c r="A538" s="44"/>
      <c r="B538" s="44"/>
      <c r="C538" s="44"/>
      <c r="D538" s="44"/>
      <c r="E538" s="44"/>
      <c r="F538" s="44"/>
      <c r="G538" s="44"/>
      <c r="H538" s="44"/>
      <c r="I538" s="44"/>
      <c r="J538" s="44"/>
      <c r="K538" s="44"/>
      <c r="L538" s="44"/>
      <c r="M538" s="44"/>
      <c r="N538" s="44"/>
      <c r="O538" s="44"/>
    </row>
    <row r="539" spans="1:15" ht="17.25" customHeight="1">
      <c r="A539" s="44"/>
      <c r="B539" s="44"/>
      <c r="C539" s="44"/>
      <c r="D539" s="44"/>
      <c r="E539" s="44"/>
      <c r="F539" s="44"/>
      <c r="G539" s="44"/>
      <c r="H539" s="44"/>
      <c r="I539" s="44"/>
      <c r="J539" s="44"/>
      <c r="K539" s="44"/>
      <c r="L539" s="44"/>
      <c r="M539" s="44"/>
      <c r="N539" s="44"/>
      <c r="O539" s="44"/>
    </row>
    <row r="540" spans="1:15" ht="17.25" customHeight="1">
      <c r="A540" s="44"/>
      <c r="B540" s="44"/>
      <c r="C540" s="44"/>
      <c r="D540" s="44"/>
      <c r="E540" s="44"/>
      <c r="F540" s="44"/>
      <c r="G540" s="44"/>
      <c r="H540" s="44"/>
      <c r="I540" s="44"/>
      <c r="J540" s="44"/>
      <c r="K540" s="44"/>
      <c r="L540" s="44"/>
      <c r="M540" s="44"/>
      <c r="N540" s="44"/>
      <c r="O540" s="44"/>
    </row>
    <row r="541" spans="1:15" ht="17.25" customHeight="1">
      <c r="A541" s="44"/>
      <c r="B541" s="44"/>
      <c r="C541" s="44"/>
      <c r="D541" s="44"/>
      <c r="E541" s="44"/>
      <c r="F541" s="44"/>
      <c r="G541" s="44"/>
      <c r="H541" s="44"/>
      <c r="I541" s="44"/>
      <c r="J541" s="44"/>
      <c r="K541" s="44"/>
      <c r="L541" s="44"/>
      <c r="M541" s="44"/>
      <c r="N541" s="44"/>
      <c r="O541" s="44"/>
    </row>
    <row r="542" spans="1:15" ht="17.25" customHeight="1">
      <c r="A542" s="44"/>
      <c r="B542" s="44"/>
      <c r="C542" s="44"/>
      <c r="D542" s="44"/>
      <c r="E542" s="44"/>
      <c r="F542" s="44"/>
      <c r="G542" s="44"/>
      <c r="H542" s="44"/>
      <c r="I542" s="44"/>
      <c r="J542" s="44"/>
      <c r="K542" s="44"/>
      <c r="L542" s="44"/>
      <c r="M542" s="44"/>
      <c r="N542" s="44"/>
      <c r="O542" s="44"/>
    </row>
    <row r="543" spans="1:15" ht="17.25" customHeight="1">
      <c r="A543" s="44"/>
      <c r="B543" s="44"/>
      <c r="C543" s="44"/>
      <c r="D543" s="44"/>
      <c r="E543" s="44"/>
      <c r="F543" s="44"/>
      <c r="G543" s="44"/>
      <c r="H543" s="44"/>
      <c r="I543" s="44"/>
      <c r="J543" s="44"/>
      <c r="K543" s="44"/>
      <c r="L543" s="44"/>
      <c r="M543" s="44"/>
      <c r="N543" s="44"/>
      <c r="O543" s="44"/>
    </row>
    <row r="544" spans="1:15" ht="17.25" customHeight="1">
      <c r="A544" s="44"/>
      <c r="B544" s="44"/>
      <c r="C544" s="44"/>
      <c r="D544" s="44"/>
      <c r="E544" s="44"/>
      <c r="F544" s="44"/>
      <c r="G544" s="44"/>
      <c r="H544" s="44"/>
      <c r="I544" s="44"/>
      <c r="J544" s="44"/>
      <c r="K544" s="44"/>
      <c r="L544" s="44"/>
      <c r="M544" s="44"/>
      <c r="N544" s="44"/>
      <c r="O544" s="44"/>
    </row>
    <row r="545" spans="1:15" ht="17.25" customHeight="1">
      <c r="A545" s="44"/>
      <c r="B545" s="44"/>
      <c r="C545" s="44"/>
      <c r="D545" s="44"/>
      <c r="E545" s="44"/>
      <c r="F545" s="44"/>
      <c r="G545" s="44"/>
      <c r="H545" s="44"/>
      <c r="I545" s="44"/>
      <c r="J545" s="44"/>
      <c r="K545" s="44"/>
      <c r="L545" s="44"/>
      <c r="M545" s="44"/>
      <c r="N545" s="44"/>
      <c r="O545" s="44"/>
    </row>
    <row r="546" spans="1:15" ht="17.25" customHeight="1">
      <c r="A546" s="44"/>
      <c r="B546" s="44"/>
      <c r="C546" s="44"/>
      <c r="D546" s="44"/>
      <c r="E546" s="44"/>
      <c r="F546" s="44"/>
      <c r="G546" s="44"/>
      <c r="H546" s="44"/>
      <c r="I546" s="44"/>
      <c r="J546" s="44"/>
      <c r="K546" s="44"/>
      <c r="L546" s="44"/>
      <c r="M546" s="44"/>
      <c r="N546" s="44"/>
      <c r="O546" s="44"/>
    </row>
    <row r="547" spans="1:15" ht="17.25" customHeight="1">
      <c r="A547" s="44"/>
      <c r="B547" s="44"/>
      <c r="C547" s="44"/>
      <c r="D547" s="44"/>
      <c r="E547" s="44"/>
      <c r="F547" s="44"/>
      <c r="G547" s="44"/>
      <c r="H547" s="44"/>
      <c r="I547" s="44"/>
      <c r="J547" s="44"/>
      <c r="K547" s="44"/>
      <c r="L547" s="44"/>
      <c r="M547" s="44"/>
      <c r="N547" s="44"/>
      <c r="O547" s="44"/>
    </row>
    <row r="548" spans="1:15" ht="17.25" customHeight="1">
      <c r="A548" s="44"/>
      <c r="B548" s="44"/>
      <c r="C548" s="44"/>
      <c r="D548" s="44"/>
      <c r="E548" s="44"/>
      <c r="F548" s="44"/>
      <c r="G548" s="44"/>
      <c r="H548" s="44"/>
      <c r="I548" s="44"/>
      <c r="J548" s="44"/>
      <c r="K548" s="44"/>
      <c r="L548" s="44"/>
      <c r="M548" s="44"/>
      <c r="N548" s="44"/>
      <c r="O548" s="44"/>
    </row>
    <row r="549" spans="1:15" ht="17.25" customHeight="1">
      <c r="A549" s="44"/>
      <c r="B549" s="44"/>
      <c r="C549" s="44"/>
      <c r="D549" s="44"/>
      <c r="E549" s="44"/>
      <c r="F549" s="44"/>
      <c r="G549" s="44"/>
      <c r="H549" s="44"/>
      <c r="I549" s="44"/>
      <c r="J549" s="44"/>
      <c r="K549" s="44"/>
      <c r="L549" s="44"/>
      <c r="M549" s="44"/>
      <c r="N549" s="44"/>
      <c r="O549" s="44"/>
    </row>
    <row r="550" spans="1:15" ht="17.25" customHeight="1">
      <c r="A550" s="44"/>
      <c r="B550" s="44"/>
      <c r="C550" s="44"/>
      <c r="D550" s="44"/>
      <c r="E550" s="44"/>
      <c r="F550" s="44"/>
      <c r="G550" s="44"/>
      <c r="H550" s="44"/>
      <c r="I550" s="44"/>
      <c r="J550" s="44"/>
      <c r="K550" s="44"/>
      <c r="L550" s="44"/>
      <c r="M550" s="44"/>
      <c r="N550" s="44"/>
      <c r="O550" s="44"/>
    </row>
    <row r="551" spans="1:15" ht="17.25" customHeight="1">
      <c r="A551" s="44"/>
      <c r="B551" s="44"/>
      <c r="C551" s="44"/>
      <c r="D551" s="44"/>
      <c r="E551" s="44"/>
      <c r="F551" s="44"/>
      <c r="G551" s="44"/>
      <c r="H551" s="44"/>
      <c r="I551" s="44"/>
      <c r="J551" s="44"/>
      <c r="K551" s="44"/>
      <c r="L551" s="44"/>
      <c r="M551" s="44"/>
      <c r="N551" s="44"/>
      <c r="O551" s="44"/>
    </row>
    <row r="552" spans="1:15" ht="17.25" customHeight="1">
      <c r="A552" s="44"/>
      <c r="B552" s="44"/>
      <c r="C552" s="44"/>
      <c r="D552" s="44"/>
      <c r="E552" s="44"/>
      <c r="F552" s="44"/>
      <c r="G552" s="44"/>
      <c r="H552" s="44"/>
      <c r="I552" s="44"/>
      <c r="J552" s="44"/>
      <c r="K552" s="44"/>
      <c r="L552" s="44"/>
      <c r="M552" s="44"/>
      <c r="N552" s="44"/>
      <c r="O552" s="44"/>
    </row>
    <row r="553" spans="1:15" ht="17.25" customHeight="1">
      <c r="A553" s="44"/>
      <c r="B553" s="44"/>
      <c r="C553" s="44"/>
      <c r="D553" s="44"/>
      <c r="E553" s="44"/>
      <c r="F553" s="44"/>
      <c r="G553" s="44"/>
      <c r="H553" s="44"/>
      <c r="I553" s="44"/>
      <c r="J553" s="44"/>
      <c r="K553" s="44"/>
      <c r="L553" s="44"/>
      <c r="M553" s="44"/>
      <c r="N553" s="44"/>
      <c r="O553" s="44"/>
    </row>
    <row r="554" spans="1:15" ht="17.25" customHeight="1">
      <c r="A554" s="44"/>
      <c r="B554" s="44"/>
      <c r="C554" s="44"/>
      <c r="D554" s="44"/>
      <c r="E554" s="44"/>
      <c r="F554" s="44"/>
      <c r="G554" s="44"/>
      <c r="H554" s="44"/>
      <c r="I554" s="44"/>
      <c r="J554" s="44"/>
      <c r="K554" s="44"/>
      <c r="L554" s="44"/>
      <c r="M554" s="44"/>
      <c r="N554" s="44"/>
      <c r="O554" s="44"/>
    </row>
    <row r="555" spans="1:15" ht="17.25" customHeight="1">
      <c r="A555" s="44"/>
      <c r="B555" s="44"/>
      <c r="C555" s="44"/>
      <c r="D555" s="44"/>
      <c r="E555" s="44"/>
      <c r="F555" s="44"/>
      <c r="G555" s="44"/>
      <c r="H555" s="44"/>
      <c r="I555" s="44"/>
      <c r="J555" s="44"/>
      <c r="K555" s="44"/>
      <c r="L555" s="44"/>
      <c r="M555" s="44"/>
      <c r="N555" s="44"/>
      <c r="O555" s="44"/>
    </row>
    <row r="556" spans="1:15" ht="17.25" customHeight="1">
      <c r="A556" s="44"/>
      <c r="B556" s="44"/>
      <c r="C556" s="44"/>
      <c r="D556" s="44"/>
      <c r="E556" s="44"/>
      <c r="F556" s="44"/>
      <c r="G556" s="44"/>
      <c r="H556" s="44"/>
      <c r="I556" s="44"/>
      <c r="J556" s="44"/>
      <c r="K556" s="44"/>
      <c r="L556" s="44"/>
      <c r="M556" s="44"/>
      <c r="N556" s="44"/>
      <c r="O556" s="44"/>
    </row>
    <row r="557" spans="1:15" ht="17.25" customHeight="1">
      <c r="A557" s="44"/>
      <c r="B557" s="44"/>
      <c r="C557" s="44"/>
      <c r="D557" s="44"/>
      <c r="E557" s="44"/>
      <c r="F557" s="44"/>
      <c r="G557" s="44"/>
      <c r="H557" s="44"/>
      <c r="I557" s="44"/>
      <c r="J557" s="44"/>
      <c r="K557" s="44"/>
      <c r="L557" s="44"/>
      <c r="M557" s="44"/>
      <c r="N557" s="44"/>
      <c r="O557" s="44"/>
    </row>
    <row r="558" spans="1:15" ht="17.25" customHeight="1">
      <c r="A558" s="44"/>
      <c r="B558" s="44"/>
      <c r="C558" s="44"/>
      <c r="D558" s="44"/>
      <c r="E558" s="44"/>
      <c r="F558" s="44"/>
      <c r="G558" s="44"/>
      <c r="H558" s="44"/>
      <c r="I558" s="44"/>
      <c r="J558" s="44"/>
      <c r="K558" s="44"/>
      <c r="L558" s="44"/>
      <c r="M558" s="44"/>
      <c r="N558" s="44"/>
      <c r="O558" s="44"/>
    </row>
    <row r="559" spans="1:15" ht="17.25" customHeight="1">
      <c r="A559" s="44"/>
      <c r="B559" s="44"/>
      <c r="C559" s="44"/>
      <c r="D559" s="44"/>
      <c r="E559" s="44"/>
      <c r="F559" s="44"/>
      <c r="G559" s="44"/>
      <c r="H559" s="44"/>
      <c r="I559" s="44"/>
      <c r="J559" s="44"/>
      <c r="K559" s="44"/>
      <c r="L559" s="44"/>
      <c r="M559" s="44"/>
      <c r="N559" s="44"/>
      <c r="O559" s="44"/>
    </row>
    <row r="560" spans="1:15" ht="17.25" customHeight="1">
      <c r="A560" s="44"/>
      <c r="B560" s="44"/>
      <c r="C560" s="44"/>
      <c r="D560" s="44"/>
      <c r="E560" s="44"/>
      <c r="F560" s="44"/>
      <c r="G560" s="44"/>
      <c r="H560" s="44"/>
      <c r="I560" s="44"/>
      <c r="J560" s="44"/>
      <c r="K560" s="44"/>
      <c r="L560" s="44"/>
      <c r="M560" s="44"/>
      <c r="N560" s="44"/>
      <c r="O560" s="44"/>
    </row>
    <row r="561" spans="1:15" ht="17.25" customHeight="1">
      <c r="A561" s="44"/>
      <c r="B561" s="44"/>
      <c r="C561" s="44"/>
      <c r="D561" s="44"/>
      <c r="E561" s="44"/>
      <c r="F561" s="44"/>
      <c r="G561" s="44"/>
      <c r="H561" s="44"/>
      <c r="I561" s="44"/>
      <c r="J561" s="44"/>
      <c r="K561" s="44"/>
      <c r="L561" s="44"/>
      <c r="M561" s="44"/>
      <c r="N561" s="44"/>
      <c r="O561" s="44"/>
    </row>
    <row r="562" spans="1:15" ht="17.25" customHeight="1">
      <c r="A562" s="44"/>
      <c r="B562" s="44"/>
      <c r="C562" s="44"/>
      <c r="D562" s="44"/>
      <c r="E562" s="44"/>
      <c r="F562" s="44"/>
      <c r="G562" s="44"/>
      <c r="H562" s="44"/>
      <c r="I562" s="44"/>
      <c r="J562" s="44"/>
      <c r="K562" s="44"/>
      <c r="L562" s="44"/>
      <c r="M562" s="44"/>
      <c r="N562" s="44"/>
      <c r="O562" s="44"/>
    </row>
    <row r="563" spans="1:15" ht="17.25" customHeight="1">
      <c r="A563" s="44"/>
      <c r="B563" s="44"/>
      <c r="C563" s="44"/>
      <c r="D563" s="44"/>
      <c r="E563" s="44"/>
      <c r="F563" s="44"/>
      <c r="G563" s="44"/>
      <c r="H563" s="44"/>
      <c r="I563" s="44"/>
      <c r="J563" s="44"/>
      <c r="K563" s="44"/>
      <c r="L563" s="44"/>
      <c r="M563" s="44"/>
      <c r="N563" s="44"/>
      <c r="O563" s="44"/>
    </row>
    <row r="564" spans="1:15" ht="17.25" customHeight="1">
      <c r="A564" s="44"/>
      <c r="B564" s="44"/>
      <c r="C564" s="44"/>
      <c r="D564" s="44"/>
      <c r="E564" s="44"/>
      <c r="F564" s="44"/>
      <c r="G564" s="44"/>
      <c r="H564" s="44"/>
      <c r="I564" s="44"/>
      <c r="J564" s="44"/>
      <c r="K564" s="44"/>
      <c r="L564" s="44"/>
      <c r="M564" s="44"/>
      <c r="N564" s="44"/>
      <c r="O564" s="44"/>
    </row>
    <row r="565" spans="1:15" ht="17.25" customHeight="1">
      <c r="A565" s="44"/>
      <c r="B565" s="44"/>
      <c r="C565" s="44"/>
      <c r="D565" s="44"/>
      <c r="E565" s="44"/>
      <c r="F565" s="44"/>
      <c r="G565" s="44"/>
      <c r="H565" s="44"/>
      <c r="I565" s="44"/>
      <c r="J565" s="44"/>
      <c r="K565" s="44"/>
      <c r="L565" s="44"/>
      <c r="M565" s="44"/>
      <c r="N565" s="44"/>
      <c r="O565" s="44"/>
    </row>
    <row r="566" spans="1:15" ht="17.25" customHeight="1">
      <c r="A566" s="44"/>
      <c r="B566" s="44"/>
      <c r="C566" s="44"/>
      <c r="D566" s="44"/>
      <c r="E566" s="44"/>
      <c r="F566" s="44"/>
      <c r="G566" s="44"/>
      <c r="H566" s="44"/>
      <c r="I566" s="44"/>
      <c r="J566" s="44"/>
      <c r="K566" s="44"/>
      <c r="L566" s="44"/>
      <c r="M566" s="44"/>
      <c r="N566" s="44"/>
      <c r="O566" s="44"/>
    </row>
    <row r="567" spans="1:15" ht="17.25" customHeight="1">
      <c r="A567" s="44"/>
      <c r="B567" s="44"/>
      <c r="C567" s="44"/>
      <c r="D567" s="44"/>
      <c r="E567" s="44"/>
      <c r="F567" s="44"/>
      <c r="G567" s="44"/>
      <c r="H567" s="44"/>
      <c r="I567" s="44"/>
      <c r="J567" s="44"/>
      <c r="K567" s="44"/>
      <c r="L567" s="44"/>
      <c r="M567" s="44"/>
      <c r="N567" s="44"/>
      <c r="O567" s="44"/>
    </row>
    <row r="568" spans="1:15" ht="17.25" customHeight="1">
      <c r="A568" s="44"/>
      <c r="B568" s="44"/>
      <c r="C568" s="44"/>
      <c r="D568" s="44"/>
      <c r="E568" s="44"/>
      <c r="F568" s="44"/>
      <c r="G568" s="44"/>
      <c r="H568" s="44"/>
      <c r="I568" s="44"/>
      <c r="J568" s="44"/>
      <c r="K568" s="44"/>
      <c r="L568" s="44"/>
      <c r="M568" s="44"/>
      <c r="N568" s="44"/>
      <c r="O568" s="44"/>
    </row>
    <row r="569" spans="1:15" ht="17.25" customHeight="1">
      <c r="A569" s="44"/>
      <c r="B569" s="44"/>
      <c r="C569" s="44"/>
      <c r="D569" s="44"/>
      <c r="E569" s="44"/>
      <c r="F569" s="44"/>
      <c r="G569" s="44"/>
      <c r="H569" s="44"/>
      <c r="I569" s="44"/>
      <c r="J569" s="44"/>
      <c r="K569" s="44"/>
      <c r="L569" s="44"/>
      <c r="M569" s="44"/>
      <c r="N569" s="44"/>
      <c r="O569" s="44"/>
    </row>
    <row r="570" spans="1:15" ht="17.25" customHeight="1">
      <c r="A570" s="44"/>
      <c r="B570" s="44"/>
      <c r="C570" s="44"/>
      <c r="D570" s="44"/>
      <c r="E570" s="44"/>
      <c r="F570" s="44"/>
      <c r="G570" s="44"/>
      <c r="H570" s="44"/>
      <c r="I570" s="44"/>
      <c r="J570" s="44"/>
      <c r="K570" s="44"/>
      <c r="L570" s="44"/>
      <c r="M570" s="44"/>
      <c r="N570" s="44"/>
      <c r="O570" s="44"/>
    </row>
    <row r="571" spans="1:15" ht="17.25" customHeight="1">
      <c r="A571" s="44"/>
      <c r="B571" s="44"/>
      <c r="C571" s="44"/>
      <c r="D571" s="44"/>
      <c r="E571" s="44"/>
      <c r="F571" s="44"/>
      <c r="G571" s="44"/>
      <c r="H571" s="44"/>
      <c r="I571" s="44"/>
      <c r="J571" s="44"/>
      <c r="K571" s="44"/>
      <c r="L571" s="44"/>
      <c r="M571" s="44"/>
      <c r="N571" s="44"/>
      <c r="O571" s="44"/>
    </row>
    <row r="572" spans="1:15" ht="17.25" customHeight="1">
      <c r="A572" s="44"/>
      <c r="B572" s="44"/>
      <c r="C572" s="44"/>
      <c r="D572" s="44"/>
      <c r="E572" s="44"/>
      <c r="F572" s="44"/>
      <c r="G572" s="44"/>
      <c r="H572" s="44"/>
      <c r="I572" s="44"/>
      <c r="J572" s="44"/>
      <c r="K572" s="44"/>
      <c r="L572" s="44"/>
      <c r="M572" s="44"/>
      <c r="N572" s="44"/>
      <c r="O572" s="44"/>
    </row>
    <row r="573" spans="1:15" ht="17.25" customHeight="1">
      <c r="A573" s="44"/>
      <c r="B573" s="44"/>
      <c r="C573" s="44"/>
      <c r="D573" s="44"/>
      <c r="E573" s="44"/>
      <c r="F573" s="44"/>
      <c r="G573" s="44"/>
      <c r="H573" s="44"/>
      <c r="I573" s="44"/>
      <c r="J573" s="44"/>
      <c r="K573" s="44"/>
      <c r="L573" s="44"/>
      <c r="M573" s="44"/>
      <c r="N573" s="44"/>
      <c r="O573" s="44"/>
    </row>
    <row r="574" spans="1:15" ht="17.25" customHeight="1">
      <c r="A574" s="44"/>
      <c r="B574" s="44"/>
      <c r="C574" s="44"/>
      <c r="D574" s="44"/>
      <c r="E574" s="44"/>
      <c r="F574" s="44"/>
      <c r="G574" s="44"/>
      <c r="H574" s="44"/>
      <c r="I574" s="44"/>
      <c r="J574" s="44"/>
      <c r="K574" s="44"/>
      <c r="L574" s="44"/>
      <c r="M574" s="44"/>
      <c r="N574" s="44"/>
      <c r="O574" s="44"/>
    </row>
    <row r="575" spans="1:15" ht="17.25" customHeight="1">
      <c r="A575" s="44"/>
      <c r="B575" s="44"/>
      <c r="C575" s="44"/>
      <c r="D575" s="44"/>
      <c r="E575" s="44"/>
      <c r="F575" s="44"/>
      <c r="G575" s="44"/>
      <c r="H575" s="44"/>
      <c r="I575" s="44"/>
      <c r="J575" s="44"/>
      <c r="K575" s="44"/>
      <c r="L575" s="44"/>
      <c r="M575" s="44"/>
      <c r="N575" s="44"/>
      <c r="O575" s="44"/>
    </row>
    <row r="576" spans="1:15" ht="17.25" customHeight="1">
      <c r="A576" s="44"/>
      <c r="B576" s="44"/>
      <c r="C576" s="44"/>
      <c r="D576" s="44"/>
      <c r="E576" s="44"/>
      <c r="F576" s="44"/>
      <c r="G576" s="44"/>
      <c r="H576" s="44"/>
      <c r="I576" s="44"/>
      <c r="J576" s="44"/>
      <c r="K576" s="44"/>
      <c r="L576" s="44"/>
      <c r="M576" s="44"/>
      <c r="N576" s="44"/>
      <c r="O576" s="44"/>
    </row>
    <row r="577" spans="1:15" ht="17.25" customHeight="1">
      <c r="A577" s="44"/>
      <c r="B577" s="44"/>
      <c r="C577" s="44"/>
      <c r="D577" s="44"/>
      <c r="E577" s="44"/>
      <c r="F577" s="44"/>
      <c r="G577" s="44"/>
      <c r="H577" s="44"/>
      <c r="I577" s="44"/>
      <c r="J577" s="44"/>
      <c r="K577" s="44"/>
      <c r="L577" s="44"/>
      <c r="M577" s="44"/>
      <c r="N577" s="44"/>
      <c r="O577" s="44"/>
    </row>
    <row r="578" spans="1:15" ht="17.25" customHeight="1">
      <c r="A578" s="44"/>
      <c r="B578" s="44"/>
      <c r="C578" s="44"/>
      <c r="D578" s="44"/>
      <c r="E578" s="44"/>
      <c r="F578" s="44"/>
      <c r="G578" s="44"/>
      <c r="H578" s="44"/>
      <c r="I578" s="44"/>
      <c r="J578" s="44"/>
      <c r="K578" s="44"/>
      <c r="L578" s="44"/>
      <c r="M578" s="44"/>
      <c r="N578" s="44"/>
      <c r="O578" s="44"/>
    </row>
    <row r="579" spans="1:15" ht="17.25" customHeight="1">
      <c r="A579" s="44"/>
      <c r="B579" s="44"/>
      <c r="C579" s="44"/>
      <c r="D579" s="44"/>
      <c r="E579" s="44"/>
      <c r="F579" s="44"/>
      <c r="G579" s="44"/>
      <c r="H579" s="44"/>
      <c r="I579" s="44"/>
      <c r="J579" s="44"/>
      <c r="K579" s="44"/>
      <c r="L579" s="44"/>
      <c r="M579" s="44"/>
      <c r="N579" s="44"/>
      <c r="O579" s="44"/>
    </row>
    <row r="580" spans="1:15" ht="17.25" customHeight="1">
      <c r="A580" s="44"/>
      <c r="B580" s="44"/>
      <c r="C580" s="44"/>
      <c r="D580" s="44"/>
      <c r="E580" s="44"/>
      <c r="F580" s="44"/>
      <c r="G580" s="44"/>
      <c r="H580" s="44"/>
      <c r="I580" s="44"/>
      <c r="J580" s="44"/>
      <c r="K580" s="44"/>
      <c r="L580" s="44"/>
      <c r="M580" s="44"/>
      <c r="N580" s="44"/>
      <c r="O580" s="44"/>
    </row>
    <row r="581" spans="1:15" ht="17.25" customHeight="1">
      <c r="A581" s="44"/>
      <c r="B581" s="44"/>
      <c r="C581" s="44"/>
      <c r="D581" s="44"/>
      <c r="E581" s="44"/>
      <c r="F581" s="44"/>
      <c r="G581" s="44"/>
      <c r="H581" s="44"/>
      <c r="I581" s="44"/>
      <c r="J581" s="44"/>
      <c r="K581" s="44"/>
      <c r="L581" s="44"/>
      <c r="M581" s="44"/>
      <c r="N581" s="44"/>
      <c r="O581" s="44"/>
    </row>
    <row r="582" spans="1:15" ht="17.25" customHeight="1">
      <c r="A582" s="44"/>
      <c r="B582" s="44"/>
      <c r="C582" s="44"/>
      <c r="D582" s="44"/>
      <c r="E582" s="44"/>
      <c r="F582" s="44"/>
      <c r="G582" s="44"/>
      <c r="H582" s="44"/>
      <c r="I582" s="44"/>
      <c r="J582" s="44"/>
      <c r="K582" s="44"/>
      <c r="L582" s="44"/>
      <c r="M582" s="44"/>
      <c r="N582" s="44"/>
      <c r="O582" s="44"/>
    </row>
    <row r="583" spans="1:15" ht="17.25" customHeight="1">
      <c r="A583" s="44"/>
      <c r="B583" s="44"/>
      <c r="C583" s="44"/>
      <c r="D583" s="44"/>
      <c r="E583" s="44"/>
      <c r="F583" s="44"/>
      <c r="G583" s="44"/>
      <c r="H583" s="44"/>
      <c r="I583" s="44"/>
      <c r="J583" s="44"/>
      <c r="K583" s="44"/>
      <c r="L583" s="44"/>
      <c r="M583" s="44"/>
      <c r="N583" s="44"/>
      <c r="O583" s="44"/>
    </row>
    <row r="584" spans="1:15" ht="17.25" customHeight="1">
      <c r="A584" s="44"/>
      <c r="B584" s="44"/>
      <c r="C584" s="44"/>
      <c r="D584" s="44"/>
      <c r="E584" s="44"/>
      <c r="F584" s="44"/>
      <c r="G584" s="44"/>
      <c r="H584" s="44"/>
      <c r="I584" s="44"/>
      <c r="J584" s="44"/>
      <c r="K584" s="44"/>
      <c r="L584" s="44"/>
      <c r="M584" s="44"/>
      <c r="N584" s="44"/>
      <c r="O584" s="44"/>
    </row>
    <row r="585" spans="1:15" ht="17.25" customHeight="1">
      <c r="A585" s="44"/>
      <c r="B585" s="44"/>
      <c r="C585" s="44"/>
      <c r="D585" s="44"/>
      <c r="E585" s="44"/>
      <c r="F585" s="44"/>
      <c r="G585" s="44"/>
      <c r="H585" s="44"/>
      <c r="I585" s="44"/>
      <c r="J585" s="44"/>
      <c r="K585" s="44"/>
      <c r="L585" s="44"/>
      <c r="M585" s="44"/>
      <c r="N585" s="44"/>
      <c r="O585" s="44"/>
    </row>
    <row r="586" spans="1:15" ht="17.25" customHeight="1">
      <c r="A586" s="44"/>
      <c r="B586" s="44"/>
      <c r="C586" s="44"/>
      <c r="D586" s="44"/>
      <c r="E586" s="44"/>
      <c r="F586" s="44"/>
      <c r="G586" s="44"/>
      <c r="H586" s="44"/>
      <c r="I586" s="44"/>
      <c r="J586" s="44"/>
      <c r="K586" s="44"/>
      <c r="L586" s="44"/>
      <c r="M586" s="44"/>
      <c r="N586" s="44"/>
      <c r="O586" s="44"/>
    </row>
    <row r="587" spans="1:15" ht="17.25" customHeight="1">
      <c r="A587" s="44"/>
      <c r="B587" s="44"/>
      <c r="C587" s="44"/>
      <c r="D587" s="44"/>
      <c r="E587" s="44"/>
      <c r="F587" s="44"/>
      <c r="G587" s="44"/>
      <c r="H587" s="44"/>
      <c r="I587" s="44"/>
      <c r="J587" s="44"/>
      <c r="K587" s="44"/>
      <c r="L587" s="44"/>
      <c r="M587" s="44"/>
      <c r="N587" s="44"/>
      <c r="O587" s="44"/>
    </row>
    <row r="588" spans="1:15" ht="17.25" customHeight="1">
      <c r="A588" s="44"/>
      <c r="B588" s="44"/>
      <c r="C588" s="44"/>
      <c r="D588" s="44"/>
      <c r="E588" s="44"/>
      <c r="F588" s="44"/>
      <c r="G588" s="44"/>
      <c r="H588" s="44"/>
      <c r="I588" s="44"/>
      <c r="J588" s="44"/>
      <c r="K588" s="44"/>
      <c r="L588" s="44"/>
      <c r="M588" s="44"/>
      <c r="N588" s="44"/>
      <c r="O588" s="44"/>
    </row>
    <row r="589" spans="1:15" ht="17.25" customHeight="1">
      <c r="A589" s="44"/>
      <c r="B589" s="44"/>
      <c r="C589" s="44"/>
      <c r="D589" s="44"/>
      <c r="E589" s="44"/>
      <c r="F589" s="44"/>
      <c r="G589" s="44"/>
      <c r="H589" s="44"/>
      <c r="I589" s="44"/>
      <c r="J589" s="44"/>
      <c r="K589" s="44"/>
      <c r="L589" s="44"/>
      <c r="M589" s="44"/>
      <c r="N589" s="44"/>
      <c r="O589" s="44"/>
    </row>
    <row r="590" spans="1:15" ht="17.25" customHeight="1">
      <c r="A590" s="44"/>
      <c r="B590" s="44"/>
      <c r="C590" s="44"/>
      <c r="D590" s="44"/>
      <c r="E590" s="44"/>
      <c r="F590" s="44"/>
      <c r="G590" s="44"/>
      <c r="H590" s="44"/>
      <c r="I590" s="44"/>
      <c r="J590" s="44"/>
      <c r="K590" s="44"/>
      <c r="L590" s="44"/>
      <c r="M590" s="44"/>
      <c r="N590" s="44"/>
      <c r="O590" s="44"/>
    </row>
    <row r="591" spans="1:15" ht="17.25" customHeight="1">
      <c r="A591" s="44"/>
      <c r="B591" s="44"/>
      <c r="C591" s="44"/>
      <c r="D591" s="44"/>
      <c r="E591" s="44"/>
      <c r="F591" s="44"/>
      <c r="G591" s="44"/>
      <c r="H591" s="44"/>
      <c r="I591" s="44"/>
      <c r="J591" s="44"/>
      <c r="K591" s="44"/>
      <c r="L591" s="44"/>
      <c r="M591" s="44"/>
      <c r="N591" s="44"/>
      <c r="O591" s="44"/>
    </row>
    <row r="592" spans="1:15" ht="17.25" customHeight="1">
      <c r="A592" s="44"/>
      <c r="B592" s="44"/>
      <c r="C592" s="44"/>
      <c r="D592" s="44"/>
      <c r="E592" s="44"/>
      <c r="F592" s="44"/>
      <c r="G592" s="44"/>
      <c r="H592" s="44"/>
      <c r="I592" s="44"/>
      <c r="J592" s="44"/>
      <c r="K592" s="44"/>
      <c r="L592" s="44"/>
      <c r="M592" s="44"/>
      <c r="N592" s="44"/>
      <c r="O592" s="44"/>
    </row>
    <row r="593" spans="1:15" ht="17.25" customHeight="1">
      <c r="A593" s="44"/>
      <c r="B593" s="44"/>
      <c r="C593" s="44"/>
      <c r="D593" s="44"/>
      <c r="E593" s="44"/>
      <c r="F593" s="44"/>
      <c r="G593" s="44"/>
      <c r="H593" s="44"/>
      <c r="I593" s="44"/>
      <c r="J593" s="44"/>
      <c r="K593" s="44"/>
      <c r="L593" s="44"/>
      <c r="M593" s="44"/>
      <c r="N593" s="44"/>
      <c r="O593" s="44"/>
    </row>
    <row r="594" spans="1:15" ht="17.25" customHeight="1">
      <c r="A594" s="44"/>
      <c r="B594" s="44"/>
      <c r="C594" s="44"/>
      <c r="D594" s="44"/>
      <c r="E594" s="44"/>
      <c r="F594" s="44"/>
      <c r="G594" s="44"/>
      <c r="H594" s="44"/>
      <c r="I594" s="44"/>
      <c r="J594" s="44"/>
      <c r="K594" s="44"/>
      <c r="L594" s="44"/>
      <c r="M594" s="44"/>
      <c r="N594" s="44"/>
      <c r="O594" s="44"/>
    </row>
    <row r="595" spans="1:15" ht="17.25" customHeight="1">
      <c r="A595" s="44"/>
      <c r="B595" s="44"/>
      <c r="C595" s="44"/>
      <c r="D595" s="44"/>
      <c r="E595" s="44"/>
      <c r="F595" s="44"/>
      <c r="G595" s="44"/>
      <c r="H595" s="44"/>
      <c r="I595" s="44"/>
      <c r="J595" s="44"/>
      <c r="K595" s="44"/>
      <c r="L595" s="44"/>
      <c r="M595" s="44"/>
      <c r="N595" s="44"/>
      <c r="O595" s="44"/>
    </row>
    <row r="596" spans="1:15" ht="17.25" customHeight="1">
      <c r="A596" s="44"/>
      <c r="B596" s="44"/>
      <c r="C596" s="44"/>
      <c r="D596" s="44"/>
      <c r="E596" s="44"/>
      <c r="F596" s="44"/>
      <c r="G596" s="44"/>
      <c r="H596" s="44"/>
      <c r="I596" s="44"/>
      <c r="J596" s="44"/>
      <c r="K596" s="44"/>
      <c r="L596" s="44"/>
      <c r="M596" s="44"/>
      <c r="N596" s="44"/>
      <c r="O596" s="44"/>
    </row>
    <row r="597" spans="1:15" ht="17.25" customHeight="1">
      <c r="A597" s="44"/>
      <c r="B597" s="44"/>
      <c r="C597" s="44"/>
      <c r="D597" s="44"/>
      <c r="E597" s="44"/>
      <c r="F597" s="44"/>
      <c r="G597" s="44"/>
      <c r="H597" s="44"/>
      <c r="I597" s="44"/>
      <c r="J597" s="44"/>
      <c r="K597" s="44"/>
      <c r="L597" s="44"/>
      <c r="M597" s="44"/>
      <c r="N597" s="44"/>
      <c r="O597" s="44"/>
    </row>
    <row r="598" spans="1:15" ht="17.25" customHeight="1">
      <c r="A598" s="44"/>
      <c r="B598" s="44"/>
      <c r="C598" s="44"/>
      <c r="D598" s="44"/>
      <c r="E598" s="44"/>
      <c r="F598" s="44"/>
      <c r="G598" s="44"/>
      <c r="H598" s="44"/>
      <c r="I598" s="44"/>
      <c r="J598" s="44"/>
      <c r="K598" s="44"/>
      <c r="L598" s="44"/>
      <c r="M598" s="44"/>
      <c r="N598" s="44"/>
      <c r="O598" s="44"/>
    </row>
    <row r="599" spans="1:15" ht="17.25" customHeight="1">
      <c r="A599" s="44"/>
      <c r="B599" s="44"/>
      <c r="C599" s="44"/>
      <c r="D599" s="44"/>
      <c r="E599" s="44"/>
      <c r="F599" s="44"/>
      <c r="G599" s="44"/>
      <c r="H599" s="44"/>
      <c r="I599" s="44"/>
      <c r="J599" s="44"/>
      <c r="K599" s="44"/>
      <c r="L599" s="44"/>
      <c r="M599" s="44"/>
      <c r="N599" s="44"/>
      <c r="O599" s="44"/>
    </row>
    <row r="600" spans="1:15" ht="17.25" customHeight="1">
      <c r="A600" s="44"/>
      <c r="B600" s="44"/>
      <c r="C600" s="44"/>
      <c r="D600" s="44"/>
      <c r="E600" s="44"/>
      <c r="F600" s="44"/>
      <c r="G600" s="44"/>
      <c r="H600" s="44"/>
      <c r="I600" s="44"/>
      <c r="J600" s="44"/>
      <c r="K600" s="44"/>
      <c r="L600" s="44"/>
      <c r="M600" s="44"/>
      <c r="N600" s="44"/>
      <c r="O600" s="44"/>
    </row>
    <row r="601" spans="1:15" ht="17.25" customHeight="1">
      <c r="A601" s="44"/>
      <c r="B601" s="44"/>
      <c r="C601" s="44"/>
      <c r="D601" s="44"/>
      <c r="E601" s="44"/>
      <c r="F601" s="44"/>
      <c r="G601" s="44"/>
      <c r="H601" s="44"/>
      <c r="I601" s="44"/>
      <c r="J601" s="44"/>
      <c r="K601" s="44"/>
      <c r="L601" s="44"/>
      <c r="M601" s="44"/>
      <c r="N601" s="44"/>
      <c r="O601" s="44"/>
    </row>
    <row r="602" spans="1:15" ht="17.25" customHeight="1">
      <c r="A602" s="44"/>
      <c r="B602" s="44"/>
      <c r="C602" s="44"/>
      <c r="D602" s="44"/>
      <c r="E602" s="44"/>
      <c r="F602" s="44"/>
      <c r="G602" s="44"/>
      <c r="H602" s="44"/>
      <c r="I602" s="44"/>
      <c r="J602" s="44"/>
      <c r="K602" s="44"/>
      <c r="L602" s="44"/>
      <c r="M602" s="44"/>
      <c r="N602" s="44"/>
      <c r="O602" s="44"/>
    </row>
    <row r="603" spans="1:15" ht="17.25" customHeight="1">
      <c r="A603" s="44"/>
      <c r="B603" s="44"/>
      <c r="C603" s="44"/>
      <c r="D603" s="44"/>
      <c r="E603" s="44"/>
      <c r="F603" s="44"/>
      <c r="G603" s="44"/>
      <c r="H603" s="44"/>
      <c r="I603" s="44"/>
      <c r="J603" s="44"/>
      <c r="K603" s="44"/>
      <c r="L603" s="44"/>
      <c r="M603" s="44"/>
      <c r="N603" s="44"/>
      <c r="O603" s="44"/>
    </row>
    <row r="604" spans="1:15" ht="17.25" customHeight="1">
      <c r="A604" s="44"/>
      <c r="B604" s="44"/>
      <c r="C604" s="44"/>
      <c r="D604" s="44"/>
      <c r="E604" s="44"/>
      <c r="F604" s="44"/>
      <c r="G604" s="44"/>
      <c r="H604" s="44"/>
      <c r="I604" s="44"/>
      <c r="J604" s="44"/>
      <c r="K604" s="44"/>
      <c r="L604" s="44"/>
      <c r="M604" s="44"/>
      <c r="N604" s="44"/>
      <c r="O604" s="44"/>
    </row>
    <row r="605" spans="1:15" ht="17.25" customHeight="1">
      <c r="A605" s="44"/>
      <c r="B605" s="44"/>
      <c r="C605" s="44"/>
      <c r="D605" s="44"/>
      <c r="E605" s="44"/>
      <c r="F605" s="44"/>
      <c r="G605" s="44"/>
      <c r="H605" s="44"/>
      <c r="I605" s="44"/>
      <c r="J605" s="44"/>
      <c r="K605" s="44"/>
      <c r="L605" s="44"/>
      <c r="M605" s="44"/>
      <c r="N605" s="44"/>
      <c r="O605" s="44"/>
    </row>
    <row r="606" spans="1:15" ht="17.25" customHeight="1">
      <c r="A606" s="44"/>
      <c r="B606" s="44"/>
      <c r="C606" s="44"/>
      <c r="D606" s="44"/>
      <c r="E606" s="44"/>
      <c r="F606" s="44"/>
      <c r="G606" s="44"/>
      <c r="H606" s="44"/>
      <c r="I606" s="44"/>
      <c r="J606" s="44"/>
      <c r="K606" s="44"/>
      <c r="L606" s="44"/>
      <c r="M606" s="44"/>
      <c r="N606" s="44"/>
      <c r="O606" s="44"/>
    </row>
    <row r="607" spans="1:15" ht="17.25" customHeight="1">
      <c r="A607" s="44"/>
      <c r="B607" s="44"/>
      <c r="C607" s="44"/>
      <c r="D607" s="44"/>
      <c r="E607" s="44"/>
      <c r="F607" s="44"/>
      <c r="G607" s="44"/>
      <c r="H607" s="44"/>
      <c r="I607" s="44"/>
      <c r="J607" s="44"/>
      <c r="K607" s="44"/>
      <c r="L607" s="44"/>
      <c r="M607" s="44"/>
      <c r="N607" s="44"/>
      <c r="O607" s="44"/>
    </row>
    <row r="608" spans="1:15" ht="17.25" customHeight="1">
      <c r="A608" s="44"/>
      <c r="B608" s="44"/>
      <c r="C608" s="44"/>
      <c r="D608" s="44"/>
      <c r="E608" s="44"/>
      <c r="F608" s="44"/>
      <c r="G608" s="44"/>
      <c r="H608" s="44"/>
      <c r="I608" s="44"/>
      <c r="J608" s="44"/>
      <c r="K608" s="44"/>
      <c r="L608" s="44"/>
      <c r="M608" s="44"/>
      <c r="N608" s="44"/>
      <c r="O608" s="44"/>
    </row>
    <row r="609" spans="1:15" ht="17.25" customHeight="1">
      <c r="A609" s="44"/>
      <c r="B609" s="44"/>
      <c r="C609" s="44"/>
      <c r="D609" s="44"/>
      <c r="E609" s="44"/>
      <c r="F609" s="44"/>
      <c r="G609" s="44"/>
      <c r="H609" s="44"/>
      <c r="I609" s="44"/>
      <c r="J609" s="44"/>
      <c r="K609" s="44"/>
      <c r="L609" s="44"/>
      <c r="M609" s="44"/>
      <c r="N609" s="44"/>
      <c r="O609" s="44"/>
    </row>
    <row r="610" spans="1:15" ht="17.25" customHeight="1">
      <c r="A610" s="44"/>
      <c r="B610" s="44"/>
      <c r="C610" s="44"/>
      <c r="D610" s="44"/>
      <c r="E610" s="44"/>
      <c r="F610" s="44"/>
      <c r="G610" s="44"/>
      <c r="H610" s="44"/>
      <c r="I610" s="44"/>
      <c r="J610" s="44"/>
      <c r="K610" s="44"/>
      <c r="L610" s="44"/>
      <c r="M610" s="44"/>
      <c r="N610" s="44"/>
      <c r="O610" s="44"/>
    </row>
    <row r="611" spans="1:15" ht="17.25" customHeight="1">
      <c r="A611" s="44"/>
      <c r="B611" s="44"/>
      <c r="C611" s="44"/>
      <c r="D611" s="44"/>
      <c r="E611" s="44"/>
      <c r="F611" s="44"/>
      <c r="G611" s="44"/>
      <c r="H611" s="44"/>
      <c r="I611" s="44"/>
      <c r="J611" s="44"/>
      <c r="K611" s="44"/>
      <c r="L611" s="44"/>
      <c r="M611" s="44"/>
      <c r="N611" s="44"/>
      <c r="O611" s="44"/>
    </row>
    <row r="612" spans="1:15" ht="17.25" customHeight="1">
      <c r="A612" s="44"/>
      <c r="B612" s="44"/>
      <c r="C612" s="44"/>
      <c r="D612" s="44"/>
      <c r="E612" s="44"/>
      <c r="F612" s="44"/>
      <c r="G612" s="44"/>
      <c r="H612" s="44"/>
      <c r="I612" s="44"/>
      <c r="J612" s="44"/>
      <c r="K612" s="44"/>
      <c r="L612" s="44"/>
      <c r="M612" s="44"/>
      <c r="N612" s="44"/>
      <c r="O612" s="44"/>
    </row>
    <row r="613" spans="1:15" ht="17.25" customHeight="1">
      <c r="A613" s="44"/>
      <c r="B613" s="44"/>
      <c r="C613" s="44"/>
      <c r="D613" s="44"/>
      <c r="E613" s="44"/>
      <c r="F613" s="44"/>
      <c r="G613" s="44"/>
      <c r="H613" s="44"/>
      <c r="I613" s="44"/>
      <c r="J613" s="44"/>
      <c r="K613" s="44"/>
      <c r="L613" s="44"/>
      <c r="M613" s="44"/>
      <c r="N613" s="44"/>
      <c r="O613" s="44"/>
    </row>
    <row r="614" spans="1:15" ht="17.25" customHeight="1">
      <c r="A614" s="44"/>
      <c r="B614" s="44"/>
      <c r="C614" s="44"/>
      <c r="D614" s="44"/>
      <c r="E614" s="44"/>
      <c r="F614" s="44"/>
      <c r="G614" s="44"/>
      <c r="H614" s="44"/>
      <c r="I614" s="44"/>
      <c r="J614" s="44"/>
      <c r="K614" s="44"/>
      <c r="L614" s="44"/>
      <c r="M614" s="44"/>
      <c r="N614" s="44"/>
      <c r="O614" s="44"/>
    </row>
    <row r="615" spans="1:15" ht="17.25" customHeight="1">
      <c r="A615" s="44"/>
      <c r="B615" s="44"/>
      <c r="C615" s="44"/>
      <c r="D615" s="44"/>
      <c r="E615" s="44"/>
      <c r="F615" s="44"/>
      <c r="G615" s="44"/>
      <c r="H615" s="44"/>
      <c r="I615" s="44"/>
      <c r="J615" s="44"/>
      <c r="K615" s="44"/>
      <c r="L615" s="44"/>
      <c r="M615" s="44"/>
      <c r="N615" s="44"/>
      <c r="O615" s="44"/>
    </row>
    <row r="616" spans="1:15" ht="17.25" customHeight="1">
      <c r="A616" s="44"/>
      <c r="B616" s="44"/>
      <c r="C616" s="44"/>
      <c r="D616" s="44"/>
      <c r="E616" s="44"/>
      <c r="F616" s="44"/>
      <c r="G616" s="44"/>
      <c r="H616" s="44"/>
      <c r="I616" s="44"/>
      <c r="J616" s="44"/>
      <c r="K616" s="44"/>
      <c r="L616" s="44"/>
      <c r="M616" s="44"/>
      <c r="N616" s="44"/>
      <c r="O616" s="44"/>
    </row>
    <row r="617" spans="1:15" ht="17.25" customHeight="1">
      <c r="A617" s="44"/>
      <c r="B617" s="44"/>
      <c r="C617" s="44"/>
      <c r="D617" s="44"/>
      <c r="E617" s="44"/>
      <c r="F617" s="44"/>
      <c r="G617" s="44"/>
      <c r="H617" s="44"/>
      <c r="I617" s="44"/>
      <c r="J617" s="44"/>
      <c r="K617" s="44"/>
      <c r="L617" s="44"/>
      <c r="M617" s="44"/>
      <c r="N617" s="44"/>
      <c r="O617" s="44"/>
    </row>
    <row r="618" spans="1:15" ht="17.25" customHeight="1">
      <c r="A618" s="44"/>
      <c r="B618" s="44"/>
      <c r="C618" s="44"/>
      <c r="D618" s="44"/>
      <c r="E618" s="44"/>
      <c r="F618" s="44"/>
      <c r="G618" s="44"/>
      <c r="H618" s="44"/>
      <c r="I618" s="44"/>
      <c r="J618" s="44"/>
      <c r="K618" s="44"/>
      <c r="L618" s="44"/>
      <c r="M618" s="44"/>
      <c r="N618" s="44"/>
      <c r="O618" s="44"/>
    </row>
    <row r="619" spans="1:15" ht="17.25" customHeight="1">
      <c r="A619" s="44"/>
      <c r="B619" s="44"/>
      <c r="C619" s="44"/>
      <c r="D619" s="44"/>
      <c r="E619" s="44"/>
      <c r="F619" s="44"/>
      <c r="G619" s="44"/>
      <c r="H619" s="44"/>
      <c r="I619" s="44"/>
      <c r="J619" s="44"/>
      <c r="K619" s="44"/>
      <c r="L619" s="44"/>
      <c r="M619" s="44"/>
      <c r="N619" s="44"/>
      <c r="O619" s="44"/>
    </row>
    <row r="620" spans="1:15" ht="17.25" customHeight="1">
      <c r="A620" s="44"/>
      <c r="B620" s="44"/>
      <c r="C620" s="44"/>
      <c r="D620" s="44"/>
      <c r="E620" s="44"/>
      <c r="F620" s="44"/>
      <c r="G620" s="44"/>
      <c r="H620" s="44"/>
      <c r="I620" s="44"/>
      <c r="J620" s="44"/>
      <c r="K620" s="44"/>
      <c r="L620" s="44"/>
      <c r="M620" s="44"/>
      <c r="N620" s="44"/>
      <c r="O620" s="44"/>
    </row>
    <row r="621" spans="1:15" ht="17.25" customHeight="1">
      <c r="A621" s="44"/>
      <c r="B621" s="44"/>
      <c r="C621" s="44"/>
      <c r="D621" s="44"/>
      <c r="E621" s="44"/>
      <c r="F621" s="44"/>
      <c r="G621" s="44"/>
      <c r="H621" s="44"/>
      <c r="I621" s="44"/>
      <c r="J621" s="44"/>
      <c r="K621" s="44"/>
      <c r="L621" s="44"/>
      <c r="M621" s="44"/>
      <c r="N621" s="44"/>
      <c r="O621" s="44"/>
    </row>
    <row r="622" spans="1:15" ht="17.25" customHeight="1">
      <c r="A622" s="44"/>
      <c r="B622" s="44"/>
      <c r="C622" s="44"/>
      <c r="D622" s="44"/>
      <c r="E622" s="44"/>
      <c r="F622" s="44"/>
      <c r="G622" s="44"/>
      <c r="H622" s="44"/>
      <c r="I622" s="44"/>
      <c r="J622" s="44"/>
      <c r="K622" s="44"/>
      <c r="L622" s="44"/>
      <c r="M622" s="44"/>
      <c r="N622" s="44"/>
      <c r="O622" s="44"/>
    </row>
    <row r="623" spans="1:15" ht="17.25" customHeight="1">
      <c r="A623" s="44"/>
      <c r="B623" s="44"/>
      <c r="C623" s="44"/>
      <c r="D623" s="44"/>
      <c r="E623" s="44"/>
      <c r="F623" s="44"/>
      <c r="G623" s="44"/>
      <c r="H623" s="44"/>
      <c r="I623" s="44"/>
      <c r="J623" s="44"/>
      <c r="K623" s="44"/>
      <c r="L623" s="44"/>
      <c r="M623" s="44"/>
      <c r="N623" s="44"/>
      <c r="O623" s="44"/>
    </row>
    <row r="624" spans="1:15" ht="17.25" customHeight="1">
      <c r="A624" s="44"/>
      <c r="B624" s="44"/>
      <c r="C624" s="44"/>
      <c r="D624" s="44"/>
      <c r="E624" s="44"/>
      <c r="F624" s="44"/>
      <c r="G624" s="44"/>
      <c r="H624" s="44"/>
      <c r="I624" s="44"/>
      <c r="J624" s="44"/>
      <c r="K624" s="44"/>
      <c r="L624" s="44"/>
      <c r="M624" s="44"/>
      <c r="N624" s="44"/>
      <c r="O624" s="44"/>
    </row>
    <row r="625" spans="1:15" ht="17.25" customHeight="1">
      <c r="A625" s="44"/>
      <c r="B625" s="44"/>
      <c r="C625" s="44"/>
      <c r="D625" s="44"/>
      <c r="E625" s="44"/>
      <c r="F625" s="44"/>
      <c r="G625" s="44"/>
      <c r="H625" s="44"/>
      <c r="I625" s="44"/>
      <c r="J625" s="44"/>
      <c r="K625" s="44"/>
      <c r="L625" s="44"/>
      <c r="M625" s="44"/>
      <c r="N625" s="44"/>
      <c r="O625" s="44"/>
    </row>
    <row r="626" spans="1:15" ht="17.25" customHeight="1">
      <c r="A626" s="44"/>
      <c r="B626" s="44"/>
      <c r="C626" s="44"/>
      <c r="D626" s="44"/>
      <c r="E626" s="44"/>
      <c r="F626" s="44"/>
      <c r="G626" s="44"/>
      <c r="H626" s="44"/>
      <c r="I626" s="44"/>
      <c r="J626" s="44"/>
      <c r="K626" s="44"/>
      <c r="L626" s="44"/>
      <c r="M626" s="44"/>
      <c r="N626" s="44"/>
      <c r="O626" s="44"/>
    </row>
    <row r="627" spans="1:15" ht="17.25" customHeight="1">
      <c r="A627" s="44"/>
      <c r="B627" s="44"/>
      <c r="C627" s="44"/>
      <c r="D627" s="44"/>
      <c r="E627" s="44"/>
      <c r="F627" s="44"/>
      <c r="G627" s="44"/>
      <c r="H627" s="44"/>
      <c r="I627" s="44"/>
      <c r="J627" s="44"/>
      <c r="K627" s="44"/>
      <c r="L627" s="44"/>
      <c r="M627" s="44"/>
      <c r="N627" s="44"/>
      <c r="O627" s="44"/>
    </row>
    <row r="628" spans="1:15" ht="17.25" customHeight="1">
      <c r="A628" s="44"/>
      <c r="B628" s="44"/>
      <c r="C628" s="44"/>
      <c r="D628" s="44"/>
      <c r="E628" s="44"/>
      <c r="F628" s="44"/>
      <c r="G628" s="44"/>
      <c r="H628" s="44"/>
      <c r="I628" s="44"/>
      <c r="J628" s="44"/>
      <c r="K628" s="44"/>
      <c r="L628" s="44"/>
      <c r="M628" s="44"/>
      <c r="N628" s="44"/>
      <c r="O628" s="44"/>
    </row>
    <row r="629" spans="1:15" ht="17.25" customHeight="1">
      <c r="A629" s="44"/>
      <c r="B629" s="44"/>
      <c r="C629" s="44"/>
      <c r="D629" s="44"/>
      <c r="E629" s="44"/>
      <c r="F629" s="44"/>
      <c r="G629" s="44"/>
      <c r="H629" s="44"/>
      <c r="I629" s="44"/>
      <c r="J629" s="44"/>
      <c r="K629" s="44"/>
      <c r="L629" s="44"/>
      <c r="M629" s="44"/>
      <c r="N629" s="44"/>
      <c r="O629" s="44"/>
    </row>
    <row r="630" spans="1:15" ht="17.25" customHeight="1">
      <c r="A630" s="44"/>
      <c r="B630" s="44"/>
      <c r="C630" s="44"/>
      <c r="D630" s="44"/>
      <c r="E630" s="44"/>
      <c r="F630" s="44"/>
      <c r="G630" s="44"/>
      <c r="H630" s="44"/>
      <c r="I630" s="44"/>
      <c r="J630" s="44"/>
      <c r="K630" s="44"/>
      <c r="L630" s="44"/>
      <c r="M630" s="44"/>
      <c r="N630" s="44"/>
      <c r="O630" s="44"/>
    </row>
    <row r="631" spans="1:15" ht="17.25" customHeight="1">
      <c r="A631" s="44"/>
      <c r="B631" s="44"/>
      <c r="C631" s="44"/>
      <c r="D631" s="44"/>
      <c r="E631" s="44"/>
      <c r="F631" s="44"/>
      <c r="G631" s="44"/>
      <c r="H631" s="44"/>
      <c r="I631" s="44"/>
      <c r="J631" s="44"/>
      <c r="K631" s="44"/>
      <c r="L631" s="44"/>
      <c r="M631" s="44"/>
      <c r="N631" s="44"/>
      <c r="O631" s="44"/>
    </row>
    <row r="632" spans="1:15" ht="17.25" customHeight="1">
      <c r="A632" s="44"/>
      <c r="B632" s="44"/>
      <c r="C632" s="44"/>
      <c r="D632" s="44"/>
      <c r="E632" s="44"/>
      <c r="F632" s="44"/>
      <c r="G632" s="44"/>
      <c r="H632" s="44"/>
      <c r="I632" s="44"/>
      <c r="J632" s="44"/>
      <c r="K632" s="44"/>
      <c r="L632" s="44"/>
      <c r="M632" s="44"/>
      <c r="N632" s="44"/>
      <c r="O632" s="44"/>
    </row>
    <row r="633" spans="1:15" ht="17.25" customHeight="1">
      <c r="A633" s="44"/>
      <c r="B633" s="44"/>
      <c r="C633" s="44"/>
      <c r="D633" s="44"/>
      <c r="E633" s="44"/>
      <c r="F633" s="44"/>
      <c r="G633" s="44"/>
      <c r="H633" s="44"/>
      <c r="I633" s="44"/>
      <c r="J633" s="44"/>
      <c r="K633" s="44"/>
      <c r="L633" s="44"/>
      <c r="M633" s="44"/>
      <c r="N633" s="44"/>
      <c r="O633" s="44"/>
    </row>
    <row r="634" spans="1:15" ht="17.25" customHeight="1">
      <c r="A634" s="44"/>
      <c r="B634" s="44"/>
      <c r="C634" s="44"/>
      <c r="D634" s="44"/>
      <c r="E634" s="44"/>
      <c r="F634" s="44"/>
      <c r="G634" s="44"/>
      <c r="H634" s="44"/>
      <c r="I634" s="44"/>
      <c r="J634" s="44"/>
      <c r="K634" s="44"/>
      <c r="L634" s="44"/>
      <c r="M634" s="44"/>
      <c r="N634" s="44"/>
      <c r="O634" s="44"/>
    </row>
    <row r="635" spans="1:15" ht="17.25" customHeight="1">
      <c r="A635" s="44"/>
      <c r="B635" s="44"/>
      <c r="C635" s="44"/>
      <c r="D635" s="44"/>
      <c r="E635" s="44"/>
      <c r="F635" s="44"/>
      <c r="G635" s="44"/>
      <c r="H635" s="44"/>
      <c r="I635" s="44"/>
      <c r="J635" s="44"/>
      <c r="K635" s="44"/>
      <c r="L635" s="44"/>
      <c r="M635" s="44"/>
      <c r="N635" s="44"/>
      <c r="O635" s="44"/>
    </row>
    <row r="636" spans="1:15" ht="17.25" customHeight="1">
      <c r="A636" s="44"/>
      <c r="B636" s="44"/>
      <c r="C636" s="44"/>
      <c r="D636" s="44"/>
      <c r="E636" s="44"/>
      <c r="F636" s="44"/>
      <c r="G636" s="44"/>
      <c r="H636" s="44"/>
      <c r="I636" s="44"/>
      <c r="J636" s="44"/>
      <c r="K636" s="44"/>
      <c r="L636" s="44"/>
      <c r="M636" s="44"/>
      <c r="N636" s="44"/>
      <c r="O636" s="44"/>
    </row>
    <row r="637" spans="1:15" ht="17.25" customHeight="1">
      <c r="A637" s="44"/>
      <c r="B637" s="44"/>
      <c r="C637" s="44"/>
      <c r="D637" s="44"/>
      <c r="E637" s="44"/>
      <c r="F637" s="44"/>
      <c r="G637" s="44"/>
      <c r="H637" s="44"/>
      <c r="I637" s="44"/>
      <c r="J637" s="44"/>
      <c r="K637" s="44"/>
      <c r="L637" s="44"/>
      <c r="M637" s="44"/>
      <c r="N637" s="44"/>
      <c r="O637" s="44"/>
    </row>
    <row r="638" spans="1:15" ht="17.25" customHeight="1">
      <c r="A638" s="44"/>
      <c r="B638" s="44"/>
      <c r="C638" s="44"/>
      <c r="D638" s="44"/>
      <c r="E638" s="44"/>
      <c r="F638" s="44"/>
      <c r="G638" s="44"/>
      <c r="H638" s="44"/>
      <c r="I638" s="44"/>
      <c r="J638" s="44"/>
      <c r="K638" s="44"/>
      <c r="L638" s="44"/>
      <c r="M638" s="44"/>
      <c r="N638" s="44"/>
      <c r="O638" s="44"/>
    </row>
    <row r="639" spans="1:15" ht="17.25" customHeight="1">
      <c r="A639" s="44"/>
      <c r="B639" s="44"/>
      <c r="C639" s="44"/>
      <c r="D639" s="44"/>
      <c r="E639" s="44"/>
      <c r="F639" s="44"/>
      <c r="G639" s="44"/>
      <c r="H639" s="44"/>
      <c r="I639" s="44"/>
      <c r="J639" s="44"/>
      <c r="K639" s="44"/>
      <c r="L639" s="44"/>
      <c r="M639" s="44"/>
      <c r="N639" s="44"/>
      <c r="O639" s="44"/>
    </row>
    <row r="640" spans="1:15" ht="17.25" customHeight="1">
      <c r="A640" s="44"/>
      <c r="B640" s="44"/>
      <c r="C640" s="44"/>
      <c r="D640" s="44"/>
      <c r="E640" s="44"/>
      <c r="F640" s="44"/>
      <c r="G640" s="44"/>
      <c r="H640" s="44"/>
      <c r="I640" s="44"/>
      <c r="J640" s="44"/>
      <c r="K640" s="44"/>
      <c r="L640" s="44"/>
      <c r="M640" s="44"/>
      <c r="N640" s="44"/>
      <c r="O640" s="44"/>
    </row>
    <row r="641" spans="1:15" ht="17.25" customHeight="1">
      <c r="A641" s="44"/>
      <c r="B641" s="44"/>
      <c r="C641" s="44"/>
      <c r="D641" s="44"/>
      <c r="E641" s="44"/>
      <c r="F641" s="44"/>
      <c r="G641" s="44"/>
      <c r="H641" s="44"/>
      <c r="I641" s="44"/>
      <c r="J641" s="44"/>
      <c r="K641" s="44"/>
      <c r="L641" s="44"/>
      <c r="M641" s="44"/>
      <c r="N641" s="44"/>
      <c r="O641" s="44"/>
    </row>
    <row r="642" spans="1:15" ht="17.25" customHeight="1">
      <c r="A642" s="44"/>
      <c r="B642" s="44"/>
      <c r="C642" s="44"/>
      <c r="D642" s="44"/>
      <c r="E642" s="44"/>
      <c r="F642" s="44"/>
      <c r="G642" s="44"/>
      <c r="H642" s="44"/>
      <c r="I642" s="44"/>
      <c r="J642" s="44"/>
      <c r="K642" s="44"/>
      <c r="L642" s="44"/>
      <c r="M642" s="44"/>
      <c r="N642" s="44"/>
      <c r="O642" s="44"/>
    </row>
    <row r="643" spans="1:15" ht="17.25" customHeight="1">
      <c r="A643" s="44"/>
      <c r="B643" s="44"/>
      <c r="C643" s="44"/>
      <c r="D643" s="44"/>
      <c r="E643" s="44"/>
      <c r="F643" s="44"/>
      <c r="G643" s="44"/>
      <c r="H643" s="44"/>
      <c r="I643" s="44"/>
      <c r="J643" s="44"/>
      <c r="K643" s="44"/>
      <c r="L643" s="44"/>
      <c r="M643" s="44"/>
      <c r="N643" s="44"/>
      <c r="O643" s="44"/>
    </row>
    <row r="644" spans="1:15" ht="17.25" customHeight="1">
      <c r="A644" s="44"/>
      <c r="B644" s="44"/>
      <c r="C644" s="44"/>
      <c r="D644" s="44"/>
      <c r="E644" s="44"/>
      <c r="F644" s="44"/>
      <c r="G644" s="44"/>
      <c r="H644" s="44"/>
      <c r="I644" s="44"/>
      <c r="J644" s="44"/>
      <c r="K644" s="44"/>
      <c r="L644" s="44"/>
      <c r="M644" s="44"/>
      <c r="N644" s="44"/>
      <c r="O644" s="44"/>
    </row>
    <row r="645" spans="1:15" ht="17.25" customHeight="1">
      <c r="A645" s="44"/>
      <c r="B645" s="44"/>
      <c r="C645" s="44"/>
      <c r="D645" s="44"/>
      <c r="E645" s="44"/>
      <c r="F645" s="44"/>
      <c r="G645" s="44"/>
      <c r="H645" s="44"/>
      <c r="I645" s="44"/>
      <c r="J645" s="44"/>
      <c r="K645" s="44"/>
      <c r="L645" s="44"/>
      <c r="M645" s="44"/>
      <c r="N645" s="44"/>
      <c r="O645" s="44"/>
    </row>
    <row r="646" spans="1:15" ht="17.25" customHeight="1">
      <c r="A646" s="44"/>
      <c r="B646" s="44"/>
      <c r="C646" s="44"/>
      <c r="D646" s="44"/>
      <c r="E646" s="44"/>
      <c r="F646" s="44"/>
      <c r="G646" s="44"/>
      <c r="H646" s="44"/>
      <c r="I646" s="44"/>
      <c r="J646" s="44"/>
      <c r="K646" s="44"/>
      <c r="L646" s="44"/>
      <c r="M646" s="44"/>
      <c r="N646" s="44"/>
      <c r="O646" s="44"/>
    </row>
    <row r="647" spans="1:15" ht="17.25" customHeight="1">
      <c r="A647" s="44"/>
      <c r="B647" s="44"/>
      <c r="C647" s="44"/>
      <c r="D647" s="44"/>
      <c r="E647" s="44"/>
      <c r="F647" s="44"/>
      <c r="G647" s="44"/>
      <c r="H647" s="44"/>
      <c r="I647" s="44"/>
      <c r="J647" s="44"/>
      <c r="K647" s="44"/>
      <c r="L647" s="44"/>
      <c r="M647" s="44"/>
      <c r="N647" s="44"/>
      <c r="O647" s="44"/>
    </row>
    <row r="648" spans="1:15" ht="17.25" customHeight="1">
      <c r="A648" s="44"/>
      <c r="B648" s="44"/>
      <c r="C648" s="44"/>
      <c r="D648" s="44"/>
      <c r="E648" s="44"/>
      <c r="F648" s="44"/>
      <c r="G648" s="44"/>
      <c r="H648" s="44"/>
      <c r="I648" s="44"/>
      <c r="J648" s="44"/>
      <c r="K648" s="44"/>
      <c r="L648" s="44"/>
      <c r="M648" s="44"/>
      <c r="N648" s="44"/>
      <c r="O648" s="44"/>
    </row>
    <row r="649" spans="1:15" ht="17.25" customHeight="1">
      <c r="A649" s="44"/>
      <c r="B649" s="44"/>
      <c r="C649" s="44"/>
      <c r="D649" s="44"/>
      <c r="E649" s="44"/>
      <c r="F649" s="44"/>
      <c r="G649" s="44"/>
      <c r="H649" s="44"/>
      <c r="I649" s="44"/>
      <c r="J649" s="44"/>
      <c r="K649" s="44"/>
      <c r="L649" s="44"/>
      <c r="M649" s="44"/>
      <c r="N649" s="44"/>
      <c r="O649" s="44"/>
    </row>
    <row r="650" spans="1:15" ht="17.25" customHeight="1">
      <c r="A650" s="44"/>
      <c r="B650" s="44"/>
      <c r="C650" s="44"/>
      <c r="D650" s="44"/>
      <c r="E650" s="44"/>
      <c r="F650" s="44"/>
      <c r="G650" s="44"/>
      <c r="H650" s="44"/>
      <c r="I650" s="44"/>
      <c r="J650" s="44"/>
      <c r="K650" s="44"/>
      <c r="L650" s="44"/>
      <c r="M650" s="44"/>
      <c r="N650" s="44"/>
      <c r="O650" s="44"/>
    </row>
    <row r="651" spans="1:15" ht="17.25" customHeight="1">
      <c r="A651" s="44"/>
      <c r="B651" s="44"/>
      <c r="C651" s="44"/>
      <c r="D651" s="44"/>
      <c r="E651" s="44"/>
      <c r="F651" s="44"/>
      <c r="G651" s="44"/>
      <c r="H651" s="44"/>
      <c r="I651" s="44"/>
      <c r="J651" s="44"/>
      <c r="K651" s="44"/>
      <c r="L651" s="44"/>
      <c r="M651" s="44"/>
      <c r="N651" s="44"/>
      <c r="O651" s="44"/>
    </row>
    <row r="652" spans="1:15" ht="17.25" customHeight="1">
      <c r="A652" s="44"/>
      <c r="B652" s="44"/>
      <c r="C652" s="44"/>
      <c r="D652" s="44"/>
      <c r="E652" s="44"/>
      <c r="F652" s="44"/>
      <c r="G652" s="44"/>
      <c r="H652" s="44"/>
      <c r="I652" s="44"/>
      <c r="J652" s="44"/>
      <c r="K652" s="44"/>
      <c r="L652" s="44"/>
      <c r="M652" s="44"/>
      <c r="N652" s="44"/>
      <c r="O652" s="44"/>
    </row>
    <row r="653" spans="1:15" ht="17.25" customHeight="1">
      <c r="A653" s="44"/>
      <c r="B653" s="44"/>
      <c r="C653" s="44"/>
      <c r="D653" s="44"/>
      <c r="E653" s="44"/>
      <c r="F653" s="44"/>
      <c r="G653" s="44"/>
      <c r="H653" s="44"/>
      <c r="I653" s="44"/>
      <c r="J653" s="44"/>
      <c r="K653" s="44"/>
      <c r="L653" s="44"/>
      <c r="M653" s="44"/>
      <c r="N653" s="44"/>
      <c r="O653" s="44"/>
    </row>
    <row r="654" spans="1:15" ht="17.25" customHeight="1">
      <c r="A654" s="44"/>
      <c r="B654" s="44"/>
      <c r="C654" s="44"/>
      <c r="D654" s="44"/>
      <c r="E654" s="44"/>
      <c r="F654" s="44"/>
      <c r="G654" s="44"/>
      <c r="H654" s="44"/>
      <c r="I654" s="44"/>
      <c r="J654" s="44"/>
      <c r="K654" s="44"/>
      <c r="L654" s="44"/>
      <c r="M654" s="44"/>
      <c r="N654" s="44"/>
      <c r="O654" s="44"/>
    </row>
    <row r="655" spans="1:15" ht="17.25" customHeight="1">
      <c r="A655" s="44"/>
      <c r="B655" s="44"/>
      <c r="C655" s="44"/>
      <c r="D655" s="44"/>
      <c r="E655" s="44"/>
      <c r="F655" s="44"/>
      <c r="G655" s="44"/>
      <c r="H655" s="44"/>
      <c r="I655" s="44"/>
      <c r="J655" s="44"/>
      <c r="K655" s="44"/>
      <c r="L655" s="44"/>
      <c r="M655" s="44"/>
      <c r="N655" s="44"/>
      <c r="O655" s="44"/>
    </row>
    <row r="656" spans="1:15" ht="17.25" customHeight="1">
      <c r="A656" s="44"/>
      <c r="B656" s="44"/>
      <c r="C656" s="44"/>
      <c r="D656" s="44"/>
      <c r="E656" s="44"/>
      <c r="F656" s="44"/>
      <c r="G656" s="44"/>
      <c r="H656" s="44"/>
      <c r="I656" s="44"/>
      <c r="J656" s="44"/>
      <c r="K656" s="44"/>
      <c r="L656" s="44"/>
      <c r="M656" s="44"/>
      <c r="N656" s="44"/>
      <c r="O656" s="44"/>
    </row>
    <row r="657" spans="1:15" ht="17.25" customHeight="1">
      <c r="A657" s="44"/>
      <c r="B657" s="44"/>
      <c r="C657" s="44"/>
      <c r="D657" s="44"/>
      <c r="E657" s="44"/>
      <c r="F657" s="44"/>
      <c r="G657" s="44"/>
      <c r="H657" s="44"/>
      <c r="I657" s="44"/>
      <c r="J657" s="44"/>
      <c r="K657" s="44"/>
      <c r="L657" s="44"/>
      <c r="M657" s="44"/>
      <c r="N657" s="44"/>
      <c r="O657" s="44"/>
    </row>
    <row r="658" spans="1:15" ht="17.25" customHeight="1">
      <c r="A658" s="44"/>
      <c r="B658" s="44"/>
      <c r="C658" s="44"/>
      <c r="D658" s="44"/>
      <c r="E658" s="44"/>
      <c r="F658" s="44"/>
      <c r="G658" s="44"/>
      <c r="H658" s="44"/>
      <c r="I658" s="44"/>
      <c r="J658" s="44"/>
      <c r="K658" s="44"/>
      <c r="L658" s="44"/>
      <c r="M658" s="44"/>
      <c r="N658" s="44"/>
      <c r="O658" s="44"/>
    </row>
    <row r="659" spans="1:15" ht="17.25" customHeight="1">
      <c r="A659" s="44"/>
      <c r="B659" s="44"/>
      <c r="C659" s="44"/>
      <c r="D659" s="44"/>
      <c r="E659" s="44"/>
      <c r="F659" s="44"/>
      <c r="G659" s="44"/>
      <c r="H659" s="44"/>
      <c r="I659" s="44"/>
      <c r="J659" s="44"/>
      <c r="K659" s="44"/>
      <c r="L659" s="44"/>
      <c r="M659" s="44"/>
      <c r="N659" s="44"/>
      <c r="O659" s="44"/>
    </row>
    <row r="660" spans="1:15" ht="17.25" customHeight="1">
      <c r="A660" s="44"/>
      <c r="B660" s="44"/>
      <c r="C660" s="44"/>
      <c r="D660" s="44"/>
      <c r="E660" s="44"/>
      <c r="F660" s="44"/>
      <c r="G660" s="44"/>
      <c r="H660" s="44"/>
      <c r="I660" s="44"/>
      <c r="J660" s="44"/>
      <c r="K660" s="44"/>
      <c r="L660" s="44"/>
      <c r="M660" s="44"/>
      <c r="N660" s="44"/>
      <c r="O660" s="44"/>
    </row>
    <row r="661" spans="1:15" ht="17.25" customHeight="1">
      <c r="A661" s="44"/>
      <c r="B661" s="44"/>
      <c r="C661" s="44"/>
      <c r="D661" s="44"/>
      <c r="E661" s="44"/>
      <c r="F661" s="44"/>
      <c r="G661" s="44"/>
      <c r="H661" s="44"/>
      <c r="I661" s="44"/>
      <c r="J661" s="44"/>
      <c r="K661" s="44"/>
      <c r="L661" s="44"/>
      <c r="M661" s="44"/>
      <c r="N661" s="44"/>
      <c r="O661" s="44"/>
    </row>
    <row r="662" spans="1:15" ht="17.25" customHeight="1">
      <c r="A662" s="44"/>
      <c r="B662" s="44"/>
      <c r="C662" s="44"/>
      <c r="D662" s="44"/>
      <c r="E662" s="44"/>
      <c r="F662" s="44"/>
      <c r="G662" s="44"/>
      <c r="H662" s="44"/>
      <c r="I662" s="44"/>
      <c r="J662" s="44"/>
      <c r="K662" s="44"/>
      <c r="L662" s="44"/>
      <c r="M662" s="44"/>
      <c r="N662" s="44"/>
      <c r="O662" s="44"/>
    </row>
    <row r="663" spans="1:15" ht="17.25" customHeight="1">
      <c r="A663" s="44"/>
      <c r="B663" s="44"/>
      <c r="C663" s="44"/>
      <c r="D663" s="44"/>
      <c r="E663" s="44"/>
      <c r="F663" s="44"/>
      <c r="G663" s="44"/>
      <c r="H663" s="44"/>
      <c r="I663" s="44"/>
      <c r="J663" s="44"/>
      <c r="K663" s="44"/>
      <c r="L663" s="44"/>
      <c r="M663" s="44"/>
      <c r="N663" s="44"/>
      <c r="O663" s="44"/>
    </row>
    <row r="664" spans="1:15" ht="17.25" customHeight="1">
      <c r="A664" s="44"/>
      <c r="B664" s="44"/>
      <c r="C664" s="44"/>
      <c r="D664" s="44"/>
      <c r="E664" s="44"/>
      <c r="F664" s="44"/>
      <c r="G664" s="44"/>
      <c r="H664" s="44"/>
      <c r="I664" s="44"/>
      <c r="J664" s="44"/>
      <c r="K664" s="44"/>
      <c r="L664" s="44"/>
      <c r="M664" s="44"/>
      <c r="N664" s="44"/>
      <c r="O664" s="44"/>
    </row>
    <row r="665" spans="1:15" ht="17.25" customHeight="1">
      <c r="A665" s="44"/>
      <c r="B665" s="44"/>
      <c r="C665" s="44"/>
      <c r="D665" s="44"/>
      <c r="E665" s="44"/>
      <c r="F665" s="44"/>
      <c r="G665" s="44"/>
      <c r="H665" s="44"/>
      <c r="I665" s="44"/>
      <c r="J665" s="44"/>
      <c r="K665" s="44"/>
      <c r="L665" s="44"/>
      <c r="M665" s="44"/>
      <c r="N665" s="44"/>
      <c r="O665" s="44"/>
    </row>
    <row r="666" spans="1:15" ht="17.25" customHeight="1">
      <c r="A666" s="44"/>
      <c r="B666" s="44"/>
      <c r="C666" s="44"/>
      <c r="D666" s="44"/>
      <c r="E666" s="44"/>
      <c r="F666" s="44"/>
      <c r="G666" s="44"/>
      <c r="H666" s="44"/>
      <c r="I666" s="44"/>
      <c r="J666" s="44"/>
      <c r="K666" s="44"/>
      <c r="L666" s="44"/>
      <c r="M666" s="44"/>
      <c r="N666" s="44"/>
      <c r="O666" s="44"/>
    </row>
    <row r="667" spans="1:15" ht="17.25" customHeight="1">
      <c r="A667" s="44"/>
      <c r="B667" s="44"/>
      <c r="C667" s="44"/>
      <c r="D667" s="44"/>
      <c r="E667" s="44"/>
      <c r="F667" s="44"/>
      <c r="G667" s="44"/>
      <c r="H667" s="44"/>
      <c r="I667" s="44"/>
      <c r="J667" s="44"/>
      <c r="K667" s="44"/>
      <c r="L667" s="44"/>
      <c r="M667" s="44"/>
      <c r="N667" s="44"/>
      <c r="O667" s="44"/>
    </row>
    <row r="668" spans="1:15" ht="17.25" customHeight="1">
      <c r="A668" s="44"/>
      <c r="B668" s="44"/>
      <c r="C668" s="44"/>
      <c r="D668" s="44"/>
      <c r="E668" s="44"/>
      <c r="F668" s="44"/>
      <c r="G668" s="44"/>
      <c r="H668" s="44"/>
      <c r="I668" s="44"/>
      <c r="J668" s="44"/>
      <c r="K668" s="44"/>
      <c r="L668" s="44"/>
      <c r="M668" s="44"/>
      <c r="N668" s="44"/>
      <c r="O668" s="44"/>
    </row>
    <row r="669" spans="1:15" ht="17.25" customHeight="1">
      <c r="A669" s="44"/>
      <c r="B669" s="44"/>
      <c r="C669" s="44"/>
      <c r="D669" s="44"/>
      <c r="E669" s="44"/>
      <c r="F669" s="44"/>
      <c r="G669" s="44"/>
      <c r="H669" s="44"/>
      <c r="I669" s="44"/>
      <c r="J669" s="44"/>
      <c r="K669" s="44"/>
      <c r="L669" s="44"/>
      <c r="M669" s="44"/>
      <c r="N669" s="44"/>
      <c r="O669" s="44"/>
    </row>
    <row r="670" spans="1:15" ht="17.25" customHeight="1">
      <c r="A670" s="44"/>
      <c r="B670" s="44"/>
      <c r="C670" s="44"/>
      <c r="D670" s="44"/>
      <c r="E670" s="44"/>
      <c r="F670" s="44"/>
      <c r="G670" s="44"/>
      <c r="H670" s="44"/>
      <c r="I670" s="44"/>
      <c r="J670" s="44"/>
      <c r="K670" s="44"/>
      <c r="L670" s="44"/>
      <c r="M670" s="44"/>
      <c r="N670" s="44"/>
      <c r="O670" s="44"/>
    </row>
    <row r="671" spans="1:15" ht="17.25" customHeight="1">
      <c r="A671" s="44"/>
      <c r="B671" s="44"/>
      <c r="C671" s="44"/>
      <c r="D671" s="44"/>
      <c r="E671" s="44"/>
      <c r="F671" s="44"/>
      <c r="G671" s="44"/>
      <c r="H671" s="44"/>
      <c r="I671" s="44"/>
      <c r="J671" s="44"/>
      <c r="K671" s="44"/>
      <c r="L671" s="44"/>
      <c r="M671" s="44"/>
      <c r="N671" s="44"/>
      <c r="O671" s="44"/>
    </row>
    <row r="672" spans="1:15" ht="17.25" customHeight="1">
      <c r="A672" s="44"/>
      <c r="B672" s="44"/>
      <c r="C672" s="44"/>
      <c r="D672" s="44"/>
      <c r="E672" s="44"/>
      <c r="F672" s="44"/>
      <c r="G672" s="44"/>
      <c r="H672" s="44"/>
      <c r="I672" s="44"/>
      <c r="J672" s="44"/>
      <c r="K672" s="44"/>
      <c r="L672" s="44"/>
      <c r="M672" s="44"/>
      <c r="N672" s="44"/>
      <c r="O672" s="44"/>
    </row>
    <row r="673" spans="1:15" ht="17.25" customHeight="1">
      <c r="A673" s="44"/>
      <c r="B673" s="44"/>
      <c r="C673" s="44"/>
      <c r="D673" s="44"/>
      <c r="E673" s="44"/>
      <c r="F673" s="44"/>
      <c r="G673" s="44"/>
      <c r="H673" s="44"/>
      <c r="I673" s="44"/>
      <c r="J673" s="44"/>
      <c r="K673" s="44"/>
      <c r="L673" s="44"/>
      <c r="M673" s="44"/>
      <c r="N673" s="44"/>
      <c r="O673" s="44"/>
    </row>
    <row r="674" spans="1:15" ht="17.25" customHeight="1">
      <c r="A674" s="44"/>
      <c r="B674" s="44"/>
      <c r="C674" s="44"/>
      <c r="D674" s="44"/>
      <c r="E674" s="44"/>
      <c r="F674" s="44"/>
      <c r="G674" s="44"/>
      <c r="H674" s="44"/>
      <c r="I674" s="44"/>
      <c r="J674" s="44"/>
      <c r="K674" s="44"/>
      <c r="L674" s="44"/>
      <c r="M674" s="44"/>
      <c r="N674" s="44"/>
      <c r="O674" s="44"/>
    </row>
    <row r="675" spans="1:15" ht="17.25" customHeight="1">
      <c r="A675" s="44"/>
      <c r="B675" s="44"/>
      <c r="C675" s="44"/>
      <c r="D675" s="44"/>
      <c r="E675" s="44"/>
      <c r="F675" s="44"/>
      <c r="G675" s="44"/>
      <c r="H675" s="44"/>
      <c r="I675" s="44"/>
      <c r="J675" s="44"/>
      <c r="K675" s="44"/>
      <c r="L675" s="44"/>
      <c r="M675" s="44"/>
      <c r="N675" s="44"/>
      <c r="O675" s="44"/>
    </row>
    <row r="676" spans="1:15" ht="17.25" customHeight="1">
      <c r="A676" s="44"/>
      <c r="B676" s="44"/>
      <c r="C676" s="44"/>
      <c r="D676" s="44"/>
      <c r="E676" s="44"/>
      <c r="F676" s="44"/>
      <c r="G676" s="44"/>
      <c r="H676" s="44"/>
      <c r="I676" s="44"/>
      <c r="J676" s="44"/>
      <c r="K676" s="44"/>
      <c r="L676" s="44"/>
      <c r="M676" s="44"/>
      <c r="N676" s="44"/>
      <c r="O676" s="44"/>
    </row>
    <row r="677" spans="1:15" ht="17.25" customHeight="1">
      <c r="A677" s="44"/>
      <c r="B677" s="44"/>
      <c r="C677" s="44"/>
      <c r="D677" s="44"/>
      <c r="E677" s="44"/>
      <c r="F677" s="44"/>
      <c r="G677" s="44"/>
      <c r="H677" s="44"/>
      <c r="I677" s="44"/>
      <c r="J677" s="44"/>
      <c r="K677" s="44"/>
      <c r="L677" s="44"/>
      <c r="M677" s="44"/>
      <c r="N677" s="44"/>
      <c r="O677" s="44"/>
    </row>
    <row r="678" spans="1:15" ht="17.25" customHeight="1">
      <c r="A678" s="44"/>
      <c r="B678" s="44"/>
      <c r="C678" s="44"/>
      <c r="D678" s="44"/>
      <c r="E678" s="44"/>
      <c r="F678" s="44"/>
      <c r="G678" s="44"/>
      <c r="H678" s="44"/>
      <c r="I678" s="44"/>
      <c r="J678" s="44"/>
      <c r="K678" s="44"/>
      <c r="L678" s="44"/>
      <c r="M678" s="44"/>
      <c r="N678" s="44"/>
      <c r="O678" s="44"/>
    </row>
    <row r="679" spans="1:15" ht="17.25" customHeight="1">
      <c r="A679" s="44"/>
      <c r="B679" s="44"/>
      <c r="C679" s="44"/>
      <c r="D679" s="44"/>
      <c r="E679" s="44"/>
      <c r="F679" s="44"/>
      <c r="G679" s="44"/>
      <c r="H679" s="44"/>
      <c r="I679" s="44"/>
      <c r="J679" s="44"/>
      <c r="K679" s="44"/>
      <c r="L679" s="44"/>
      <c r="M679" s="44"/>
      <c r="N679" s="44"/>
      <c r="O679" s="44"/>
    </row>
    <row r="680" spans="1:15" ht="17.25" customHeight="1">
      <c r="A680" s="44"/>
      <c r="B680" s="44"/>
      <c r="C680" s="44"/>
      <c r="D680" s="44"/>
      <c r="E680" s="44"/>
      <c r="F680" s="44"/>
      <c r="G680" s="44"/>
      <c r="H680" s="44"/>
      <c r="I680" s="44"/>
      <c r="J680" s="44"/>
      <c r="K680" s="44"/>
      <c r="L680" s="44"/>
      <c r="M680" s="44"/>
      <c r="N680" s="44"/>
      <c r="O680" s="44"/>
    </row>
    <row r="681" spans="1:15" ht="17.25" customHeight="1">
      <c r="A681" s="44"/>
      <c r="B681" s="44"/>
      <c r="C681" s="44"/>
      <c r="D681" s="44"/>
      <c r="E681" s="44"/>
      <c r="F681" s="44"/>
      <c r="G681" s="44"/>
      <c r="H681" s="44"/>
      <c r="I681" s="44"/>
      <c r="J681" s="44"/>
      <c r="K681" s="44"/>
      <c r="L681" s="44"/>
      <c r="M681" s="44"/>
      <c r="N681" s="44"/>
      <c r="O681" s="44"/>
    </row>
    <row r="682" spans="1:15" ht="17.25" customHeight="1">
      <c r="A682" s="44"/>
      <c r="B682" s="44"/>
      <c r="C682" s="44"/>
      <c r="D682" s="44"/>
      <c r="E682" s="44"/>
      <c r="F682" s="44"/>
      <c r="G682" s="44"/>
      <c r="H682" s="44"/>
      <c r="I682" s="44"/>
      <c r="J682" s="44"/>
      <c r="K682" s="44"/>
      <c r="L682" s="44"/>
      <c r="M682" s="44"/>
      <c r="N682" s="44"/>
      <c r="O682" s="44"/>
    </row>
    <row r="683" spans="1:15" ht="17.25" customHeight="1">
      <c r="A683" s="44"/>
      <c r="B683" s="44"/>
      <c r="C683" s="44"/>
      <c r="D683" s="44"/>
      <c r="E683" s="44"/>
      <c r="F683" s="44"/>
      <c r="G683" s="44"/>
      <c r="H683" s="44"/>
      <c r="I683" s="44"/>
      <c r="J683" s="44"/>
      <c r="K683" s="44"/>
      <c r="L683" s="44"/>
      <c r="M683" s="44"/>
      <c r="N683" s="44"/>
      <c r="O683" s="44"/>
    </row>
    <row r="684" spans="1:15" ht="17.25" customHeight="1">
      <c r="A684" s="44"/>
      <c r="B684" s="44"/>
      <c r="C684" s="44"/>
      <c r="D684" s="44"/>
      <c r="E684" s="44"/>
      <c r="F684" s="44"/>
      <c r="G684" s="44"/>
      <c r="H684" s="44"/>
      <c r="I684" s="44"/>
      <c r="J684" s="44"/>
      <c r="K684" s="44"/>
      <c r="L684" s="44"/>
      <c r="M684" s="44"/>
      <c r="N684" s="44"/>
      <c r="O684" s="44"/>
    </row>
    <row r="685" spans="1:15" ht="17.25" customHeight="1">
      <c r="A685" s="44"/>
      <c r="B685" s="44"/>
      <c r="C685" s="44"/>
      <c r="D685" s="44"/>
      <c r="E685" s="44"/>
      <c r="F685" s="44"/>
      <c r="G685" s="44"/>
      <c r="H685" s="44"/>
      <c r="I685" s="44"/>
      <c r="J685" s="44"/>
      <c r="K685" s="44"/>
      <c r="L685" s="44"/>
      <c r="M685" s="44"/>
      <c r="N685" s="44"/>
      <c r="O685" s="44"/>
    </row>
    <row r="686" spans="1:15" ht="17.25" customHeight="1">
      <c r="A686" s="44"/>
      <c r="B686" s="44"/>
      <c r="C686" s="44"/>
      <c r="D686" s="44"/>
      <c r="E686" s="44"/>
      <c r="F686" s="44"/>
      <c r="G686" s="44"/>
      <c r="H686" s="44"/>
      <c r="I686" s="44"/>
      <c r="J686" s="44"/>
      <c r="K686" s="44"/>
      <c r="L686" s="44"/>
      <c r="M686" s="44"/>
      <c r="N686" s="44"/>
      <c r="O686" s="44"/>
    </row>
    <row r="687" spans="1:15" ht="17.25" customHeight="1">
      <c r="A687" s="44"/>
      <c r="B687" s="44"/>
      <c r="C687" s="44"/>
      <c r="D687" s="44"/>
      <c r="E687" s="44"/>
      <c r="F687" s="44"/>
      <c r="G687" s="44"/>
      <c r="H687" s="44"/>
      <c r="I687" s="44"/>
      <c r="J687" s="44"/>
      <c r="K687" s="44"/>
      <c r="L687" s="44"/>
      <c r="M687" s="44"/>
      <c r="N687" s="44"/>
      <c r="O687" s="44"/>
    </row>
    <row r="688" spans="1:15" ht="17.25" customHeight="1">
      <c r="A688" s="44"/>
      <c r="B688" s="44"/>
      <c r="C688" s="44"/>
      <c r="D688" s="44"/>
      <c r="E688" s="44"/>
      <c r="F688" s="44"/>
      <c r="G688" s="44"/>
      <c r="H688" s="44"/>
      <c r="I688" s="44"/>
      <c r="J688" s="44"/>
      <c r="K688" s="44"/>
      <c r="L688" s="44"/>
      <c r="M688" s="44"/>
      <c r="N688" s="44"/>
      <c r="O688" s="44"/>
    </row>
    <row r="689" spans="1:15" ht="17.25" customHeight="1">
      <c r="A689" s="44"/>
      <c r="B689" s="44"/>
      <c r="C689" s="44"/>
      <c r="D689" s="44"/>
      <c r="E689" s="44"/>
      <c r="F689" s="44"/>
      <c r="G689" s="44"/>
      <c r="H689" s="44"/>
      <c r="I689" s="44"/>
      <c r="J689" s="44"/>
      <c r="K689" s="44"/>
      <c r="L689" s="44"/>
      <c r="M689" s="44"/>
      <c r="N689" s="44"/>
      <c r="O689" s="44"/>
    </row>
    <row r="690" spans="1:15" ht="17.25" customHeight="1">
      <c r="A690" s="44"/>
      <c r="B690" s="44"/>
      <c r="C690" s="44"/>
      <c r="D690" s="44"/>
      <c r="E690" s="44"/>
      <c r="F690" s="44"/>
      <c r="G690" s="44"/>
      <c r="H690" s="44"/>
      <c r="I690" s="44"/>
      <c r="J690" s="44"/>
      <c r="K690" s="44"/>
      <c r="L690" s="44"/>
      <c r="M690" s="44"/>
      <c r="N690" s="44"/>
      <c r="O690" s="44"/>
    </row>
    <row r="691" spans="1:15" ht="17.25" customHeight="1">
      <c r="A691" s="44"/>
      <c r="B691" s="44"/>
      <c r="C691" s="44"/>
      <c r="D691" s="44"/>
      <c r="E691" s="44"/>
      <c r="F691" s="44"/>
      <c r="G691" s="44"/>
      <c r="H691" s="44"/>
      <c r="I691" s="44"/>
      <c r="J691" s="44"/>
      <c r="K691" s="44"/>
      <c r="L691" s="44"/>
      <c r="M691" s="44"/>
      <c r="N691" s="44"/>
      <c r="O691" s="44"/>
    </row>
    <row r="692" spans="1:15" ht="17.25" customHeight="1">
      <c r="A692" s="44"/>
      <c r="B692" s="44"/>
      <c r="C692" s="44"/>
      <c r="D692" s="44"/>
      <c r="E692" s="44"/>
      <c r="F692" s="44"/>
      <c r="G692" s="44"/>
      <c r="H692" s="44"/>
      <c r="I692" s="44"/>
      <c r="J692" s="44"/>
      <c r="K692" s="44"/>
      <c r="L692" s="44"/>
      <c r="M692" s="44"/>
      <c r="N692" s="44"/>
      <c r="O692" s="44"/>
    </row>
    <row r="693" spans="1:15" ht="17.25" customHeight="1">
      <c r="A693" s="44"/>
      <c r="B693" s="44"/>
      <c r="C693" s="44"/>
      <c r="D693" s="44"/>
      <c r="E693" s="44"/>
      <c r="F693" s="44"/>
      <c r="G693" s="44"/>
      <c r="H693" s="44"/>
      <c r="I693" s="44"/>
      <c r="J693" s="44"/>
      <c r="K693" s="44"/>
      <c r="L693" s="44"/>
      <c r="M693" s="44"/>
      <c r="N693" s="44"/>
      <c r="O693" s="44"/>
    </row>
    <row r="694" spans="1:15" ht="17.25" customHeight="1">
      <c r="A694" s="44"/>
      <c r="B694" s="44"/>
      <c r="C694" s="44"/>
      <c r="D694" s="44"/>
      <c r="E694" s="44"/>
      <c r="F694" s="44"/>
      <c r="G694" s="44"/>
      <c r="H694" s="44"/>
      <c r="I694" s="44"/>
      <c r="J694" s="44"/>
      <c r="K694" s="44"/>
      <c r="L694" s="44"/>
      <c r="M694" s="44"/>
      <c r="N694" s="44"/>
      <c r="O694" s="44"/>
    </row>
    <row r="695" spans="1:15" ht="17.25" customHeight="1">
      <c r="A695" s="44"/>
      <c r="B695" s="44"/>
      <c r="C695" s="44"/>
      <c r="D695" s="44"/>
      <c r="E695" s="44"/>
      <c r="F695" s="44"/>
      <c r="G695" s="44"/>
      <c r="H695" s="44"/>
      <c r="I695" s="44"/>
      <c r="J695" s="44"/>
      <c r="K695" s="44"/>
      <c r="L695" s="44"/>
      <c r="M695" s="44"/>
      <c r="N695" s="44"/>
      <c r="O695" s="44"/>
    </row>
    <row r="696" spans="1:15" ht="17.25" customHeight="1">
      <c r="A696" s="44"/>
      <c r="B696" s="44"/>
      <c r="C696" s="44"/>
      <c r="D696" s="44"/>
      <c r="E696" s="44"/>
      <c r="F696" s="44"/>
      <c r="G696" s="44"/>
      <c r="H696" s="44"/>
      <c r="I696" s="44"/>
      <c r="J696" s="44"/>
      <c r="K696" s="44"/>
      <c r="L696" s="44"/>
      <c r="M696" s="44"/>
      <c r="N696" s="44"/>
      <c r="O696" s="44"/>
    </row>
    <row r="697" spans="1:15" ht="17.25" customHeight="1">
      <c r="A697" s="44"/>
      <c r="B697" s="44"/>
      <c r="C697" s="44"/>
      <c r="D697" s="44"/>
      <c r="E697" s="44"/>
      <c r="F697" s="44"/>
      <c r="G697" s="44"/>
      <c r="H697" s="44"/>
      <c r="I697" s="44"/>
      <c r="J697" s="44"/>
      <c r="K697" s="44"/>
      <c r="L697" s="44"/>
      <c r="M697" s="44"/>
      <c r="N697" s="44"/>
      <c r="O697" s="44"/>
    </row>
    <row r="698" spans="1:15" ht="17.25" customHeight="1">
      <c r="A698" s="44"/>
      <c r="B698" s="44"/>
      <c r="C698" s="44"/>
      <c r="D698" s="44"/>
      <c r="E698" s="44"/>
      <c r="F698" s="44"/>
      <c r="G698" s="44"/>
      <c r="H698" s="44"/>
      <c r="I698" s="44"/>
      <c r="J698" s="44"/>
      <c r="K698" s="44"/>
      <c r="L698" s="44"/>
      <c r="M698" s="44"/>
      <c r="N698" s="44"/>
      <c r="O698" s="44"/>
    </row>
    <row r="699" spans="1:15" ht="17.25" customHeight="1">
      <c r="A699" s="44"/>
      <c r="B699" s="44"/>
      <c r="C699" s="44"/>
      <c r="D699" s="44"/>
      <c r="E699" s="44"/>
      <c r="F699" s="44"/>
      <c r="G699" s="44"/>
      <c r="H699" s="44"/>
      <c r="I699" s="44"/>
      <c r="J699" s="44"/>
      <c r="K699" s="44"/>
      <c r="L699" s="44"/>
      <c r="M699" s="44"/>
      <c r="N699" s="44"/>
      <c r="O699" s="44"/>
    </row>
    <row r="700" spans="1:15" ht="17.25" customHeight="1">
      <c r="A700" s="44"/>
      <c r="B700" s="44"/>
      <c r="C700" s="44"/>
      <c r="D700" s="44"/>
      <c r="E700" s="44"/>
      <c r="F700" s="44"/>
      <c r="G700" s="44"/>
      <c r="H700" s="44"/>
      <c r="I700" s="44"/>
      <c r="J700" s="44"/>
      <c r="K700" s="44"/>
      <c r="L700" s="44"/>
      <c r="M700" s="44"/>
      <c r="N700" s="44"/>
      <c r="O700" s="44"/>
    </row>
    <row r="701" spans="1:15" ht="17.25" customHeight="1">
      <c r="A701" s="44"/>
      <c r="B701" s="44"/>
      <c r="C701" s="44"/>
      <c r="D701" s="44"/>
      <c r="E701" s="44"/>
      <c r="F701" s="44"/>
      <c r="G701" s="44"/>
      <c r="H701" s="44"/>
      <c r="I701" s="44"/>
      <c r="J701" s="44"/>
      <c r="K701" s="44"/>
      <c r="L701" s="44"/>
      <c r="M701" s="44"/>
      <c r="N701" s="44"/>
      <c r="O701" s="44"/>
    </row>
    <row r="702" spans="1:15" ht="17.25" customHeight="1">
      <c r="A702" s="44"/>
      <c r="B702" s="44"/>
      <c r="C702" s="44"/>
      <c r="D702" s="44"/>
      <c r="E702" s="44"/>
      <c r="F702" s="44"/>
      <c r="G702" s="44"/>
      <c r="H702" s="44"/>
      <c r="I702" s="44"/>
      <c r="J702" s="44"/>
      <c r="K702" s="44"/>
      <c r="L702" s="44"/>
      <c r="M702" s="44"/>
      <c r="N702" s="44"/>
      <c r="O702" s="44"/>
    </row>
    <row r="703" spans="1:15" ht="17.25" customHeight="1">
      <c r="A703" s="44"/>
      <c r="B703" s="44"/>
      <c r="C703" s="44"/>
      <c r="D703" s="44"/>
      <c r="E703" s="44"/>
      <c r="F703" s="44"/>
      <c r="G703" s="44"/>
      <c r="H703" s="44"/>
      <c r="I703" s="44"/>
      <c r="J703" s="44"/>
      <c r="K703" s="44"/>
      <c r="L703" s="44"/>
      <c r="M703" s="44"/>
      <c r="N703" s="44"/>
      <c r="O703" s="44"/>
    </row>
    <row r="704" spans="1:15" ht="17.25" customHeight="1">
      <c r="A704" s="44"/>
      <c r="B704" s="44"/>
      <c r="C704" s="44"/>
      <c r="D704" s="44"/>
      <c r="E704" s="44"/>
      <c r="F704" s="44"/>
      <c r="G704" s="44"/>
      <c r="H704" s="44"/>
      <c r="I704" s="44"/>
      <c r="J704" s="44"/>
      <c r="K704" s="44"/>
      <c r="L704" s="44"/>
      <c r="M704" s="44"/>
      <c r="N704" s="44"/>
      <c r="O704" s="44"/>
    </row>
    <row r="705" spans="1:15" ht="17.25" customHeight="1">
      <c r="A705" s="44"/>
      <c r="B705" s="44"/>
      <c r="C705" s="44"/>
      <c r="D705" s="44"/>
      <c r="E705" s="44"/>
      <c r="F705" s="44"/>
      <c r="G705" s="44"/>
      <c r="H705" s="44"/>
      <c r="I705" s="44"/>
      <c r="J705" s="44"/>
      <c r="K705" s="44"/>
      <c r="L705" s="44"/>
      <c r="M705" s="44"/>
      <c r="N705" s="44"/>
      <c r="O705" s="44"/>
    </row>
    <row r="706" spans="1:15" ht="17.25" customHeight="1">
      <c r="A706" s="44"/>
      <c r="B706" s="44"/>
      <c r="C706" s="44"/>
      <c r="D706" s="44"/>
      <c r="E706" s="44"/>
      <c r="F706" s="44"/>
      <c r="G706" s="44"/>
      <c r="H706" s="44"/>
      <c r="I706" s="44"/>
      <c r="J706" s="44"/>
      <c r="K706" s="44"/>
      <c r="L706" s="44"/>
      <c r="M706" s="44"/>
      <c r="N706" s="44"/>
      <c r="O706" s="44"/>
    </row>
    <row r="707" spans="1:15" ht="17.25" customHeight="1">
      <c r="A707" s="44"/>
      <c r="B707" s="44"/>
      <c r="C707" s="44"/>
      <c r="D707" s="44"/>
      <c r="E707" s="44"/>
      <c r="F707" s="44"/>
      <c r="G707" s="44"/>
      <c r="H707" s="44"/>
      <c r="I707" s="44"/>
      <c r="J707" s="44"/>
      <c r="K707" s="44"/>
      <c r="L707" s="44"/>
      <c r="M707" s="44"/>
      <c r="N707" s="44"/>
      <c r="O707" s="44"/>
    </row>
    <row r="708" spans="1:15" ht="17.25" customHeight="1">
      <c r="A708" s="44"/>
      <c r="B708" s="44"/>
      <c r="C708" s="44"/>
      <c r="D708" s="44"/>
      <c r="E708" s="44"/>
      <c r="F708" s="44"/>
      <c r="G708" s="44"/>
      <c r="H708" s="44"/>
      <c r="I708" s="44"/>
      <c r="J708" s="44"/>
      <c r="K708" s="44"/>
      <c r="L708" s="44"/>
      <c r="M708" s="44"/>
      <c r="N708" s="44"/>
      <c r="O708" s="44"/>
    </row>
    <row r="709" spans="1:15" ht="17.25" customHeight="1">
      <c r="A709" s="44"/>
      <c r="B709" s="44"/>
      <c r="C709" s="44"/>
      <c r="D709" s="44"/>
      <c r="E709" s="44"/>
      <c r="F709" s="44"/>
      <c r="G709" s="44"/>
      <c r="H709" s="44"/>
      <c r="I709" s="44"/>
      <c r="J709" s="44"/>
      <c r="K709" s="44"/>
      <c r="L709" s="44"/>
      <c r="M709" s="44"/>
      <c r="N709" s="44"/>
      <c r="O709" s="44"/>
    </row>
    <row r="710" spans="1:15" ht="17.25" customHeight="1">
      <c r="A710" s="44"/>
      <c r="B710" s="44"/>
      <c r="C710" s="44"/>
      <c r="D710" s="44"/>
      <c r="E710" s="44"/>
      <c r="F710" s="44"/>
      <c r="G710" s="44"/>
      <c r="H710" s="44"/>
      <c r="I710" s="44"/>
      <c r="J710" s="44"/>
      <c r="K710" s="44"/>
      <c r="L710" s="44"/>
      <c r="M710" s="44"/>
      <c r="N710" s="44"/>
      <c r="O710" s="44"/>
    </row>
    <row r="711" spans="1:15" ht="17.25" customHeight="1">
      <c r="A711" s="44"/>
      <c r="B711" s="44"/>
      <c r="C711" s="44"/>
      <c r="D711" s="44"/>
      <c r="E711" s="44"/>
      <c r="F711" s="44"/>
      <c r="G711" s="44"/>
      <c r="H711" s="44"/>
      <c r="I711" s="44"/>
      <c r="J711" s="44"/>
      <c r="K711" s="44"/>
      <c r="L711" s="44"/>
      <c r="M711" s="44"/>
      <c r="N711" s="44"/>
      <c r="O711" s="44"/>
    </row>
    <row r="712" spans="1:15" ht="17.25" customHeight="1">
      <c r="A712" s="44"/>
      <c r="B712" s="44"/>
      <c r="C712" s="44"/>
      <c r="D712" s="44"/>
      <c r="E712" s="44"/>
      <c r="F712" s="44"/>
      <c r="G712" s="44"/>
      <c r="H712" s="44"/>
      <c r="I712" s="44"/>
      <c r="J712" s="44"/>
      <c r="K712" s="44"/>
      <c r="L712" s="44"/>
      <c r="M712" s="44"/>
      <c r="N712" s="44"/>
      <c r="O712" s="44"/>
    </row>
    <row r="713" spans="1:15" ht="17.25" customHeight="1">
      <c r="A713" s="44"/>
      <c r="B713" s="44"/>
      <c r="C713" s="44"/>
      <c r="D713" s="44"/>
      <c r="E713" s="44"/>
      <c r="F713" s="44"/>
      <c r="G713" s="44"/>
      <c r="H713" s="44"/>
      <c r="I713" s="44"/>
      <c r="J713" s="44"/>
      <c r="K713" s="44"/>
      <c r="L713" s="44"/>
      <c r="M713" s="44"/>
      <c r="N713" s="44"/>
      <c r="O713" s="44"/>
    </row>
    <row r="714" spans="1:15" ht="17.25" customHeight="1">
      <c r="A714" s="44"/>
      <c r="B714" s="44"/>
      <c r="C714" s="44"/>
      <c r="D714" s="44"/>
      <c r="E714" s="44"/>
      <c r="F714" s="44"/>
      <c r="G714" s="44"/>
      <c r="H714" s="44"/>
      <c r="I714" s="44"/>
      <c r="J714" s="44"/>
      <c r="K714" s="44"/>
      <c r="L714" s="44"/>
      <c r="M714" s="44"/>
      <c r="N714" s="44"/>
      <c r="O714" s="44"/>
    </row>
    <row r="715" spans="1:15" ht="17.25" customHeight="1">
      <c r="A715" s="44"/>
      <c r="B715" s="44"/>
      <c r="C715" s="44"/>
      <c r="D715" s="44"/>
      <c r="E715" s="44"/>
      <c r="F715" s="44"/>
      <c r="G715" s="44"/>
      <c r="H715" s="44"/>
      <c r="I715" s="44"/>
      <c r="J715" s="44"/>
      <c r="K715" s="44"/>
      <c r="L715" s="44"/>
      <c r="M715" s="44"/>
      <c r="N715" s="44"/>
      <c r="O715" s="44"/>
    </row>
    <row r="716" spans="1:15" ht="17.25" customHeight="1">
      <c r="A716" s="44"/>
      <c r="B716" s="44"/>
      <c r="C716" s="44"/>
      <c r="D716" s="44"/>
      <c r="E716" s="44"/>
      <c r="F716" s="44"/>
      <c r="G716" s="44"/>
      <c r="H716" s="44"/>
      <c r="I716" s="44"/>
      <c r="J716" s="44"/>
      <c r="K716" s="44"/>
      <c r="L716" s="44"/>
      <c r="M716" s="44"/>
      <c r="N716" s="44"/>
      <c r="O716" s="44"/>
    </row>
    <row r="717" spans="1:15" ht="17.25" customHeight="1">
      <c r="A717" s="44"/>
      <c r="B717" s="44"/>
      <c r="C717" s="44"/>
      <c r="D717" s="44"/>
      <c r="E717" s="44"/>
      <c r="F717" s="44"/>
      <c r="G717" s="44"/>
      <c r="H717" s="44"/>
      <c r="I717" s="44"/>
      <c r="J717" s="44"/>
      <c r="K717" s="44"/>
      <c r="L717" s="44"/>
      <c r="M717" s="44"/>
      <c r="N717" s="44"/>
      <c r="O717" s="44"/>
    </row>
    <row r="718" spans="1:15" ht="17.25" customHeight="1">
      <c r="A718" s="44"/>
      <c r="B718" s="44"/>
      <c r="C718" s="44"/>
      <c r="D718" s="44"/>
      <c r="E718" s="44"/>
      <c r="F718" s="44"/>
      <c r="G718" s="44"/>
      <c r="H718" s="44"/>
      <c r="I718" s="44"/>
      <c r="J718" s="44"/>
      <c r="K718" s="44"/>
      <c r="L718" s="44"/>
      <c r="M718" s="44"/>
      <c r="N718" s="44"/>
      <c r="O718" s="44"/>
    </row>
    <row r="719" spans="1:15" ht="17.25" customHeight="1">
      <c r="A719" s="44"/>
      <c r="B719" s="44"/>
      <c r="C719" s="44"/>
      <c r="D719" s="44"/>
      <c r="E719" s="44"/>
      <c r="F719" s="44"/>
      <c r="G719" s="44"/>
      <c r="H719" s="44"/>
      <c r="I719" s="44"/>
      <c r="J719" s="44"/>
      <c r="K719" s="44"/>
      <c r="L719" s="44"/>
      <c r="M719" s="44"/>
      <c r="N719" s="44"/>
      <c r="O719" s="44"/>
    </row>
    <row r="720" spans="1:15" ht="17.25" customHeight="1">
      <c r="A720" s="44"/>
      <c r="B720" s="44"/>
      <c r="C720" s="44"/>
      <c r="D720" s="44"/>
      <c r="E720" s="44"/>
      <c r="F720" s="44"/>
      <c r="G720" s="44"/>
      <c r="H720" s="44"/>
      <c r="I720" s="44"/>
      <c r="J720" s="44"/>
      <c r="K720" s="44"/>
      <c r="L720" s="44"/>
      <c r="M720" s="44"/>
      <c r="N720" s="44"/>
      <c r="O720" s="44"/>
    </row>
    <row r="721" spans="1:15" ht="17.25" customHeight="1">
      <c r="A721" s="44"/>
      <c r="B721" s="44"/>
      <c r="C721" s="44"/>
      <c r="D721" s="44"/>
      <c r="E721" s="44"/>
      <c r="F721" s="44"/>
      <c r="G721" s="44"/>
      <c r="H721" s="44"/>
      <c r="I721" s="44"/>
      <c r="J721" s="44"/>
      <c r="K721" s="44"/>
      <c r="L721" s="44"/>
      <c r="M721" s="44"/>
      <c r="N721" s="44"/>
      <c r="O721" s="44"/>
    </row>
    <row r="722" spans="1:15" ht="17.25" customHeight="1">
      <c r="A722" s="44"/>
      <c r="B722" s="44"/>
      <c r="C722" s="44"/>
      <c r="D722" s="44"/>
      <c r="E722" s="44"/>
      <c r="F722" s="44"/>
      <c r="G722" s="44"/>
      <c r="H722" s="44"/>
      <c r="I722" s="44"/>
      <c r="J722" s="44"/>
      <c r="K722" s="44"/>
      <c r="L722" s="44"/>
      <c r="M722" s="44"/>
      <c r="N722" s="44"/>
      <c r="O722" s="44"/>
    </row>
    <row r="723" spans="1:15" ht="17.25" customHeight="1">
      <c r="A723" s="44"/>
      <c r="B723" s="44"/>
      <c r="C723" s="44"/>
      <c r="D723" s="44"/>
      <c r="E723" s="44"/>
      <c r="F723" s="44"/>
      <c r="G723" s="44"/>
      <c r="H723" s="44"/>
      <c r="I723" s="44"/>
      <c r="J723" s="44"/>
      <c r="K723" s="44"/>
      <c r="L723" s="44"/>
      <c r="M723" s="44"/>
      <c r="N723" s="44"/>
      <c r="O723" s="44"/>
    </row>
    <row r="724" spans="1:15" ht="17.25" customHeight="1">
      <c r="A724" s="44"/>
      <c r="B724" s="44"/>
      <c r="C724" s="44"/>
      <c r="D724" s="44"/>
      <c r="E724" s="44"/>
      <c r="F724" s="44"/>
      <c r="G724" s="44"/>
      <c r="H724" s="44"/>
      <c r="I724" s="44"/>
      <c r="J724" s="44"/>
      <c r="K724" s="44"/>
      <c r="L724" s="44"/>
      <c r="M724" s="44"/>
      <c r="N724" s="44"/>
      <c r="O724" s="44"/>
    </row>
    <row r="725" spans="1:15" ht="17.25" customHeight="1">
      <c r="A725" s="44"/>
      <c r="B725" s="44"/>
      <c r="C725" s="44"/>
      <c r="D725" s="44"/>
      <c r="E725" s="44"/>
      <c r="F725" s="44"/>
      <c r="G725" s="44"/>
      <c r="H725" s="44"/>
      <c r="I725" s="44"/>
      <c r="J725" s="44"/>
      <c r="K725" s="44"/>
      <c r="L725" s="44"/>
      <c r="M725" s="44"/>
      <c r="N725" s="44"/>
      <c r="O725" s="44"/>
    </row>
    <row r="726" spans="1:15" ht="17.25" customHeight="1">
      <c r="A726" s="44"/>
      <c r="B726" s="44"/>
      <c r="C726" s="44"/>
      <c r="D726" s="44"/>
      <c r="E726" s="44"/>
      <c r="F726" s="44"/>
      <c r="G726" s="44"/>
      <c r="H726" s="44"/>
      <c r="I726" s="44"/>
      <c r="J726" s="44"/>
      <c r="K726" s="44"/>
      <c r="L726" s="44"/>
      <c r="M726" s="44"/>
      <c r="N726" s="44"/>
      <c r="O726" s="44"/>
    </row>
    <row r="727" spans="1:15" ht="17.25" customHeight="1">
      <c r="A727" s="44"/>
      <c r="B727" s="44"/>
      <c r="C727" s="44"/>
      <c r="D727" s="44"/>
      <c r="E727" s="44"/>
      <c r="F727" s="44"/>
      <c r="G727" s="44"/>
      <c r="H727" s="44"/>
      <c r="I727" s="44"/>
      <c r="J727" s="44"/>
      <c r="K727" s="44"/>
      <c r="L727" s="44"/>
      <c r="M727" s="44"/>
      <c r="N727" s="44"/>
      <c r="O727" s="44"/>
    </row>
    <row r="728" spans="1:15" ht="17.25" customHeight="1">
      <c r="A728" s="44"/>
      <c r="B728" s="44"/>
      <c r="C728" s="44"/>
      <c r="D728" s="44"/>
      <c r="E728" s="44"/>
      <c r="F728" s="44"/>
      <c r="G728" s="44"/>
      <c r="H728" s="44"/>
      <c r="I728" s="44"/>
      <c r="J728" s="44"/>
      <c r="K728" s="44"/>
      <c r="L728" s="44"/>
      <c r="M728" s="44"/>
      <c r="N728" s="44"/>
      <c r="O728" s="44"/>
    </row>
    <row r="729" spans="1:15" ht="17.25" customHeight="1">
      <c r="A729" s="44"/>
      <c r="B729" s="44"/>
      <c r="C729" s="44"/>
      <c r="D729" s="44"/>
      <c r="E729" s="44"/>
      <c r="F729" s="44"/>
      <c r="G729" s="44"/>
      <c r="H729" s="44"/>
      <c r="I729" s="44"/>
      <c r="J729" s="44"/>
      <c r="K729" s="44"/>
      <c r="L729" s="44"/>
      <c r="M729" s="44"/>
      <c r="N729" s="44"/>
      <c r="O729" s="44"/>
    </row>
    <row r="730" spans="1:15" ht="17.25" customHeight="1">
      <c r="A730" s="44"/>
      <c r="B730" s="44"/>
      <c r="C730" s="44"/>
      <c r="D730" s="44"/>
      <c r="E730" s="44"/>
      <c r="F730" s="44"/>
      <c r="G730" s="44"/>
      <c r="H730" s="44"/>
      <c r="I730" s="44"/>
      <c r="J730" s="44"/>
      <c r="K730" s="44"/>
      <c r="L730" s="44"/>
      <c r="M730" s="44"/>
      <c r="N730" s="44"/>
      <c r="O730" s="44"/>
    </row>
    <row r="731" spans="1:15" ht="17.25" customHeight="1">
      <c r="A731" s="44"/>
      <c r="B731" s="44"/>
      <c r="C731" s="44"/>
      <c r="D731" s="44"/>
      <c r="E731" s="44"/>
      <c r="F731" s="44"/>
      <c r="G731" s="44"/>
      <c r="H731" s="44"/>
      <c r="I731" s="44"/>
      <c r="J731" s="44"/>
      <c r="K731" s="44"/>
      <c r="L731" s="44"/>
      <c r="M731" s="44"/>
      <c r="N731" s="44"/>
      <c r="O731" s="44"/>
    </row>
    <row r="732" spans="1:15" ht="17.25" customHeight="1">
      <c r="A732" s="44"/>
      <c r="B732" s="44"/>
      <c r="C732" s="44"/>
      <c r="D732" s="44"/>
      <c r="E732" s="44"/>
      <c r="F732" s="44"/>
      <c r="G732" s="44"/>
      <c r="H732" s="44"/>
      <c r="I732" s="44"/>
      <c r="J732" s="44"/>
      <c r="K732" s="44"/>
      <c r="L732" s="44"/>
      <c r="M732" s="44"/>
      <c r="N732" s="44"/>
      <c r="O732" s="44"/>
    </row>
    <row r="733" spans="1:15" ht="17.25" customHeight="1">
      <c r="A733" s="44"/>
      <c r="B733" s="44"/>
      <c r="C733" s="44"/>
      <c r="D733" s="44"/>
      <c r="E733" s="44"/>
      <c r="F733" s="44"/>
      <c r="G733" s="44"/>
      <c r="H733" s="44"/>
      <c r="I733" s="44"/>
      <c r="J733" s="44"/>
      <c r="K733" s="44"/>
      <c r="L733" s="44"/>
      <c r="M733" s="44"/>
      <c r="N733" s="44"/>
      <c r="O733" s="44"/>
    </row>
    <row r="734" spans="1:15" ht="17.25" customHeight="1">
      <c r="A734" s="44"/>
      <c r="B734" s="44"/>
      <c r="C734" s="44"/>
      <c r="D734" s="44"/>
      <c r="E734" s="44"/>
      <c r="F734" s="44"/>
      <c r="G734" s="44"/>
      <c r="H734" s="44"/>
      <c r="I734" s="44"/>
      <c r="J734" s="44"/>
      <c r="K734" s="44"/>
      <c r="L734" s="44"/>
      <c r="M734" s="44"/>
      <c r="N734" s="44"/>
      <c r="O734" s="44"/>
    </row>
    <row r="735" spans="1:15" ht="17.25" customHeight="1">
      <c r="A735" s="44"/>
      <c r="B735" s="44"/>
      <c r="C735" s="44"/>
      <c r="D735" s="44"/>
      <c r="E735" s="44"/>
      <c r="F735" s="44"/>
      <c r="G735" s="44"/>
      <c r="H735" s="44"/>
      <c r="I735" s="44"/>
      <c r="J735" s="44"/>
      <c r="K735" s="44"/>
      <c r="L735" s="44"/>
      <c r="M735" s="44"/>
      <c r="N735" s="44"/>
      <c r="O735" s="44"/>
    </row>
    <row r="736" spans="1:15" ht="17.25" customHeight="1">
      <c r="A736" s="44"/>
      <c r="B736" s="44"/>
      <c r="C736" s="44"/>
      <c r="D736" s="44"/>
      <c r="E736" s="44"/>
      <c r="F736" s="44"/>
      <c r="G736" s="44"/>
      <c r="H736" s="44"/>
      <c r="I736" s="44"/>
      <c r="J736" s="44"/>
      <c r="K736" s="44"/>
      <c r="L736" s="44"/>
      <c r="M736" s="44"/>
      <c r="N736" s="44"/>
      <c r="O736" s="44"/>
    </row>
    <row r="737" spans="1:15" ht="17.25" customHeight="1">
      <c r="A737" s="44"/>
      <c r="B737" s="44"/>
      <c r="C737" s="44"/>
      <c r="D737" s="44"/>
      <c r="E737" s="44"/>
      <c r="F737" s="44"/>
      <c r="G737" s="44"/>
      <c r="H737" s="44"/>
      <c r="I737" s="44"/>
      <c r="J737" s="44"/>
      <c r="K737" s="44"/>
      <c r="L737" s="44"/>
      <c r="M737" s="44"/>
      <c r="N737" s="44"/>
      <c r="O737" s="44"/>
    </row>
    <row r="738" spans="1:15" ht="17.25" customHeight="1">
      <c r="A738" s="44"/>
      <c r="B738" s="44"/>
      <c r="C738" s="44"/>
      <c r="D738" s="44"/>
      <c r="E738" s="44"/>
      <c r="F738" s="44"/>
      <c r="G738" s="44"/>
      <c r="H738" s="44"/>
      <c r="I738" s="44"/>
      <c r="J738" s="44"/>
      <c r="K738" s="44"/>
      <c r="L738" s="44"/>
      <c r="M738" s="44"/>
      <c r="N738" s="44"/>
      <c r="O738" s="44"/>
    </row>
    <row r="739" spans="1:15" ht="17.25" customHeight="1">
      <c r="A739" s="44"/>
      <c r="B739" s="44"/>
      <c r="C739" s="44"/>
      <c r="D739" s="44"/>
      <c r="E739" s="44"/>
      <c r="F739" s="44"/>
      <c r="G739" s="44"/>
      <c r="H739" s="44"/>
      <c r="I739" s="44"/>
      <c r="J739" s="44"/>
      <c r="K739" s="44"/>
      <c r="L739" s="44"/>
      <c r="M739" s="44"/>
      <c r="N739" s="44"/>
      <c r="O739" s="44"/>
    </row>
    <row r="740" spans="1:15" ht="17.25" customHeight="1">
      <c r="A740" s="44"/>
      <c r="B740" s="44"/>
      <c r="C740" s="44"/>
      <c r="D740" s="44"/>
      <c r="E740" s="44"/>
      <c r="F740" s="44"/>
      <c r="G740" s="44"/>
      <c r="H740" s="44"/>
      <c r="I740" s="44"/>
      <c r="J740" s="44"/>
      <c r="K740" s="44"/>
      <c r="L740" s="44"/>
      <c r="M740" s="44"/>
      <c r="N740" s="44"/>
      <c r="O740" s="44"/>
    </row>
    <row r="741" spans="1:15" ht="17.25" customHeight="1">
      <c r="A741" s="44"/>
      <c r="B741" s="44"/>
      <c r="C741" s="44"/>
      <c r="D741" s="44"/>
      <c r="E741" s="44"/>
      <c r="F741" s="44"/>
      <c r="G741" s="44"/>
      <c r="H741" s="44"/>
      <c r="I741" s="44"/>
      <c r="J741" s="44"/>
      <c r="K741" s="44"/>
      <c r="L741" s="44"/>
      <c r="M741" s="44"/>
      <c r="N741" s="44"/>
      <c r="O741" s="44"/>
    </row>
    <row r="742" spans="1:15" ht="17.25" customHeight="1">
      <c r="A742" s="44"/>
      <c r="B742" s="44"/>
      <c r="C742" s="44"/>
      <c r="D742" s="44"/>
      <c r="E742" s="44"/>
      <c r="F742" s="44"/>
      <c r="G742" s="44"/>
      <c r="H742" s="44"/>
      <c r="I742" s="44"/>
      <c r="J742" s="44"/>
      <c r="K742" s="44"/>
      <c r="L742" s="44"/>
      <c r="M742" s="44"/>
      <c r="N742" s="44"/>
      <c r="O742" s="44"/>
    </row>
    <row r="743" spans="1:15" ht="17.25" customHeight="1">
      <c r="A743" s="44"/>
      <c r="B743" s="44"/>
      <c r="C743" s="44"/>
      <c r="D743" s="44"/>
      <c r="E743" s="44"/>
      <c r="F743" s="44"/>
      <c r="G743" s="44"/>
      <c r="H743" s="44"/>
      <c r="I743" s="44"/>
      <c r="J743" s="44"/>
      <c r="K743" s="44"/>
      <c r="L743" s="44"/>
      <c r="M743" s="44"/>
      <c r="N743" s="44"/>
      <c r="O743" s="44"/>
    </row>
    <row r="744" spans="1:15" ht="17.25" customHeight="1">
      <c r="A744" s="44"/>
      <c r="B744" s="44"/>
      <c r="C744" s="44"/>
      <c r="D744" s="44"/>
      <c r="E744" s="44"/>
      <c r="F744" s="44"/>
      <c r="G744" s="44"/>
      <c r="H744" s="44"/>
      <c r="I744" s="44"/>
      <c r="J744" s="44"/>
      <c r="K744" s="44"/>
      <c r="L744" s="44"/>
      <c r="M744" s="44"/>
      <c r="N744" s="44"/>
      <c r="O744" s="44"/>
    </row>
    <row r="745" spans="1:15" ht="17.25" customHeight="1">
      <c r="A745" s="44"/>
      <c r="B745" s="44"/>
      <c r="C745" s="44"/>
      <c r="D745" s="44"/>
      <c r="E745" s="44"/>
      <c r="F745" s="44"/>
      <c r="G745" s="44"/>
      <c r="H745" s="44"/>
      <c r="I745" s="44"/>
      <c r="J745" s="44"/>
      <c r="K745" s="44"/>
      <c r="L745" s="44"/>
      <c r="M745" s="44"/>
      <c r="N745" s="44"/>
      <c r="O745" s="44"/>
    </row>
    <row r="746" spans="1:15" ht="17.25" customHeight="1">
      <c r="A746" s="44"/>
      <c r="B746" s="44"/>
      <c r="C746" s="44"/>
      <c r="D746" s="44"/>
      <c r="E746" s="44"/>
      <c r="F746" s="44"/>
      <c r="G746" s="44"/>
      <c r="H746" s="44"/>
      <c r="I746" s="44"/>
      <c r="J746" s="44"/>
      <c r="K746" s="44"/>
      <c r="L746" s="44"/>
      <c r="M746" s="44"/>
      <c r="N746" s="44"/>
      <c r="O746" s="44"/>
    </row>
    <row r="747" spans="1:15" ht="17.25" customHeight="1">
      <c r="A747" s="44"/>
      <c r="B747" s="44"/>
      <c r="C747" s="44"/>
      <c r="D747" s="44"/>
      <c r="E747" s="44"/>
      <c r="F747" s="44"/>
      <c r="G747" s="44"/>
      <c r="H747" s="44"/>
      <c r="I747" s="44"/>
      <c r="J747" s="44"/>
      <c r="K747" s="44"/>
      <c r="L747" s="44"/>
      <c r="M747" s="44"/>
      <c r="N747" s="44"/>
      <c r="O747" s="44"/>
    </row>
    <row r="748" spans="1:15" ht="17.25" customHeight="1">
      <c r="A748" s="44"/>
      <c r="B748" s="44"/>
      <c r="C748" s="44"/>
      <c r="D748" s="44"/>
      <c r="E748" s="44"/>
      <c r="F748" s="44"/>
      <c r="G748" s="44"/>
      <c r="H748" s="44"/>
      <c r="I748" s="44"/>
      <c r="J748" s="44"/>
      <c r="K748" s="44"/>
      <c r="L748" s="44"/>
      <c r="M748" s="44"/>
      <c r="N748" s="44"/>
      <c r="O748" s="44"/>
    </row>
    <row r="749" spans="1:15" ht="17.25" customHeight="1">
      <c r="A749" s="44"/>
      <c r="B749" s="44"/>
      <c r="C749" s="44"/>
      <c r="D749" s="44"/>
      <c r="E749" s="44"/>
      <c r="F749" s="44"/>
      <c r="G749" s="44"/>
      <c r="H749" s="44"/>
      <c r="I749" s="44"/>
      <c r="J749" s="44"/>
      <c r="K749" s="44"/>
      <c r="L749" s="44"/>
      <c r="M749" s="44"/>
      <c r="N749" s="44"/>
      <c r="O749" s="44"/>
    </row>
    <row r="750" spans="1:15" ht="17.25" customHeight="1">
      <c r="A750" s="44"/>
      <c r="B750" s="44"/>
      <c r="C750" s="44"/>
      <c r="D750" s="44"/>
      <c r="E750" s="44"/>
      <c r="F750" s="44"/>
      <c r="G750" s="44"/>
      <c r="H750" s="44"/>
      <c r="I750" s="44"/>
      <c r="J750" s="44"/>
      <c r="K750" s="44"/>
      <c r="L750" s="44"/>
      <c r="M750" s="44"/>
      <c r="N750" s="44"/>
      <c r="O750" s="44"/>
    </row>
    <row r="751" spans="1:15" ht="17.25" customHeight="1">
      <c r="A751" s="44"/>
      <c r="B751" s="44"/>
      <c r="C751" s="44"/>
      <c r="D751" s="44"/>
      <c r="E751" s="44"/>
      <c r="F751" s="44"/>
      <c r="G751" s="44"/>
      <c r="H751" s="44"/>
      <c r="I751" s="44"/>
      <c r="J751" s="44"/>
      <c r="K751" s="44"/>
      <c r="L751" s="44"/>
      <c r="M751" s="44"/>
      <c r="N751" s="44"/>
      <c r="O751" s="44"/>
    </row>
    <row r="752" spans="1:15" ht="17.25" customHeight="1">
      <c r="A752" s="44"/>
      <c r="B752" s="44"/>
      <c r="C752" s="44"/>
      <c r="D752" s="44"/>
      <c r="E752" s="44"/>
      <c r="F752" s="44"/>
      <c r="G752" s="44"/>
      <c r="H752" s="44"/>
      <c r="I752" s="44"/>
      <c r="J752" s="44"/>
      <c r="K752" s="44"/>
      <c r="L752" s="44"/>
      <c r="M752" s="44"/>
      <c r="N752" s="44"/>
      <c r="O752" s="44"/>
    </row>
    <row r="753" spans="1:15" ht="17.25" customHeight="1">
      <c r="A753" s="44"/>
      <c r="B753" s="44"/>
      <c r="C753" s="44"/>
      <c r="D753" s="44"/>
      <c r="E753" s="44"/>
      <c r="F753" s="44"/>
      <c r="G753" s="44"/>
      <c r="H753" s="44"/>
      <c r="I753" s="44"/>
      <c r="J753" s="44"/>
      <c r="K753" s="44"/>
      <c r="L753" s="44"/>
      <c r="M753" s="44"/>
      <c r="N753" s="44"/>
      <c r="O753" s="44"/>
    </row>
    <row r="754" spans="1:15" ht="17.25" customHeight="1">
      <c r="A754" s="44"/>
      <c r="B754" s="44"/>
      <c r="C754" s="44"/>
      <c r="D754" s="44"/>
      <c r="E754" s="44"/>
      <c r="F754" s="44"/>
      <c r="G754" s="44"/>
      <c r="H754" s="44"/>
      <c r="I754" s="44"/>
      <c r="J754" s="44"/>
      <c r="K754" s="44"/>
      <c r="L754" s="44"/>
      <c r="M754" s="44"/>
      <c r="N754" s="44"/>
      <c r="O754" s="44"/>
    </row>
    <row r="755" spans="1:15" ht="17.25" customHeight="1">
      <c r="A755" s="44"/>
      <c r="B755" s="44"/>
      <c r="C755" s="44"/>
      <c r="D755" s="44"/>
      <c r="E755" s="44"/>
      <c r="F755" s="44"/>
      <c r="G755" s="44"/>
      <c r="H755" s="44"/>
      <c r="I755" s="44"/>
      <c r="J755" s="44"/>
      <c r="K755" s="44"/>
      <c r="L755" s="44"/>
      <c r="M755" s="44"/>
      <c r="N755" s="44"/>
      <c r="O755" s="44"/>
    </row>
    <row r="756" spans="1:15" ht="17.25" customHeight="1">
      <c r="A756" s="44"/>
      <c r="B756" s="44"/>
      <c r="C756" s="44"/>
      <c r="D756" s="44"/>
      <c r="E756" s="44"/>
      <c r="F756" s="44"/>
      <c r="G756" s="44"/>
      <c r="H756" s="44"/>
      <c r="I756" s="44"/>
      <c r="J756" s="44"/>
      <c r="K756" s="44"/>
      <c r="L756" s="44"/>
      <c r="M756" s="44"/>
      <c r="N756" s="44"/>
      <c r="O756" s="44"/>
    </row>
    <row r="757" spans="1:15" ht="17.25" customHeight="1">
      <c r="A757" s="44"/>
      <c r="B757" s="44"/>
      <c r="C757" s="44"/>
      <c r="D757" s="44"/>
      <c r="E757" s="44"/>
      <c r="F757" s="44"/>
      <c r="G757" s="44"/>
      <c r="H757" s="44"/>
      <c r="I757" s="44"/>
      <c r="J757" s="44"/>
      <c r="K757" s="44"/>
      <c r="L757" s="44"/>
      <c r="M757" s="44"/>
      <c r="N757" s="44"/>
      <c r="O757" s="44"/>
    </row>
    <row r="758" spans="1:15" ht="17.25" customHeight="1">
      <c r="A758" s="44"/>
      <c r="B758" s="44"/>
      <c r="C758" s="44"/>
      <c r="D758" s="44"/>
      <c r="E758" s="44"/>
      <c r="F758" s="44"/>
      <c r="G758" s="44"/>
      <c r="H758" s="44"/>
      <c r="I758" s="44"/>
      <c r="J758" s="44"/>
      <c r="K758" s="44"/>
      <c r="L758" s="44"/>
      <c r="M758" s="44"/>
      <c r="N758" s="44"/>
      <c r="O758" s="44"/>
    </row>
    <row r="759" spans="1:15" ht="17.25" customHeight="1">
      <c r="A759" s="44"/>
      <c r="B759" s="44"/>
      <c r="C759" s="44"/>
      <c r="D759" s="44"/>
      <c r="E759" s="44"/>
      <c r="F759" s="44"/>
      <c r="G759" s="44"/>
      <c r="H759" s="44"/>
      <c r="I759" s="44"/>
      <c r="J759" s="44"/>
      <c r="K759" s="44"/>
      <c r="L759" s="44"/>
      <c r="M759" s="44"/>
      <c r="N759" s="44"/>
      <c r="O759" s="44"/>
    </row>
    <row r="760" spans="1:15" ht="17.25" customHeight="1">
      <c r="A760" s="44"/>
      <c r="B760" s="44"/>
      <c r="C760" s="44"/>
      <c r="D760" s="44"/>
      <c r="E760" s="44"/>
      <c r="F760" s="44"/>
      <c r="G760" s="44"/>
      <c r="H760" s="44"/>
      <c r="I760" s="44"/>
      <c r="J760" s="44"/>
      <c r="K760" s="44"/>
      <c r="L760" s="44"/>
      <c r="M760" s="44"/>
      <c r="N760" s="44"/>
      <c r="O760" s="44"/>
    </row>
    <row r="761" spans="1:15" ht="17.25" customHeight="1">
      <c r="A761" s="44"/>
      <c r="B761" s="44"/>
      <c r="C761" s="44"/>
      <c r="D761" s="44"/>
      <c r="E761" s="44"/>
      <c r="F761" s="44"/>
      <c r="G761" s="44"/>
      <c r="H761" s="44"/>
      <c r="I761" s="44"/>
      <c r="J761" s="44"/>
      <c r="K761" s="44"/>
      <c r="L761" s="44"/>
      <c r="M761" s="44"/>
      <c r="N761" s="44"/>
      <c r="O761" s="44"/>
    </row>
    <row r="762" spans="1:15" ht="17.25" customHeight="1">
      <c r="A762" s="44"/>
      <c r="B762" s="44"/>
      <c r="C762" s="44"/>
      <c r="D762" s="44"/>
      <c r="E762" s="44"/>
      <c r="F762" s="44"/>
      <c r="G762" s="44"/>
      <c r="H762" s="44"/>
      <c r="I762" s="44"/>
      <c r="J762" s="44"/>
      <c r="K762" s="44"/>
      <c r="L762" s="44"/>
      <c r="M762" s="44"/>
      <c r="N762" s="44"/>
      <c r="O762" s="44"/>
    </row>
    <row r="763" spans="1:15" ht="17.25" customHeight="1">
      <c r="A763" s="44"/>
      <c r="B763" s="44"/>
      <c r="C763" s="44"/>
      <c r="D763" s="44"/>
      <c r="E763" s="44"/>
      <c r="F763" s="44"/>
      <c r="G763" s="44"/>
      <c r="H763" s="44"/>
      <c r="I763" s="44"/>
      <c r="J763" s="44"/>
      <c r="K763" s="44"/>
      <c r="L763" s="44"/>
      <c r="M763" s="44"/>
      <c r="N763" s="44"/>
      <c r="O763" s="44"/>
    </row>
    <row r="764" spans="1:15" ht="17.25" customHeight="1">
      <c r="A764" s="44"/>
      <c r="B764" s="44"/>
      <c r="C764" s="44"/>
      <c r="D764" s="44"/>
      <c r="E764" s="44"/>
      <c r="F764" s="44"/>
      <c r="G764" s="44"/>
      <c r="H764" s="44"/>
      <c r="I764" s="44"/>
      <c r="J764" s="44"/>
      <c r="K764" s="44"/>
      <c r="L764" s="44"/>
      <c r="M764" s="44"/>
      <c r="N764" s="44"/>
      <c r="O764" s="44"/>
    </row>
    <row r="765" spans="1:15" ht="17.25" customHeight="1">
      <c r="A765" s="44"/>
      <c r="B765" s="44"/>
      <c r="C765" s="44"/>
      <c r="D765" s="44"/>
      <c r="E765" s="44"/>
      <c r="F765" s="44"/>
      <c r="G765" s="44"/>
      <c r="H765" s="44"/>
      <c r="I765" s="44"/>
      <c r="J765" s="44"/>
      <c r="K765" s="44"/>
      <c r="L765" s="44"/>
      <c r="M765" s="44"/>
      <c r="N765" s="44"/>
      <c r="O765" s="44"/>
    </row>
    <row r="766" spans="1:15" ht="17.25" customHeight="1">
      <c r="A766" s="44"/>
      <c r="B766" s="44"/>
      <c r="C766" s="44"/>
      <c r="D766" s="44"/>
      <c r="E766" s="44"/>
      <c r="F766" s="44"/>
      <c r="G766" s="44"/>
      <c r="H766" s="44"/>
      <c r="I766" s="44"/>
      <c r="J766" s="44"/>
      <c r="K766" s="44"/>
      <c r="L766" s="44"/>
      <c r="M766" s="44"/>
      <c r="N766" s="44"/>
      <c r="O766" s="44"/>
    </row>
    <row r="767" spans="1:15" ht="17.25" customHeight="1">
      <c r="A767" s="44"/>
      <c r="B767" s="44"/>
      <c r="C767" s="44"/>
      <c r="D767" s="44"/>
      <c r="E767" s="44"/>
      <c r="F767" s="44"/>
      <c r="G767" s="44"/>
      <c r="H767" s="44"/>
      <c r="I767" s="44"/>
      <c r="J767" s="44"/>
      <c r="K767" s="44"/>
      <c r="L767" s="44"/>
      <c r="M767" s="44"/>
      <c r="N767" s="44"/>
      <c r="O767" s="44"/>
    </row>
    <row r="768" spans="1:15" ht="17.25" customHeight="1">
      <c r="A768" s="44"/>
      <c r="B768" s="44"/>
      <c r="C768" s="44"/>
      <c r="D768" s="44"/>
      <c r="E768" s="44"/>
      <c r="F768" s="44"/>
      <c r="G768" s="44"/>
      <c r="H768" s="44"/>
      <c r="I768" s="44"/>
      <c r="J768" s="44"/>
      <c r="K768" s="44"/>
      <c r="L768" s="44"/>
      <c r="M768" s="44"/>
      <c r="N768" s="44"/>
      <c r="O768" s="44"/>
    </row>
    <row r="769" spans="1:15" ht="17.25" customHeight="1">
      <c r="A769" s="44"/>
      <c r="B769" s="44"/>
      <c r="C769" s="44"/>
      <c r="D769" s="44"/>
      <c r="E769" s="44"/>
      <c r="F769" s="44"/>
      <c r="G769" s="44"/>
      <c r="H769" s="44"/>
      <c r="I769" s="44"/>
      <c r="J769" s="44"/>
      <c r="K769" s="44"/>
      <c r="L769" s="44"/>
      <c r="M769" s="44"/>
      <c r="N769" s="44"/>
      <c r="O769" s="44"/>
    </row>
    <row r="770" spans="1:15" ht="17.25" customHeight="1">
      <c r="A770" s="44"/>
      <c r="B770" s="44"/>
      <c r="C770" s="44"/>
      <c r="D770" s="44"/>
      <c r="E770" s="44"/>
      <c r="F770" s="44"/>
      <c r="G770" s="44"/>
      <c r="H770" s="44"/>
      <c r="I770" s="44"/>
      <c r="J770" s="44"/>
      <c r="K770" s="44"/>
      <c r="L770" s="44"/>
      <c r="M770" s="44"/>
      <c r="N770" s="44"/>
      <c r="O770" s="44"/>
    </row>
    <row r="771" spans="1:15" ht="17.25" customHeight="1">
      <c r="A771" s="44"/>
      <c r="B771" s="44"/>
      <c r="C771" s="44"/>
      <c r="D771" s="44"/>
      <c r="E771" s="44"/>
      <c r="F771" s="44"/>
      <c r="G771" s="44"/>
      <c r="H771" s="44"/>
      <c r="I771" s="44"/>
      <c r="J771" s="44"/>
      <c r="K771" s="44"/>
      <c r="L771" s="44"/>
      <c r="M771" s="44"/>
      <c r="N771" s="44"/>
      <c r="O771" s="44"/>
    </row>
    <row r="772" spans="1:15" ht="17.25" customHeight="1">
      <c r="A772" s="44"/>
      <c r="B772" s="44"/>
      <c r="C772" s="44"/>
      <c r="D772" s="44"/>
      <c r="E772" s="44"/>
      <c r="F772" s="44"/>
      <c r="G772" s="44"/>
      <c r="H772" s="44"/>
      <c r="I772" s="44"/>
      <c r="J772" s="44"/>
      <c r="K772" s="44"/>
      <c r="L772" s="44"/>
      <c r="M772" s="44"/>
      <c r="N772" s="44"/>
      <c r="O772" s="44"/>
    </row>
    <row r="773" spans="1:15" ht="17.25" customHeight="1">
      <c r="A773" s="44"/>
      <c r="B773" s="44"/>
      <c r="C773" s="44"/>
      <c r="D773" s="44"/>
      <c r="E773" s="44"/>
      <c r="F773" s="44"/>
      <c r="G773" s="44"/>
      <c r="H773" s="44"/>
      <c r="I773" s="44"/>
      <c r="J773" s="44"/>
      <c r="K773" s="44"/>
      <c r="L773" s="44"/>
      <c r="M773" s="44"/>
      <c r="N773" s="44"/>
      <c r="O773" s="44"/>
    </row>
    <row r="774" spans="1:15" ht="17.25" customHeight="1">
      <c r="A774" s="44"/>
      <c r="B774" s="44"/>
      <c r="C774" s="44"/>
      <c r="D774" s="44"/>
      <c r="E774" s="44"/>
      <c r="F774" s="44"/>
      <c r="G774" s="44"/>
      <c r="H774" s="44"/>
      <c r="I774" s="44"/>
      <c r="J774" s="44"/>
      <c r="K774" s="44"/>
      <c r="L774" s="44"/>
      <c r="M774" s="44"/>
      <c r="N774" s="44"/>
      <c r="O774" s="44"/>
    </row>
    <row r="775" spans="1:15" ht="17.25" customHeight="1">
      <c r="A775" s="44"/>
      <c r="B775" s="44"/>
      <c r="C775" s="44"/>
      <c r="D775" s="44"/>
      <c r="E775" s="44"/>
      <c r="F775" s="44"/>
      <c r="G775" s="44"/>
      <c r="H775" s="44"/>
      <c r="I775" s="44"/>
      <c r="J775" s="44"/>
      <c r="K775" s="44"/>
      <c r="L775" s="44"/>
      <c r="M775" s="44"/>
      <c r="N775" s="44"/>
      <c r="O775" s="44"/>
    </row>
    <row r="776" spans="1:15" ht="17.25" customHeight="1">
      <c r="A776" s="44"/>
      <c r="B776" s="44"/>
      <c r="C776" s="44"/>
      <c r="D776" s="44"/>
      <c r="E776" s="44"/>
      <c r="F776" s="44"/>
      <c r="G776" s="44"/>
      <c r="H776" s="44"/>
      <c r="I776" s="44"/>
      <c r="J776" s="44"/>
      <c r="K776" s="44"/>
      <c r="L776" s="44"/>
      <c r="M776" s="44"/>
      <c r="N776" s="44"/>
      <c r="O776" s="44"/>
    </row>
    <row r="777" spans="1:15" ht="17.25" customHeight="1">
      <c r="A777" s="44"/>
      <c r="B777" s="44"/>
      <c r="C777" s="44"/>
      <c r="D777" s="44"/>
      <c r="E777" s="44"/>
      <c r="F777" s="44"/>
      <c r="G777" s="44"/>
      <c r="H777" s="44"/>
      <c r="I777" s="44"/>
      <c r="J777" s="44"/>
      <c r="K777" s="44"/>
      <c r="L777" s="44"/>
      <c r="M777" s="44"/>
      <c r="N777" s="44"/>
      <c r="O777" s="44"/>
    </row>
    <row r="778" spans="1:15" ht="17.25" customHeight="1">
      <c r="A778" s="44"/>
      <c r="B778" s="44"/>
      <c r="C778" s="44"/>
      <c r="D778" s="44"/>
      <c r="E778" s="44"/>
      <c r="F778" s="44"/>
      <c r="G778" s="44"/>
      <c r="H778" s="44"/>
      <c r="I778" s="44"/>
      <c r="J778" s="44"/>
      <c r="K778" s="44"/>
      <c r="L778" s="44"/>
      <c r="M778" s="44"/>
      <c r="N778" s="44"/>
      <c r="O778" s="44"/>
    </row>
    <row r="779" spans="1:15" ht="17.25" customHeight="1">
      <c r="A779" s="44"/>
      <c r="B779" s="44"/>
      <c r="C779" s="44"/>
      <c r="D779" s="44"/>
      <c r="E779" s="44"/>
      <c r="F779" s="44"/>
      <c r="G779" s="44"/>
      <c r="H779" s="44"/>
      <c r="I779" s="44"/>
      <c r="J779" s="44"/>
      <c r="K779" s="44"/>
      <c r="L779" s="44"/>
      <c r="M779" s="44"/>
      <c r="N779" s="44"/>
      <c r="O779" s="44"/>
    </row>
    <row r="780" spans="1:15" ht="17.25" customHeight="1">
      <c r="A780" s="44"/>
      <c r="B780" s="44"/>
      <c r="C780" s="44"/>
      <c r="D780" s="44"/>
      <c r="E780" s="44"/>
      <c r="F780" s="44"/>
      <c r="G780" s="44"/>
      <c r="H780" s="44"/>
      <c r="I780" s="44"/>
      <c r="J780" s="44"/>
      <c r="K780" s="44"/>
      <c r="L780" s="44"/>
      <c r="M780" s="44"/>
      <c r="N780" s="44"/>
      <c r="O780" s="44"/>
    </row>
    <row r="781" spans="1:15" ht="17.25" customHeight="1">
      <c r="A781" s="44"/>
      <c r="B781" s="44"/>
      <c r="C781" s="44"/>
      <c r="D781" s="44"/>
      <c r="E781" s="44"/>
      <c r="F781" s="44"/>
      <c r="G781" s="44"/>
      <c r="H781" s="44"/>
      <c r="I781" s="44"/>
      <c r="J781" s="44"/>
      <c r="K781" s="44"/>
      <c r="L781" s="44"/>
      <c r="M781" s="44"/>
      <c r="N781" s="44"/>
      <c r="O781" s="44"/>
    </row>
    <row r="782" spans="1:15" ht="17.25" customHeight="1">
      <c r="A782" s="44"/>
      <c r="B782" s="44"/>
      <c r="C782" s="44"/>
      <c r="D782" s="44"/>
      <c r="E782" s="44"/>
      <c r="F782" s="44"/>
      <c r="G782" s="44"/>
      <c r="H782" s="44"/>
      <c r="I782" s="44"/>
      <c r="J782" s="44"/>
      <c r="K782" s="44"/>
      <c r="L782" s="44"/>
      <c r="M782" s="44"/>
      <c r="N782" s="44"/>
      <c r="O782" s="44"/>
    </row>
    <row r="783" spans="1:15" ht="17.25" customHeight="1">
      <c r="A783" s="44"/>
      <c r="B783" s="44"/>
      <c r="C783" s="44"/>
      <c r="D783" s="44"/>
      <c r="E783" s="44"/>
      <c r="F783" s="44"/>
      <c r="G783" s="44"/>
      <c r="H783" s="44"/>
      <c r="I783" s="44"/>
      <c r="J783" s="44"/>
      <c r="K783" s="44"/>
      <c r="L783" s="44"/>
      <c r="M783" s="44"/>
      <c r="N783" s="44"/>
      <c r="O783" s="44"/>
    </row>
    <row r="784" spans="1:15" ht="17.25" customHeight="1">
      <c r="A784" s="44"/>
      <c r="B784" s="44"/>
      <c r="C784" s="44"/>
      <c r="D784" s="44"/>
      <c r="E784" s="44"/>
      <c r="F784" s="44"/>
      <c r="G784" s="44"/>
      <c r="H784" s="44"/>
      <c r="I784" s="44"/>
      <c r="J784" s="44"/>
      <c r="K784" s="44"/>
      <c r="L784" s="44"/>
      <c r="M784" s="44"/>
      <c r="N784" s="44"/>
      <c r="O784" s="44"/>
    </row>
    <row r="785" spans="1:15" ht="17.25" customHeight="1">
      <c r="A785" s="44"/>
      <c r="B785" s="44"/>
      <c r="C785" s="44"/>
      <c r="D785" s="44"/>
      <c r="E785" s="44"/>
      <c r="F785" s="44"/>
      <c r="G785" s="44"/>
      <c r="H785" s="44"/>
      <c r="I785" s="44"/>
      <c r="J785" s="44"/>
      <c r="K785" s="44"/>
      <c r="L785" s="44"/>
      <c r="M785" s="44"/>
      <c r="N785" s="44"/>
      <c r="O785" s="44"/>
    </row>
    <row r="786" spans="1:15" ht="17.25" customHeight="1">
      <c r="A786" s="44"/>
      <c r="B786" s="44"/>
      <c r="C786" s="44"/>
      <c r="D786" s="44"/>
      <c r="E786" s="44"/>
      <c r="F786" s="44"/>
      <c r="G786" s="44"/>
      <c r="H786" s="44"/>
      <c r="I786" s="44"/>
      <c r="J786" s="44"/>
      <c r="K786" s="44"/>
      <c r="L786" s="44"/>
      <c r="M786" s="44"/>
      <c r="N786" s="44"/>
      <c r="O786" s="44"/>
    </row>
    <row r="787" spans="1:15" ht="17.25" customHeight="1">
      <c r="A787" s="44"/>
      <c r="B787" s="44"/>
      <c r="C787" s="44"/>
      <c r="D787" s="44"/>
      <c r="E787" s="44"/>
      <c r="F787" s="44"/>
      <c r="G787" s="44"/>
      <c r="H787" s="44"/>
      <c r="I787" s="44"/>
      <c r="J787" s="44"/>
      <c r="K787" s="44"/>
      <c r="L787" s="44"/>
      <c r="M787" s="44"/>
      <c r="N787" s="44"/>
      <c r="O787" s="44"/>
    </row>
    <row r="788" spans="1:15" ht="17.25" customHeight="1">
      <c r="A788" s="44"/>
      <c r="B788" s="44"/>
      <c r="C788" s="44"/>
      <c r="D788" s="44"/>
      <c r="E788" s="44"/>
      <c r="F788" s="44"/>
      <c r="G788" s="44"/>
      <c r="H788" s="44"/>
      <c r="I788" s="44"/>
      <c r="J788" s="44"/>
      <c r="K788" s="44"/>
      <c r="L788" s="44"/>
      <c r="M788" s="44"/>
      <c r="N788" s="44"/>
      <c r="O788" s="44"/>
    </row>
    <row r="789" spans="1:15" ht="17.25" customHeight="1">
      <c r="A789" s="44"/>
      <c r="B789" s="44"/>
      <c r="C789" s="44"/>
      <c r="D789" s="44"/>
      <c r="E789" s="44"/>
      <c r="F789" s="44"/>
      <c r="G789" s="44"/>
      <c r="H789" s="44"/>
      <c r="I789" s="44"/>
      <c r="J789" s="44"/>
      <c r="K789" s="44"/>
      <c r="L789" s="44"/>
      <c r="M789" s="44"/>
      <c r="N789" s="44"/>
      <c r="O789" s="44"/>
    </row>
    <row r="790" spans="1:15" ht="17.25" customHeight="1">
      <c r="A790" s="44"/>
      <c r="B790" s="44"/>
      <c r="C790" s="44"/>
      <c r="D790" s="44"/>
      <c r="E790" s="44"/>
      <c r="F790" s="44"/>
      <c r="G790" s="44"/>
      <c r="H790" s="44"/>
      <c r="I790" s="44"/>
      <c r="J790" s="44"/>
      <c r="K790" s="44"/>
      <c r="L790" s="44"/>
      <c r="M790" s="44"/>
      <c r="N790" s="44"/>
      <c r="O790" s="44"/>
    </row>
    <row r="791" spans="1:15" ht="17.25" customHeight="1">
      <c r="A791" s="44"/>
      <c r="B791" s="44"/>
      <c r="C791" s="44"/>
      <c r="D791" s="44"/>
      <c r="E791" s="44"/>
      <c r="F791" s="44"/>
      <c r="G791" s="44"/>
      <c r="H791" s="44"/>
      <c r="I791" s="44"/>
      <c r="J791" s="44"/>
      <c r="K791" s="44"/>
      <c r="L791" s="44"/>
      <c r="M791" s="44"/>
      <c r="N791" s="44"/>
      <c r="O791" s="44"/>
    </row>
    <row r="792" spans="1:15" ht="17.25" customHeight="1">
      <c r="A792" s="44"/>
      <c r="B792" s="44"/>
      <c r="C792" s="44"/>
      <c r="D792" s="44"/>
      <c r="E792" s="44"/>
      <c r="F792" s="44"/>
      <c r="G792" s="44"/>
      <c r="H792" s="44"/>
      <c r="I792" s="44"/>
      <c r="J792" s="44"/>
      <c r="K792" s="44"/>
      <c r="L792" s="44"/>
      <c r="M792" s="44"/>
      <c r="N792" s="44"/>
      <c r="O792" s="44"/>
    </row>
    <row r="793" spans="1:15" ht="17.25" customHeight="1">
      <c r="A793" s="44"/>
      <c r="B793" s="44"/>
      <c r="C793" s="44"/>
      <c r="D793" s="44"/>
      <c r="E793" s="44"/>
      <c r="F793" s="44"/>
      <c r="G793" s="44"/>
      <c r="H793" s="44"/>
      <c r="I793" s="44"/>
      <c r="J793" s="44"/>
      <c r="K793" s="44"/>
      <c r="L793" s="44"/>
      <c r="M793" s="44"/>
      <c r="N793" s="44"/>
      <c r="O793" s="44"/>
    </row>
    <row r="794" spans="1:15" ht="17.25" customHeight="1">
      <c r="A794" s="44"/>
      <c r="B794" s="44"/>
      <c r="C794" s="44"/>
      <c r="D794" s="44"/>
      <c r="E794" s="44"/>
      <c r="F794" s="44"/>
      <c r="G794" s="44"/>
      <c r="H794" s="44"/>
      <c r="I794" s="44"/>
      <c r="J794" s="44"/>
      <c r="K794" s="44"/>
      <c r="L794" s="44"/>
      <c r="M794" s="44"/>
      <c r="N794" s="44"/>
      <c r="O794" s="44"/>
    </row>
    <row r="795" spans="1:15" ht="17.25" customHeight="1">
      <c r="A795" s="44"/>
      <c r="B795" s="44"/>
      <c r="C795" s="44"/>
      <c r="D795" s="44"/>
      <c r="E795" s="44"/>
      <c r="F795" s="44"/>
      <c r="G795" s="44"/>
      <c r="H795" s="44"/>
      <c r="I795" s="44"/>
      <c r="J795" s="44"/>
      <c r="K795" s="44"/>
      <c r="L795" s="44"/>
      <c r="M795" s="44"/>
      <c r="N795" s="44"/>
      <c r="O795" s="44"/>
    </row>
    <row r="796" spans="1:15" ht="17.25" customHeight="1">
      <c r="A796" s="44"/>
      <c r="B796" s="44"/>
      <c r="C796" s="44"/>
      <c r="D796" s="44"/>
      <c r="E796" s="44"/>
      <c r="F796" s="44"/>
      <c r="G796" s="44"/>
      <c r="H796" s="44"/>
      <c r="I796" s="44"/>
      <c r="J796" s="44"/>
      <c r="K796" s="44"/>
      <c r="L796" s="44"/>
      <c r="M796" s="44"/>
      <c r="N796" s="44"/>
      <c r="O796" s="44"/>
    </row>
    <row r="797" spans="1:15" ht="17.25" customHeight="1">
      <c r="A797" s="44"/>
      <c r="B797" s="44"/>
      <c r="C797" s="44"/>
      <c r="D797" s="44"/>
      <c r="E797" s="44"/>
      <c r="F797" s="44"/>
      <c r="G797" s="44"/>
      <c r="H797" s="44"/>
      <c r="I797" s="44"/>
      <c r="J797" s="44"/>
      <c r="K797" s="44"/>
      <c r="L797" s="44"/>
      <c r="M797" s="44"/>
      <c r="N797" s="44"/>
      <c r="O797" s="44"/>
    </row>
    <row r="798" spans="1:15" ht="17.25" customHeight="1">
      <c r="A798" s="44"/>
      <c r="B798" s="44"/>
      <c r="C798" s="44"/>
      <c r="D798" s="44"/>
      <c r="E798" s="44"/>
      <c r="F798" s="44"/>
      <c r="G798" s="44"/>
      <c r="H798" s="44"/>
      <c r="I798" s="44"/>
      <c r="J798" s="44"/>
      <c r="K798" s="44"/>
      <c r="L798" s="44"/>
      <c r="M798" s="44"/>
      <c r="N798" s="44"/>
      <c r="O798" s="44"/>
    </row>
    <row r="799" spans="1:15" ht="17.25" customHeight="1">
      <c r="A799" s="44"/>
      <c r="B799" s="44"/>
      <c r="C799" s="44"/>
      <c r="D799" s="44"/>
      <c r="E799" s="44"/>
      <c r="F799" s="44"/>
      <c r="G799" s="44"/>
      <c r="H799" s="44"/>
      <c r="I799" s="44"/>
      <c r="J799" s="44"/>
      <c r="K799" s="44"/>
      <c r="L799" s="44"/>
      <c r="M799" s="44"/>
      <c r="N799" s="44"/>
      <c r="O799" s="44"/>
    </row>
    <row r="800" spans="1:15" ht="17.25" customHeight="1">
      <c r="A800" s="44"/>
      <c r="B800" s="44"/>
      <c r="C800" s="44"/>
      <c r="D800" s="44"/>
      <c r="E800" s="44"/>
      <c r="F800" s="44"/>
      <c r="G800" s="44"/>
      <c r="H800" s="44"/>
      <c r="I800" s="44"/>
      <c r="J800" s="44"/>
      <c r="K800" s="44"/>
      <c r="L800" s="44"/>
      <c r="M800" s="44"/>
      <c r="N800" s="44"/>
      <c r="O800" s="44"/>
    </row>
    <row r="801" spans="1:15" ht="17.25" customHeight="1">
      <c r="A801" s="44"/>
      <c r="B801" s="44"/>
      <c r="C801" s="44"/>
      <c r="D801" s="44"/>
      <c r="E801" s="44"/>
      <c r="F801" s="44"/>
      <c r="G801" s="44"/>
      <c r="H801" s="44"/>
      <c r="I801" s="44"/>
      <c r="J801" s="44"/>
      <c r="K801" s="44"/>
      <c r="L801" s="44"/>
      <c r="M801" s="44"/>
      <c r="N801" s="44"/>
      <c r="O801" s="44"/>
    </row>
    <row r="802" spans="1:15" ht="17.25" customHeight="1">
      <c r="A802" s="44"/>
      <c r="B802" s="44"/>
      <c r="C802" s="44"/>
      <c r="D802" s="44"/>
      <c r="E802" s="44"/>
      <c r="F802" s="44"/>
      <c r="G802" s="44"/>
      <c r="H802" s="44"/>
      <c r="I802" s="44"/>
      <c r="J802" s="44"/>
      <c r="K802" s="44"/>
      <c r="L802" s="44"/>
      <c r="M802" s="44"/>
      <c r="N802" s="44"/>
      <c r="O802" s="44"/>
    </row>
    <row r="803" spans="1:15" ht="17.25" customHeight="1">
      <c r="A803" s="44"/>
      <c r="B803" s="44"/>
      <c r="C803" s="44"/>
      <c r="D803" s="44"/>
      <c r="E803" s="44"/>
      <c r="F803" s="44"/>
      <c r="G803" s="44"/>
      <c r="H803" s="44"/>
      <c r="I803" s="44"/>
      <c r="J803" s="44"/>
      <c r="K803" s="44"/>
      <c r="L803" s="44"/>
      <c r="M803" s="44"/>
      <c r="N803" s="44"/>
      <c r="O803" s="44"/>
    </row>
    <row r="804" spans="1:15" ht="17.25" customHeight="1">
      <c r="A804" s="44"/>
      <c r="B804" s="44"/>
      <c r="C804" s="44"/>
      <c r="D804" s="44"/>
      <c r="E804" s="44"/>
      <c r="F804" s="44"/>
      <c r="G804" s="44"/>
      <c r="H804" s="44"/>
      <c r="I804" s="44"/>
      <c r="J804" s="44"/>
      <c r="K804" s="44"/>
      <c r="L804" s="44"/>
      <c r="M804" s="44"/>
      <c r="N804" s="44"/>
      <c r="O804" s="44"/>
    </row>
    <row r="805" spans="1:15" ht="17.25" customHeight="1">
      <c r="A805" s="44"/>
      <c r="B805" s="44"/>
      <c r="C805" s="44"/>
      <c r="D805" s="44"/>
      <c r="E805" s="44"/>
      <c r="F805" s="44"/>
      <c r="G805" s="44"/>
      <c r="H805" s="44"/>
      <c r="I805" s="44"/>
      <c r="J805" s="44"/>
      <c r="K805" s="44"/>
      <c r="L805" s="44"/>
      <c r="M805" s="44"/>
      <c r="N805" s="44"/>
      <c r="O805" s="44"/>
    </row>
    <row r="806" spans="1:15" ht="17.25" customHeight="1">
      <c r="A806" s="44"/>
      <c r="B806" s="44"/>
      <c r="C806" s="44"/>
      <c r="D806" s="44"/>
      <c r="E806" s="44"/>
      <c r="F806" s="44"/>
      <c r="G806" s="44"/>
      <c r="H806" s="44"/>
      <c r="I806" s="44"/>
      <c r="J806" s="44"/>
      <c r="K806" s="44"/>
      <c r="L806" s="44"/>
      <c r="M806" s="44"/>
      <c r="N806" s="44"/>
      <c r="O806" s="44"/>
    </row>
    <row r="807" spans="1:15" ht="17.25" customHeight="1">
      <c r="A807" s="44"/>
      <c r="B807" s="44"/>
      <c r="C807" s="44"/>
      <c r="D807" s="44"/>
      <c r="E807" s="44"/>
      <c r="F807" s="44"/>
      <c r="G807" s="44"/>
      <c r="H807" s="44"/>
      <c r="I807" s="44"/>
      <c r="J807" s="44"/>
      <c r="K807" s="44"/>
      <c r="L807" s="44"/>
      <c r="M807" s="44"/>
      <c r="N807" s="44"/>
      <c r="O807" s="44"/>
    </row>
    <row r="808" spans="1:15" ht="17.25" customHeight="1">
      <c r="A808" s="44"/>
      <c r="B808" s="44"/>
      <c r="C808" s="44"/>
      <c r="D808" s="44"/>
      <c r="E808" s="44"/>
      <c r="F808" s="44"/>
      <c r="G808" s="44"/>
      <c r="H808" s="44"/>
      <c r="I808" s="44"/>
      <c r="J808" s="44"/>
      <c r="K808" s="44"/>
      <c r="L808" s="44"/>
      <c r="M808" s="44"/>
      <c r="N808" s="44"/>
      <c r="O808" s="44"/>
    </row>
    <row r="809" spans="1:15" ht="17.25" customHeight="1">
      <c r="A809" s="44"/>
      <c r="B809" s="44"/>
      <c r="C809" s="44"/>
      <c r="D809" s="44"/>
      <c r="E809" s="44"/>
      <c r="F809" s="44"/>
      <c r="G809" s="44"/>
      <c r="H809" s="44"/>
      <c r="I809" s="44"/>
      <c r="J809" s="44"/>
      <c r="K809" s="44"/>
      <c r="L809" s="44"/>
      <c r="M809" s="44"/>
      <c r="N809" s="44"/>
      <c r="O809" s="44"/>
    </row>
    <row r="810" spans="1:15" ht="17.25" customHeight="1">
      <c r="A810" s="44"/>
      <c r="B810" s="44"/>
      <c r="C810" s="44"/>
      <c r="D810" s="44"/>
      <c r="E810" s="44"/>
      <c r="F810" s="44"/>
      <c r="G810" s="44"/>
      <c r="H810" s="44"/>
      <c r="I810" s="44"/>
      <c r="J810" s="44"/>
      <c r="K810" s="44"/>
      <c r="L810" s="44"/>
      <c r="M810" s="44"/>
      <c r="N810" s="44"/>
      <c r="O810" s="44"/>
    </row>
    <row r="811" spans="1:15" ht="17.25" customHeight="1">
      <c r="A811" s="44"/>
      <c r="B811" s="44"/>
      <c r="C811" s="44"/>
      <c r="D811" s="44"/>
      <c r="E811" s="44"/>
      <c r="F811" s="44"/>
      <c r="G811" s="44"/>
      <c r="H811" s="44"/>
      <c r="I811" s="44"/>
      <c r="J811" s="44"/>
      <c r="K811" s="44"/>
      <c r="L811" s="44"/>
      <c r="M811" s="44"/>
      <c r="N811" s="44"/>
      <c r="O811" s="44"/>
    </row>
    <row r="812" spans="1:15" ht="17.25" customHeight="1">
      <c r="A812" s="44"/>
      <c r="B812" s="44"/>
      <c r="C812" s="44"/>
      <c r="D812" s="44"/>
      <c r="E812" s="44"/>
      <c r="F812" s="44"/>
      <c r="G812" s="44"/>
      <c r="H812" s="44"/>
      <c r="I812" s="44"/>
      <c r="J812" s="44"/>
      <c r="K812" s="44"/>
      <c r="L812" s="44"/>
      <c r="M812" s="44"/>
      <c r="N812" s="44"/>
      <c r="O812" s="44"/>
    </row>
    <row r="813" spans="1:15" ht="17.25" customHeight="1">
      <c r="A813" s="44"/>
      <c r="B813" s="44"/>
      <c r="C813" s="44"/>
      <c r="D813" s="44"/>
      <c r="E813" s="44"/>
      <c r="F813" s="44"/>
      <c r="G813" s="44"/>
      <c r="H813" s="44"/>
      <c r="I813" s="44"/>
      <c r="J813" s="44"/>
      <c r="K813" s="44"/>
      <c r="L813" s="44"/>
      <c r="M813" s="44"/>
      <c r="N813" s="44"/>
      <c r="O813" s="44"/>
    </row>
    <row r="814" spans="1:15" ht="17.25" customHeight="1">
      <c r="A814" s="44"/>
      <c r="B814" s="44"/>
      <c r="C814" s="44"/>
      <c r="D814" s="44"/>
      <c r="E814" s="44"/>
      <c r="F814" s="44"/>
      <c r="G814" s="44"/>
      <c r="H814" s="44"/>
      <c r="I814" s="44"/>
      <c r="J814" s="44"/>
      <c r="K814" s="44"/>
      <c r="L814" s="44"/>
      <c r="M814" s="44"/>
      <c r="N814" s="44"/>
      <c r="O814" s="44"/>
    </row>
    <row r="815" spans="1:15" ht="17.25" customHeight="1">
      <c r="A815" s="44"/>
      <c r="B815" s="44"/>
      <c r="C815" s="44"/>
      <c r="D815" s="44"/>
      <c r="E815" s="44"/>
      <c r="F815" s="44"/>
      <c r="G815" s="44"/>
      <c r="H815" s="44"/>
      <c r="I815" s="44"/>
      <c r="J815" s="44"/>
      <c r="K815" s="44"/>
      <c r="L815" s="44"/>
      <c r="M815" s="44"/>
      <c r="N815" s="44"/>
      <c r="O815" s="44"/>
    </row>
    <row r="816" spans="1:15" ht="17.25" customHeight="1">
      <c r="A816" s="44"/>
      <c r="B816" s="44"/>
      <c r="C816" s="44"/>
      <c r="D816" s="44"/>
      <c r="E816" s="44"/>
      <c r="F816" s="44"/>
      <c r="G816" s="44"/>
      <c r="H816" s="44"/>
      <c r="I816" s="44"/>
      <c r="J816" s="44"/>
      <c r="K816" s="44"/>
      <c r="L816" s="44"/>
      <c r="M816" s="44"/>
      <c r="N816" s="44"/>
      <c r="O816" s="44"/>
    </row>
    <row r="817" spans="1:15" ht="17.25" customHeight="1">
      <c r="A817" s="44"/>
      <c r="B817" s="44"/>
      <c r="C817" s="44"/>
      <c r="D817" s="44"/>
      <c r="E817" s="44"/>
      <c r="F817" s="44"/>
      <c r="G817" s="44"/>
      <c r="H817" s="44"/>
      <c r="I817" s="44"/>
      <c r="J817" s="44"/>
      <c r="K817" s="44"/>
      <c r="L817" s="44"/>
      <c r="M817" s="44"/>
      <c r="N817" s="44"/>
      <c r="O817" s="44"/>
    </row>
    <row r="818" spans="1:15" ht="17.25" customHeight="1">
      <c r="A818" s="44"/>
      <c r="B818" s="44"/>
      <c r="C818" s="44"/>
      <c r="D818" s="44"/>
      <c r="E818" s="44"/>
      <c r="F818" s="44"/>
      <c r="G818" s="44"/>
      <c r="H818" s="44"/>
      <c r="I818" s="44"/>
      <c r="J818" s="44"/>
      <c r="K818" s="44"/>
      <c r="L818" s="44"/>
      <c r="M818" s="44"/>
      <c r="N818" s="44"/>
      <c r="O818" s="44"/>
    </row>
    <row r="819" spans="1:15" ht="17.25" customHeight="1">
      <c r="A819" s="44"/>
      <c r="B819" s="44"/>
      <c r="C819" s="44"/>
      <c r="D819" s="44"/>
      <c r="E819" s="44"/>
      <c r="F819" s="44"/>
      <c r="G819" s="44"/>
      <c r="H819" s="44"/>
      <c r="I819" s="44"/>
      <c r="J819" s="44"/>
      <c r="K819" s="44"/>
      <c r="L819" s="44"/>
      <c r="M819" s="44"/>
      <c r="N819" s="44"/>
      <c r="O819" s="44"/>
    </row>
    <row r="820" spans="1:15" ht="17.25" customHeight="1">
      <c r="A820" s="44"/>
      <c r="B820" s="44"/>
      <c r="C820" s="44"/>
      <c r="D820" s="44"/>
      <c r="E820" s="44"/>
      <c r="F820" s="44"/>
      <c r="G820" s="44"/>
      <c r="H820" s="44"/>
      <c r="I820" s="44"/>
      <c r="J820" s="44"/>
      <c r="K820" s="44"/>
      <c r="L820" s="44"/>
      <c r="M820" s="44"/>
      <c r="N820" s="44"/>
      <c r="O820" s="44"/>
    </row>
    <row r="821" spans="1:15" ht="17.25" customHeight="1">
      <c r="A821" s="44"/>
      <c r="B821" s="44"/>
      <c r="C821" s="44"/>
      <c r="D821" s="44"/>
      <c r="E821" s="44"/>
      <c r="F821" s="44"/>
      <c r="G821" s="44"/>
      <c r="H821" s="44"/>
      <c r="I821" s="44"/>
      <c r="J821" s="44"/>
      <c r="K821" s="44"/>
      <c r="L821" s="44"/>
      <c r="M821" s="44"/>
      <c r="N821" s="44"/>
      <c r="O821" s="44"/>
    </row>
    <row r="822" spans="1:15" ht="17.25" customHeight="1">
      <c r="A822" s="44"/>
      <c r="B822" s="44"/>
      <c r="C822" s="44"/>
      <c r="D822" s="44"/>
      <c r="E822" s="44"/>
      <c r="F822" s="44"/>
      <c r="G822" s="44"/>
      <c r="H822" s="44"/>
      <c r="I822" s="44"/>
      <c r="J822" s="44"/>
      <c r="K822" s="44"/>
      <c r="L822" s="44"/>
      <c r="M822" s="44"/>
      <c r="N822" s="44"/>
      <c r="O822" s="44"/>
    </row>
    <row r="823" spans="1:15" ht="17.25" customHeight="1">
      <c r="A823" s="44"/>
      <c r="B823" s="44"/>
      <c r="C823" s="44"/>
      <c r="D823" s="44"/>
      <c r="E823" s="44"/>
      <c r="F823" s="44"/>
      <c r="G823" s="44"/>
      <c r="H823" s="44"/>
      <c r="I823" s="44"/>
      <c r="J823" s="44"/>
      <c r="K823" s="44"/>
      <c r="L823" s="44"/>
      <c r="M823" s="44"/>
      <c r="N823" s="44"/>
      <c r="O823" s="44"/>
    </row>
    <row r="824" spans="1:15" ht="17.25" customHeight="1">
      <c r="A824" s="44"/>
      <c r="B824" s="44"/>
      <c r="C824" s="44"/>
      <c r="D824" s="44"/>
      <c r="E824" s="44"/>
      <c r="F824" s="44"/>
      <c r="G824" s="44"/>
      <c r="H824" s="44"/>
      <c r="I824" s="44"/>
      <c r="J824" s="44"/>
      <c r="K824" s="44"/>
      <c r="L824" s="44"/>
      <c r="M824" s="44"/>
      <c r="N824" s="44"/>
      <c r="O824" s="44"/>
    </row>
    <row r="825" spans="1:15" ht="17.25" customHeight="1">
      <c r="A825" s="44"/>
      <c r="B825" s="44"/>
      <c r="C825" s="44"/>
      <c r="D825" s="44"/>
      <c r="E825" s="44"/>
      <c r="F825" s="44"/>
      <c r="G825" s="44"/>
      <c r="H825" s="44"/>
      <c r="I825" s="44"/>
      <c r="J825" s="44"/>
      <c r="K825" s="44"/>
      <c r="L825" s="44"/>
      <c r="M825" s="44"/>
      <c r="N825" s="44"/>
      <c r="O825" s="44"/>
    </row>
    <row r="826" spans="1:15" ht="17.25" customHeight="1">
      <c r="A826" s="44"/>
      <c r="B826" s="44"/>
      <c r="C826" s="44"/>
      <c r="D826" s="44"/>
      <c r="E826" s="44"/>
      <c r="F826" s="44"/>
      <c r="G826" s="44"/>
      <c r="H826" s="44"/>
      <c r="I826" s="44"/>
      <c r="J826" s="44"/>
      <c r="K826" s="44"/>
      <c r="L826" s="44"/>
      <c r="M826" s="44"/>
      <c r="N826" s="44"/>
      <c r="O826" s="44"/>
    </row>
    <row r="827" spans="1:15" ht="17.25" customHeight="1">
      <c r="A827" s="44"/>
      <c r="B827" s="44"/>
      <c r="C827" s="44"/>
      <c r="D827" s="44"/>
      <c r="E827" s="44"/>
      <c r="F827" s="44"/>
      <c r="G827" s="44"/>
      <c r="H827" s="44"/>
      <c r="I827" s="44"/>
      <c r="J827" s="44"/>
      <c r="K827" s="44"/>
      <c r="L827" s="44"/>
      <c r="M827" s="44"/>
      <c r="N827" s="44"/>
      <c r="O827" s="44"/>
    </row>
    <row r="828" spans="1:15" ht="17.25" customHeight="1">
      <c r="A828" s="44"/>
      <c r="B828" s="44"/>
      <c r="C828" s="44"/>
      <c r="D828" s="44"/>
      <c r="E828" s="44"/>
      <c r="F828" s="44"/>
      <c r="G828" s="44"/>
      <c r="H828" s="44"/>
      <c r="I828" s="44"/>
      <c r="J828" s="44"/>
      <c r="K828" s="44"/>
      <c r="L828" s="44"/>
      <c r="M828" s="44"/>
      <c r="N828" s="44"/>
      <c r="O828" s="44"/>
    </row>
    <row r="829" spans="1:15" ht="17.25" customHeight="1">
      <c r="A829" s="44"/>
      <c r="B829" s="44"/>
      <c r="C829" s="44"/>
      <c r="D829" s="44"/>
      <c r="E829" s="44"/>
      <c r="F829" s="44"/>
      <c r="G829" s="44"/>
      <c r="H829" s="44"/>
      <c r="I829" s="44"/>
      <c r="J829" s="44"/>
      <c r="K829" s="44"/>
      <c r="L829" s="44"/>
      <c r="M829" s="44"/>
      <c r="N829" s="44"/>
      <c r="O829" s="44"/>
    </row>
    <row r="830" spans="1:15" ht="17.25" customHeight="1">
      <c r="A830" s="44"/>
      <c r="B830" s="44"/>
      <c r="C830" s="44"/>
      <c r="D830" s="44"/>
      <c r="E830" s="44"/>
      <c r="F830" s="44"/>
      <c r="G830" s="44"/>
      <c r="H830" s="44"/>
      <c r="I830" s="44"/>
      <c r="J830" s="44"/>
      <c r="K830" s="44"/>
      <c r="L830" s="44"/>
      <c r="M830" s="44"/>
      <c r="N830" s="44"/>
      <c r="O830" s="44"/>
    </row>
    <row r="831" spans="1:15" ht="17.25" customHeight="1">
      <c r="A831" s="44"/>
      <c r="B831" s="44"/>
      <c r="C831" s="44"/>
      <c r="D831" s="44"/>
      <c r="E831" s="44"/>
      <c r="F831" s="44"/>
      <c r="G831" s="44"/>
      <c r="H831" s="44"/>
      <c r="I831" s="44"/>
      <c r="J831" s="44"/>
      <c r="K831" s="44"/>
      <c r="L831" s="44"/>
      <c r="M831" s="44"/>
      <c r="N831" s="44"/>
      <c r="O831" s="44"/>
    </row>
    <row r="832" spans="1:15" ht="17.25" customHeight="1">
      <c r="A832" s="44"/>
      <c r="B832" s="44"/>
      <c r="C832" s="44"/>
      <c r="D832" s="44"/>
      <c r="E832" s="44"/>
      <c r="F832" s="44"/>
      <c r="G832" s="44"/>
      <c r="H832" s="44"/>
      <c r="I832" s="44"/>
      <c r="J832" s="44"/>
      <c r="K832" s="44"/>
      <c r="L832" s="44"/>
      <c r="M832" s="44"/>
      <c r="N832" s="44"/>
      <c r="O832" s="44"/>
    </row>
    <row r="833" spans="1:15" ht="17.25" customHeight="1">
      <c r="A833" s="44"/>
      <c r="B833" s="44"/>
      <c r="C833" s="44"/>
      <c r="D833" s="44"/>
      <c r="E833" s="44"/>
      <c r="F833" s="44"/>
      <c r="G833" s="44"/>
      <c r="H833" s="44"/>
      <c r="I833" s="44"/>
      <c r="J833" s="44"/>
      <c r="K833" s="44"/>
      <c r="L833" s="44"/>
      <c r="M833" s="44"/>
      <c r="N833" s="44"/>
      <c r="O833" s="44"/>
    </row>
    <row r="834" spans="1:15" ht="17.25" customHeight="1">
      <c r="A834" s="44"/>
      <c r="B834" s="44"/>
      <c r="C834" s="44"/>
      <c r="D834" s="44"/>
      <c r="E834" s="44"/>
      <c r="F834" s="44"/>
      <c r="G834" s="44"/>
      <c r="H834" s="44"/>
      <c r="I834" s="44"/>
      <c r="J834" s="44"/>
      <c r="K834" s="44"/>
      <c r="L834" s="44"/>
      <c r="M834" s="44"/>
      <c r="N834" s="44"/>
      <c r="O834" s="44"/>
    </row>
    <row r="835" spans="1:15" ht="17.25" customHeight="1">
      <c r="A835" s="44"/>
      <c r="B835" s="44"/>
      <c r="C835" s="44"/>
      <c r="D835" s="44"/>
      <c r="E835" s="44"/>
      <c r="F835" s="44"/>
      <c r="G835" s="44"/>
      <c r="H835" s="44"/>
      <c r="I835" s="44"/>
      <c r="J835" s="44"/>
      <c r="K835" s="44"/>
      <c r="L835" s="44"/>
      <c r="M835" s="44"/>
      <c r="N835" s="44"/>
      <c r="O835" s="44"/>
    </row>
    <row r="836" spans="1:15" ht="17.25" customHeight="1">
      <c r="A836" s="44"/>
      <c r="B836" s="44"/>
      <c r="C836" s="44"/>
      <c r="D836" s="44"/>
      <c r="E836" s="44"/>
      <c r="F836" s="44"/>
      <c r="G836" s="44"/>
      <c r="H836" s="44"/>
      <c r="I836" s="44"/>
      <c r="J836" s="44"/>
      <c r="K836" s="44"/>
      <c r="L836" s="44"/>
      <c r="M836" s="44"/>
      <c r="N836" s="44"/>
      <c r="O836" s="44"/>
    </row>
    <row r="837" spans="1:15" ht="17.25" customHeight="1">
      <c r="A837" s="44"/>
      <c r="B837" s="44"/>
      <c r="C837" s="44"/>
      <c r="D837" s="44"/>
      <c r="E837" s="44"/>
      <c r="F837" s="44"/>
      <c r="G837" s="44"/>
      <c r="H837" s="44"/>
      <c r="I837" s="44"/>
      <c r="J837" s="44"/>
      <c r="K837" s="44"/>
      <c r="L837" s="44"/>
      <c r="M837" s="44"/>
      <c r="N837" s="44"/>
      <c r="O837" s="44"/>
    </row>
    <row r="838" spans="1:15" ht="17.25" customHeight="1">
      <c r="A838" s="44"/>
      <c r="B838" s="44"/>
      <c r="C838" s="44"/>
      <c r="D838" s="44"/>
      <c r="E838" s="44"/>
      <c r="F838" s="44"/>
      <c r="G838" s="44"/>
      <c r="H838" s="44"/>
      <c r="I838" s="44"/>
      <c r="J838" s="44"/>
      <c r="K838" s="44"/>
      <c r="L838" s="44"/>
      <c r="M838" s="44"/>
      <c r="N838" s="44"/>
      <c r="O838" s="44"/>
    </row>
    <row r="839" spans="1:15" ht="17.25" customHeight="1">
      <c r="A839" s="44"/>
      <c r="B839" s="44"/>
      <c r="C839" s="44"/>
      <c r="D839" s="44"/>
      <c r="E839" s="44"/>
      <c r="F839" s="44"/>
      <c r="G839" s="44"/>
      <c r="H839" s="44"/>
      <c r="I839" s="44"/>
      <c r="J839" s="44"/>
      <c r="K839" s="44"/>
      <c r="L839" s="44"/>
      <c r="M839" s="44"/>
      <c r="N839" s="44"/>
      <c r="O839" s="44"/>
    </row>
    <row r="840" spans="1:15" ht="17.25" customHeight="1">
      <c r="A840" s="44"/>
      <c r="B840" s="44"/>
      <c r="C840" s="44"/>
      <c r="D840" s="44"/>
      <c r="E840" s="44"/>
      <c r="F840" s="44"/>
      <c r="G840" s="44"/>
      <c r="H840" s="44"/>
      <c r="I840" s="44"/>
      <c r="J840" s="44"/>
      <c r="K840" s="44"/>
      <c r="L840" s="44"/>
      <c r="M840" s="44"/>
      <c r="N840" s="44"/>
      <c r="O840" s="44"/>
    </row>
    <row r="841" spans="1:15" ht="17.25" customHeight="1">
      <c r="A841" s="44"/>
      <c r="B841" s="44"/>
      <c r="C841" s="44"/>
      <c r="D841" s="44"/>
      <c r="E841" s="44"/>
      <c r="F841" s="44"/>
      <c r="G841" s="44"/>
      <c r="H841" s="44"/>
      <c r="I841" s="44"/>
      <c r="J841" s="44"/>
      <c r="K841" s="44"/>
      <c r="L841" s="44"/>
      <c r="M841" s="44"/>
      <c r="N841" s="44"/>
      <c r="O841" s="44"/>
    </row>
    <row r="842" spans="1:15" ht="17.25" customHeight="1">
      <c r="A842" s="44"/>
      <c r="B842" s="44"/>
      <c r="C842" s="44"/>
      <c r="D842" s="44"/>
      <c r="E842" s="44"/>
      <c r="F842" s="44"/>
      <c r="G842" s="44"/>
      <c r="H842" s="44"/>
      <c r="I842" s="44"/>
      <c r="J842" s="44"/>
      <c r="K842" s="44"/>
      <c r="L842" s="44"/>
      <c r="M842" s="44"/>
      <c r="N842" s="44"/>
      <c r="O842" s="44"/>
    </row>
    <row r="843" spans="1:15" ht="17.25" customHeight="1">
      <c r="A843" s="44"/>
      <c r="B843" s="44"/>
      <c r="C843" s="44"/>
      <c r="D843" s="44"/>
      <c r="E843" s="44"/>
      <c r="F843" s="44"/>
      <c r="G843" s="44"/>
      <c r="H843" s="44"/>
      <c r="I843" s="44"/>
      <c r="J843" s="44"/>
      <c r="K843" s="44"/>
      <c r="L843" s="44"/>
      <c r="M843" s="44"/>
      <c r="N843" s="44"/>
      <c r="O843" s="44"/>
    </row>
    <row r="844" spans="1:15" ht="17.25" customHeight="1">
      <c r="A844" s="44"/>
      <c r="B844" s="44"/>
      <c r="C844" s="44"/>
      <c r="D844" s="44"/>
      <c r="E844" s="44"/>
      <c r="F844" s="44"/>
      <c r="G844" s="44"/>
      <c r="H844" s="44"/>
      <c r="I844" s="44"/>
      <c r="J844" s="44"/>
      <c r="K844" s="44"/>
      <c r="L844" s="44"/>
      <c r="M844" s="44"/>
      <c r="N844" s="44"/>
      <c r="O844" s="44"/>
    </row>
    <row r="845" spans="1:15" ht="17.25" customHeight="1">
      <c r="A845" s="44"/>
      <c r="B845" s="44"/>
      <c r="C845" s="44"/>
      <c r="D845" s="44"/>
      <c r="E845" s="44"/>
      <c r="F845" s="44"/>
      <c r="G845" s="44"/>
      <c r="H845" s="44"/>
      <c r="I845" s="44"/>
      <c r="J845" s="44"/>
      <c r="K845" s="44"/>
      <c r="L845" s="44"/>
      <c r="M845" s="44"/>
      <c r="N845" s="44"/>
      <c r="O845" s="44"/>
    </row>
    <row r="846" spans="1:15" ht="17.25" customHeight="1">
      <c r="A846" s="44"/>
      <c r="B846" s="44"/>
      <c r="C846" s="44"/>
      <c r="D846" s="44"/>
      <c r="E846" s="44"/>
      <c r="F846" s="44"/>
      <c r="G846" s="44"/>
      <c r="H846" s="44"/>
      <c r="I846" s="44"/>
      <c r="J846" s="44"/>
      <c r="K846" s="44"/>
      <c r="L846" s="44"/>
      <c r="M846" s="44"/>
      <c r="N846" s="44"/>
      <c r="O846" s="44"/>
    </row>
    <row r="847" spans="1:15" ht="17.25" customHeight="1">
      <c r="A847" s="44"/>
      <c r="B847" s="44"/>
      <c r="C847" s="44"/>
      <c r="D847" s="44"/>
      <c r="E847" s="44"/>
      <c r="F847" s="44"/>
      <c r="G847" s="44"/>
      <c r="H847" s="44"/>
      <c r="I847" s="44"/>
      <c r="J847" s="44"/>
      <c r="K847" s="44"/>
      <c r="L847" s="44"/>
      <c r="M847" s="44"/>
      <c r="N847" s="44"/>
      <c r="O847" s="44"/>
    </row>
    <row r="848" spans="1:15" ht="17.25" customHeight="1">
      <c r="A848" s="44"/>
      <c r="B848" s="44"/>
      <c r="C848" s="44"/>
      <c r="D848" s="44"/>
      <c r="E848" s="44"/>
      <c r="F848" s="44"/>
      <c r="G848" s="44"/>
      <c r="H848" s="44"/>
      <c r="I848" s="44"/>
      <c r="J848" s="44"/>
      <c r="K848" s="44"/>
      <c r="L848" s="44"/>
      <c r="M848" s="44"/>
      <c r="N848" s="44"/>
      <c r="O848" s="44"/>
    </row>
    <row r="849" spans="1:15" ht="17.25" customHeight="1">
      <c r="A849" s="44"/>
      <c r="B849" s="44"/>
      <c r="C849" s="44"/>
      <c r="D849" s="44"/>
      <c r="E849" s="44"/>
      <c r="F849" s="44"/>
      <c r="G849" s="44"/>
      <c r="H849" s="44"/>
      <c r="I849" s="44"/>
      <c r="J849" s="44"/>
      <c r="K849" s="44"/>
      <c r="L849" s="44"/>
      <c r="M849" s="44"/>
      <c r="N849" s="44"/>
      <c r="O849" s="44"/>
    </row>
    <row r="850" spans="1:15" ht="17.25" customHeight="1">
      <c r="A850" s="44"/>
      <c r="B850" s="44"/>
      <c r="C850" s="44"/>
      <c r="D850" s="44"/>
      <c r="E850" s="44"/>
      <c r="F850" s="44"/>
      <c r="G850" s="44"/>
      <c r="H850" s="44"/>
      <c r="I850" s="44"/>
      <c r="J850" s="44"/>
      <c r="K850" s="44"/>
      <c r="L850" s="44"/>
      <c r="M850" s="44"/>
      <c r="N850" s="44"/>
      <c r="O850" s="44"/>
    </row>
    <row r="851" spans="1:15" ht="17.25" customHeight="1">
      <c r="A851" s="44"/>
      <c r="B851" s="44"/>
      <c r="C851" s="44"/>
      <c r="D851" s="44"/>
      <c r="E851" s="44"/>
      <c r="F851" s="44"/>
      <c r="G851" s="44"/>
      <c r="H851" s="44"/>
      <c r="I851" s="44"/>
      <c r="J851" s="44"/>
      <c r="K851" s="44"/>
      <c r="L851" s="44"/>
      <c r="M851" s="44"/>
      <c r="N851" s="44"/>
      <c r="O851" s="44"/>
    </row>
    <row r="852" spans="1:15" ht="17.25" customHeight="1">
      <c r="A852" s="44"/>
      <c r="B852" s="44"/>
      <c r="C852" s="44"/>
      <c r="D852" s="44"/>
      <c r="E852" s="44"/>
      <c r="F852" s="44"/>
      <c r="G852" s="44"/>
      <c r="H852" s="44"/>
      <c r="I852" s="44"/>
      <c r="J852" s="44"/>
      <c r="K852" s="44"/>
      <c r="L852" s="44"/>
      <c r="M852" s="44"/>
      <c r="N852" s="44"/>
      <c r="O852" s="44"/>
    </row>
    <row r="853" spans="1:15" ht="17.25" customHeight="1">
      <c r="A853" s="44"/>
      <c r="B853" s="44"/>
      <c r="C853" s="44"/>
      <c r="D853" s="44"/>
      <c r="E853" s="44"/>
      <c r="F853" s="44"/>
      <c r="G853" s="44"/>
      <c r="H853" s="44"/>
      <c r="I853" s="44"/>
      <c r="J853" s="44"/>
      <c r="K853" s="44"/>
      <c r="L853" s="44"/>
      <c r="M853" s="44"/>
      <c r="N853" s="44"/>
      <c r="O853" s="44"/>
    </row>
    <row r="854" spans="1:15" ht="17.25" customHeight="1">
      <c r="A854" s="44"/>
      <c r="B854" s="44"/>
      <c r="C854" s="44"/>
      <c r="D854" s="44"/>
      <c r="E854" s="44"/>
      <c r="F854" s="44"/>
      <c r="G854" s="44"/>
      <c r="H854" s="44"/>
      <c r="I854" s="44"/>
      <c r="J854" s="44"/>
      <c r="K854" s="44"/>
      <c r="L854" s="44"/>
      <c r="M854" s="44"/>
      <c r="N854" s="44"/>
      <c r="O854" s="44"/>
    </row>
    <row r="855" spans="1:15" ht="17.25" customHeight="1">
      <c r="A855" s="44"/>
      <c r="B855" s="44"/>
      <c r="C855" s="44"/>
      <c r="D855" s="44"/>
      <c r="E855" s="44"/>
      <c r="F855" s="44"/>
      <c r="G855" s="44"/>
      <c r="H855" s="44"/>
      <c r="I855" s="44"/>
      <c r="J855" s="44"/>
      <c r="K855" s="44"/>
      <c r="L855" s="44"/>
      <c r="M855" s="44"/>
      <c r="N855" s="44"/>
      <c r="O855" s="44"/>
    </row>
    <row r="856" spans="1:15" ht="17.25" customHeight="1">
      <c r="A856" s="44"/>
      <c r="B856" s="44"/>
      <c r="C856" s="44"/>
      <c r="D856" s="44"/>
      <c r="E856" s="44"/>
      <c r="F856" s="44"/>
      <c r="G856" s="44"/>
      <c r="H856" s="44"/>
      <c r="I856" s="44"/>
      <c r="J856" s="44"/>
      <c r="K856" s="44"/>
      <c r="L856" s="44"/>
      <c r="M856" s="44"/>
      <c r="N856" s="44"/>
      <c r="O856" s="44"/>
    </row>
    <row r="857" spans="1:15" ht="17.25" customHeight="1">
      <c r="A857" s="44"/>
      <c r="B857" s="44"/>
      <c r="C857" s="44"/>
      <c r="D857" s="44"/>
      <c r="E857" s="44"/>
      <c r="F857" s="44"/>
      <c r="G857" s="44"/>
      <c r="H857" s="44"/>
      <c r="I857" s="44"/>
      <c r="J857" s="44"/>
      <c r="K857" s="44"/>
      <c r="L857" s="44"/>
      <c r="M857" s="44"/>
      <c r="N857" s="44"/>
      <c r="O857" s="44"/>
    </row>
    <row r="858" spans="1:15" ht="17.25" customHeight="1">
      <c r="A858" s="44"/>
      <c r="B858" s="44"/>
      <c r="C858" s="44"/>
      <c r="D858" s="44"/>
      <c r="E858" s="44"/>
      <c r="F858" s="44"/>
      <c r="G858" s="44"/>
      <c r="H858" s="44"/>
      <c r="I858" s="44"/>
      <c r="J858" s="44"/>
      <c r="K858" s="44"/>
      <c r="L858" s="44"/>
      <c r="M858" s="44"/>
      <c r="N858" s="44"/>
      <c r="O858" s="44"/>
    </row>
    <row r="859" spans="1:15" ht="17.25" customHeight="1">
      <c r="A859" s="44"/>
      <c r="B859" s="44"/>
      <c r="C859" s="44"/>
      <c r="D859" s="44"/>
      <c r="E859" s="44"/>
      <c r="F859" s="44"/>
      <c r="G859" s="44"/>
      <c r="H859" s="44"/>
      <c r="I859" s="44"/>
      <c r="J859" s="44"/>
      <c r="K859" s="44"/>
      <c r="L859" s="44"/>
      <c r="M859" s="44"/>
      <c r="N859" s="44"/>
      <c r="O859" s="44"/>
    </row>
    <row r="860" spans="1:15" ht="17.25" customHeight="1">
      <c r="A860" s="44"/>
      <c r="B860" s="44"/>
      <c r="C860" s="44"/>
      <c r="D860" s="44"/>
      <c r="E860" s="44"/>
      <c r="F860" s="44"/>
      <c r="G860" s="44"/>
      <c r="H860" s="44"/>
      <c r="I860" s="44"/>
      <c r="J860" s="44"/>
      <c r="K860" s="44"/>
      <c r="L860" s="44"/>
      <c r="M860" s="44"/>
      <c r="N860" s="44"/>
      <c r="O860" s="44"/>
    </row>
    <row r="861" spans="1:15" ht="17.25" customHeight="1">
      <c r="A861" s="44"/>
      <c r="B861" s="44"/>
      <c r="C861" s="44"/>
      <c r="D861" s="44"/>
      <c r="E861" s="44"/>
      <c r="F861" s="44"/>
      <c r="G861" s="44"/>
      <c r="H861" s="44"/>
      <c r="I861" s="44"/>
      <c r="J861" s="44"/>
      <c r="K861" s="44"/>
      <c r="L861" s="44"/>
      <c r="M861" s="44"/>
      <c r="N861" s="44"/>
      <c r="O861" s="44"/>
    </row>
    <row r="862" spans="1:15" ht="17.25" customHeight="1">
      <c r="A862" s="44"/>
      <c r="B862" s="44"/>
      <c r="C862" s="44"/>
      <c r="D862" s="44"/>
      <c r="E862" s="44"/>
      <c r="F862" s="44"/>
      <c r="G862" s="44"/>
      <c r="H862" s="44"/>
      <c r="I862" s="44"/>
      <c r="J862" s="44"/>
      <c r="K862" s="44"/>
      <c r="L862" s="44"/>
      <c r="M862" s="44"/>
      <c r="N862" s="44"/>
      <c r="O862" s="44"/>
    </row>
    <row r="863" spans="1:15" ht="17.25" customHeight="1">
      <c r="A863" s="44"/>
      <c r="B863" s="44"/>
      <c r="C863" s="44"/>
      <c r="D863" s="44"/>
      <c r="E863" s="44"/>
      <c r="F863" s="44"/>
      <c r="G863" s="44"/>
      <c r="H863" s="44"/>
      <c r="I863" s="44"/>
      <c r="J863" s="44"/>
      <c r="K863" s="44"/>
      <c r="L863" s="44"/>
      <c r="M863" s="44"/>
      <c r="N863" s="44"/>
      <c r="O863" s="44"/>
    </row>
    <row r="864" spans="1:15" ht="17.25" customHeight="1">
      <c r="A864" s="44"/>
      <c r="B864" s="44"/>
      <c r="C864" s="44"/>
      <c r="D864" s="44"/>
      <c r="E864" s="44"/>
      <c r="F864" s="44"/>
      <c r="G864" s="44"/>
      <c r="H864" s="44"/>
      <c r="I864" s="44"/>
      <c r="J864" s="44"/>
      <c r="K864" s="44"/>
      <c r="L864" s="44"/>
      <c r="M864" s="44"/>
      <c r="N864" s="44"/>
      <c r="O864" s="44"/>
    </row>
    <row r="865" spans="1:15" ht="17.25" customHeight="1">
      <c r="A865" s="44"/>
      <c r="B865" s="44"/>
      <c r="C865" s="44"/>
      <c r="D865" s="44"/>
      <c r="E865" s="44"/>
      <c r="F865" s="44"/>
      <c r="G865" s="44"/>
      <c r="H865" s="44"/>
      <c r="I865" s="44"/>
      <c r="J865" s="44"/>
      <c r="K865" s="44"/>
      <c r="L865" s="44"/>
      <c r="M865" s="44"/>
      <c r="N865" s="44"/>
      <c r="O865" s="44"/>
    </row>
    <row r="866" spans="1:15" ht="17.25" customHeight="1">
      <c r="A866" s="44"/>
      <c r="B866" s="44"/>
      <c r="C866" s="44"/>
      <c r="D866" s="44"/>
      <c r="E866" s="44"/>
      <c r="F866" s="44"/>
      <c r="G866" s="44"/>
      <c r="H866" s="44"/>
      <c r="I866" s="44"/>
      <c r="J866" s="44"/>
      <c r="K866" s="44"/>
      <c r="L866" s="44"/>
      <c r="M866" s="44"/>
      <c r="N866" s="44"/>
      <c r="O866" s="44"/>
    </row>
    <row r="867" spans="1:15" ht="17.25" customHeight="1">
      <c r="A867" s="44"/>
      <c r="B867" s="44"/>
      <c r="C867" s="44"/>
      <c r="D867" s="44"/>
      <c r="E867" s="44"/>
      <c r="F867" s="44"/>
      <c r="G867" s="44"/>
      <c r="H867" s="44"/>
      <c r="I867" s="44"/>
      <c r="J867" s="44"/>
      <c r="K867" s="44"/>
      <c r="L867" s="44"/>
      <c r="M867" s="44"/>
      <c r="N867" s="44"/>
      <c r="O867" s="44"/>
    </row>
    <row r="868" spans="1:15" ht="17.25" customHeight="1">
      <c r="A868" s="44"/>
      <c r="B868" s="44"/>
      <c r="C868" s="44"/>
      <c r="D868" s="44"/>
      <c r="E868" s="44"/>
      <c r="F868" s="44"/>
      <c r="G868" s="44"/>
      <c r="H868" s="44"/>
      <c r="I868" s="44"/>
      <c r="J868" s="44"/>
      <c r="K868" s="44"/>
      <c r="L868" s="44"/>
      <c r="M868" s="44"/>
      <c r="N868" s="44"/>
      <c r="O868" s="44"/>
    </row>
    <row r="869" spans="1:15" ht="17.25" customHeight="1">
      <c r="A869" s="44"/>
      <c r="B869" s="44"/>
      <c r="C869" s="44"/>
      <c r="D869" s="44"/>
      <c r="E869" s="44"/>
      <c r="F869" s="44"/>
      <c r="G869" s="44"/>
      <c r="H869" s="44"/>
      <c r="I869" s="44"/>
      <c r="J869" s="44"/>
      <c r="K869" s="44"/>
      <c r="L869" s="44"/>
      <c r="M869" s="44"/>
      <c r="N869" s="44"/>
      <c r="O869" s="44"/>
    </row>
    <row r="870" spans="1:15" ht="17.25" customHeight="1">
      <c r="A870" s="44"/>
      <c r="B870" s="44"/>
      <c r="C870" s="44"/>
      <c r="D870" s="44"/>
      <c r="E870" s="44"/>
      <c r="F870" s="44"/>
      <c r="G870" s="44"/>
      <c r="H870" s="44"/>
      <c r="I870" s="44"/>
      <c r="J870" s="44"/>
      <c r="K870" s="44"/>
      <c r="L870" s="44"/>
      <c r="M870" s="44"/>
      <c r="N870" s="44"/>
      <c r="O870" s="44"/>
    </row>
    <row r="871" spans="1:15" ht="17.25" customHeight="1">
      <c r="A871" s="44"/>
      <c r="B871" s="44"/>
      <c r="C871" s="44"/>
      <c r="D871" s="44"/>
      <c r="E871" s="44"/>
      <c r="F871" s="44"/>
      <c r="G871" s="44"/>
      <c r="H871" s="44"/>
      <c r="I871" s="44"/>
      <c r="J871" s="44"/>
      <c r="K871" s="44"/>
      <c r="L871" s="44"/>
      <c r="M871" s="44"/>
      <c r="N871" s="44"/>
      <c r="O871" s="44"/>
    </row>
    <row r="872" spans="1:15" ht="17.25" customHeight="1">
      <c r="A872" s="44"/>
      <c r="B872" s="44"/>
      <c r="C872" s="44"/>
      <c r="D872" s="44"/>
      <c r="E872" s="44"/>
      <c r="F872" s="44"/>
      <c r="G872" s="44"/>
      <c r="H872" s="44"/>
      <c r="I872" s="44"/>
      <c r="J872" s="44"/>
      <c r="K872" s="44"/>
      <c r="L872" s="44"/>
      <c r="M872" s="44"/>
      <c r="N872" s="44"/>
      <c r="O872" s="44"/>
    </row>
    <row r="873" spans="1:15" ht="17.25" customHeight="1">
      <c r="A873" s="44"/>
      <c r="B873" s="44"/>
      <c r="C873" s="44"/>
      <c r="D873" s="44"/>
      <c r="E873" s="44"/>
      <c r="F873" s="44"/>
      <c r="G873" s="44"/>
      <c r="H873" s="44"/>
      <c r="I873" s="44"/>
      <c r="J873" s="44"/>
      <c r="K873" s="44"/>
      <c r="L873" s="44"/>
      <c r="M873" s="44"/>
      <c r="N873" s="44"/>
      <c r="O873" s="44"/>
    </row>
    <row r="874" spans="1:15" ht="17.25" customHeight="1">
      <c r="A874" s="44"/>
      <c r="B874" s="44"/>
      <c r="C874" s="44"/>
      <c r="D874" s="44"/>
      <c r="E874" s="44"/>
      <c r="F874" s="44"/>
      <c r="G874" s="44"/>
      <c r="H874" s="44"/>
      <c r="I874" s="44"/>
      <c r="J874" s="44"/>
      <c r="K874" s="44"/>
      <c r="L874" s="44"/>
      <c r="M874" s="44"/>
      <c r="N874" s="44"/>
      <c r="O874" s="44"/>
    </row>
    <row r="875" spans="1:15" ht="17.25" customHeight="1">
      <c r="A875" s="44"/>
      <c r="B875" s="44"/>
      <c r="C875" s="44"/>
      <c r="D875" s="44"/>
      <c r="E875" s="44"/>
      <c r="F875" s="44"/>
      <c r="G875" s="44"/>
      <c r="H875" s="44"/>
      <c r="I875" s="44"/>
      <c r="J875" s="44"/>
      <c r="K875" s="44"/>
      <c r="L875" s="44"/>
      <c r="M875" s="44"/>
      <c r="N875" s="44"/>
      <c r="O875" s="44"/>
    </row>
    <row r="876" spans="1:15" ht="17.25" customHeight="1">
      <c r="A876" s="44"/>
      <c r="B876" s="44"/>
      <c r="C876" s="44"/>
      <c r="D876" s="44"/>
      <c r="E876" s="44"/>
      <c r="F876" s="44"/>
      <c r="G876" s="44"/>
      <c r="H876" s="44"/>
      <c r="I876" s="44"/>
      <c r="J876" s="44"/>
      <c r="K876" s="44"/>
      <c r="L876" s="44"/>
      <c r="M876" s="44"/>
      <c r="N876" s="44"/>
      <c r="O876" s="44"/>
    </row>
    <row r="877" spans="1:15" ht="17.25" customHeight="1">
      <c r="A877" s="44"/>
      <c r="B877" s="44"/>
      <c r="C877" s="44"/>
      <c r="D877" s="44"/>
      <c r="E877" s="44"/>
      <c r="F877" s="44"/>
      <c r="G877" s="44"/>
      <c r="H877" s="44"/>
      <c r="I877" s="44"/>
      <c r="J877" s="44"/>
      <c r="K877" s="44"/>
      <c r="L877" s="44"/>
      <c r="M877" s="44"/>
      <c r="N877" s="44"/>
      <c r="O877" s="44"/>
    </row>
    <row r="878" spans="1:15" ht="17.25" customHeight="1">
      <c r="A878" s="44"/>
      <c r="B878" s="44"/>
      <c r="C878" s="44"/>
      <c r="D878" s="44"/>
      <c r="E878" s="44"/>
      <c r="F878" s="44"/>
      <c r="G878" s="44"/>
      <c r="H878" s="44"/>
      <c r="I878" s="44"/>
      <c r="J878" s="44"/>
      <c r="K878" s="44"/>
      <c r="L878" s="44"/>
      <c r="M878" s="44"/>
      <c r="N878" s="44"/>
      <c r="O878" s="44"/>
    </row>
    <row r="879" spans="1:15" ht="17.25" customHeight="1">
      <c r="A879" s="44"/>
      <c r="B879" s="44"/>
      <c r="C879" s="44"/>
      <c r="D879" s="44"/>
      <c r="E879" s="44"/>
      <c r="F879" s="44"/>
      <c r="G879" s="44"/>
      <c r="H879" s="44"/>
      <c r="I879" s="44"/>
      <c r="J879" s="44"/>
      <c r="K879" s="44"/>
      <c r="L879" s="44"/>
      <c r="M879" s="44"/>
      <c r="N879" s="44"/>
      <c r="O879" s="44"/>
    </row>
    <row r="880" spans="1:15" ht="17.25" customHeight="1">
      <c r="A880" s="44"/>
      <c r="B880" s="44"/>
      <c r="C880" s="44"/>
      <c r="D880" s="44"/>
      <c r="E880" s="44"/>
      <c r="F880" s="44"/>
      <c r="G880" s="44"/>
      <c r="H880" s="44"/>
      <c r="I880" s="44"/>
      <c r="J880" s="44"/>
      <c r="K880" s="44"/>
      <c r="L880" s="44"/>
      <c r="M880" s="44"/>
      <c r="N880" s="44"/>
      <c r="O880" s="44"/>
    </row>
    <row r="881" spans="1:15" ht="17.25" customHeight="1">
      <c r="A881" s="44"/>
      <c r="B881" s="44"/>
      <c r="C881" s="44"/>
      <c r="D881" s="44"/>
      <c r="E881" s="44"/>
      <c r="F881" s="44"/>
      <c r="G881" s="44"/>
      <c r="H881" s="44"/>
      <c r="I881" s="44"/>
      <c r="J881" s="44"/>
      <c r="K881" s="44"/>
      <c r="L881" s="44"/>
      <c r="M881" s="44"/>
      <c r="N881" s="44"/>
      <c r="O881" s="44"/>
    </row>
    <row r="882" spans="1:15" ht="17.25" customHeight="1">
      <c r="A882" s="44"/>
      <c r="B882" s="44"/>
      <c r="C882" s="44"/>
      <c r="D882" s="44"/>
      <c r="E882" s="44"/>
      <c r="F882" s="44"/>
      <c r="G882" s="44"/>
      <c r="H882" s="44"/>
      <c r="I882" s="44"/>
      <c r="J882" s="44"/>
      <c r="K882" s="44"/>
      <c r="L882" s="44"/>
      <c r="M882" s="44"/>
      <c r="N882" s="44"/>
      <c r="O882" s="44"/>
    </row>
    <row r="883" spans="1:15" ht="17.25" customHeight="1">
      <c r="A883" s="44"/>
      <c r="B883" s="44"/>
      <c r="C883" s="44"/>
      <c r="D883" s="44"/>
      <c r="E883" s="44"/>
      <c r="F883" s="44"/>
      <c r="G883" s="44"/>
      <c r="H883" s="44"/>
      <c r="I883" s="44"/>
      <c r="J883" s="44"/>
      <c r="K883" s="44"/>
      <c r="L883" s="44"/>
      <c r="M883" s="44"/>
      <c r="N883" s="44"/>
      <c r="O883" s="44"/>
    </row>
    <row r="884" spans="1:15" ht="17.25" customHeight="1">
      <c r="A884" s="44"/>
      <c r="B884" s="44"/>
      <c r="C884" s="44"/>
      <c r="D884" s="44"/>
      <c r="E884" s="44"/>
      <c r="F884" s="44"/>
      <c r="G884" s="44"/>
      <c r="H884" s="44"/>
      <c r="I884" s="44"/>
      <c r="J884" s="44"/>
      <c r="K884" s="44"/>
      <c r="L884" s="44"/>
      <c r="M884" s="44"/>
      <c r="N884" s="44"/>
      <c r="O884" s="44"/>
    </row>
    <row r="885" spans="1:15" ht="17.25" customHeight="1">
      <c r="A885" s="44"/>
      <c r="B885" s="44"/>
      <c r="C885" s="44"/>
      <c r="D885" s="44"/>
      <c r="E885" s="44"/>
      <c r="F885" s="44"/>
      <c r="G885" s="44"/>
      <c r="H885" s="44"/>
      <c r="I885" s="44"/>
      <c r="J885" s="44"/>
      <c r="K885" s="44"/>
      <c r="L885" s="44"/>
      <c r="M885" s="44"/>
      <c r="N885" s="44"/>
      <c r="O885" s="44"/>
    </row>
    <row r="886" spans="1:15" ht="17.25" customHeight="1">
      <c r="A886" s="44"/>
      <c r="B886" s="44"/>
      <c r="C886" s="44"/>
      <c r="D886" s="44"/>
      <c r="E886" s="44"/>
      <c r="F886" s="44"/>
      <c r="G886" s="44"/>
      <c r="H886" s="44"/>
      <c r="I886" s="44"/>
      <c r="J886" s="44"/>
      <c r="K886" s="44"/>
      <c r="L886" s="44"/>
      <c r="M886" s="44"/>
      <c r="N886" s="44"/>
      <c r="O886" s="44"/>
    </row>
    <row r="887" spans="1:15" ht="17.25" customHeight="1">
      <c r="A887" s="44"/>
      <c r="B887" s="44"/>
      <c r="C887" s="44"/>
      <c r="D887" s="44"/>
      <c r="E887" s="44"/>
      <c r="F887" s="44"/>
      <c r="G887" s="44"/>
      <c r="H887" s="44"/>
      <c r="I887" s="44"/>
      <c r="J887" s="44"/>
      <c r="K887" s="44"/>
      <c r="L887" s="44"/>
      <c r="M887" s="44"/>
      <c r="N887" s="44"/>
      <c r="O887" s="44"/>
    </row>
    <row r="888" spans="1:15" ht="17.25" customHeight="1">
      <c r="A888" s="44"/>
      <c r="B888" s="44"/>
      <c r="C888" s="44"/>
      <c r="D888" s="44"/>
      <c r="E888" s="44"/>
      <c r="F888" s="44"/>
      <c r="G888" s="44"/>
      <c r="H888" s="44"/>
      <c r="I888" s="44"/>
      <c r="J888" s="44"/>
      <c r="K888" s="44"/>
      <c r="L888" s="44"/>
      <c r="M888" s="44"/>
      <c r="N888" s="44"/>
      <c r="O888" s="44"/>
    </row>
    <row r="889" spans="1:15" ht="17.25" customHeight="1">
      <c r="A889" s="44"/>
      <c r="B889" s="44"/>
      <c r="C889" s="44"/>
      <c r="D889" s="44"/>
      <c r="E889" s="44"/>
      <c r="F889" s="44"/>
      <c r="G889" s="44"/>
      <c r="H889" s="44"/>
      <c r="I889" s="44"/>
      <c r="J889" s="44"/>
      <c r="K889" s="44"/>
      <c r="L889" s="44"/>
      <c r="M889" s="44"/>
      <c r="N889" s="44"/>
      <c r="O889" s="44"/>
    </row>
    <row r="890" spans="1:15" ht="17.25" customHeight="1">
      <c r="A890" s="44"/>
      <c r="B890" s="44"/>
      <c r="C890" s="44"/>
      <c r="D890" s="44"/>
      <c r="E890" s="44"/>
      <c r="F890" s="44"/>
      <c r="G890" s="44"/>
      <c r="H890" s="44"/>
      <c r="I890" s="44"/>
      <c r="J890" s="44"/>
      <c r="K890" s="44"/>
      <c r="L890" s="44"/>
      <c r="M890" s="44"/>
      <c r="N890" s="44"/>
      <c r="O890" s="44"/>
    </row>
    <row r="891" spans="1:15" ht="17.25" customHeight="1">
      <c r="A891" s="44"/>
      <c r="B891" s="44"/>
      <c r="C891" s="44"/>
      <c r="D891" s="44"/>
      <c r="E891" s="44"/>
      <c r="F891" s="44"/>
      <c r="G891" s="44"/>
      <c r="H891" s="44"/>
      <c r="I891" s="44"/>
      <c r="J891" s="44"/>
      <c r="K891" s="44"/>
      <c r="L891" s="44"/>
      <c r="M891" s="44"/>
      <c r="N891" s="44"/>
      <c r="O891" s="44"/>
    </row>
    <row r="892" spans="1:15" ht="17.25" customHeight="1">
      <c r="A892" s="44"/>
      <c r="B892" s="44"/>
      <c r="C892" s="44"/>
      <c r="D892" s="44"/>
      <c r="E892" s="44"/>
      <c r="F892" s="44"/>
      <c r="G892" s="44"/>
      <c r="H892" s="44"/>
      <c r="I892" s="44"/>
      <c r="J892" s="44"/>
      <c r="K892" s="44"/>
      <c r="L892" s="44"/>
      <c r="M892" s="44"/>
      <c r="N892" s="44"/>
      <c r="O892" s="44"/>
    </row>
    <row r="893" spans="1:15" ht="17.25" customHeight="1">
      <c r="A893" s="44"/>
      <c r="B893" s="44"/>
      <c r="C893" s="44"/>
      <c r="D893" s="44"/>
      <c r="E893" s="44"/>
      <c r="F893" s="44"/>
      <c r="G893" s="44"/>
      <c r="H893" s="44"/>
      <c r="I893" s="44"/>
      <c r="J893" s="44"/>
      <c r="K893" s="44"/>
      <c r="L893" s="44"/>
      <c r="M893" s="44"/>
      <c r="N893" s="44"/>
      <c r="O893" s="44"/>
    </row>
    <row r="894" spans="1:15" ht="17.25" customHeight="1">
      <c r="A894" s="44"/>
      <c r="B894" s="44"/>
      <c r="C894" s="44"/>
      <c r="D894" s="44"/>
      <c r="E894" s="44"/>
      <c r="F894" s="44"/>
      <c r="G894" s="44"/>
      <c r="H894" s="44"/>
      <c r="I894" s="44"/>
      <c r="J894" s="44"/>
      <c r="K894" s="44"/>
      <c r="L894" s="44"/>
      <c r="M894" s="44"/>
      <c r="N894" s="44"/>
      <c r="O894" s="44"/>
    </row>
    <row r="895" spans="1:15" ht="17.25" customHeight="1">
      <c r="A895" s="44"/>
      <c r="B895" s="44"/>
      <c r="C895" s="44"/>
      <c r="D895" s="44"/>
      <c r="E895" s="44"/>
      <c r="F895" s="44"/>
      <c r="G895" s="44"/>
      <c r="H895" s="44"/>
      <c r="I895" s="44"/>
      <c r="J895" s="44"/>
      <c r="K895" s="44"/>
      <c r="L895" s="44"/>
      <c r="M895" s="44"/>
      <c r="N895" s="44"/>
      <c r="O895" s="44"/>
    </row>
    <row r="896" spans="1:15" ht="17.25" customHeight="1">
      <c r="A896" s="44"/>
      <c r="B896" s="44"/>
      <c r="C896" s="44"/>
      <c r="D896" s="44"/>
      <c r="E896" s="44"/>
      <c r="F896" s="44"/>
      <c r="G896" s="44"/>
      <c r="H896" s="44"/>
      <c r="I896" s="44"/>
      <c r="J896" s="44"/>
      <c r="K896" s="44"/>
      <c r="L896" s="44"/>
      <c r="M896" s="44"/>
      <c r="N896" s="44"/>
      <c r="O896" s="44"/>
    </row>
    <row r="897" spans="1:15" ht="17.25" customHeight="1">
      <c r="A897" s="44"/>
      <c r="B897" s="44"/>
      <c r="C897" s="44"/>
      <c r="D897" s="44"/>
      <c r="E897" s="44"/>
      <c r="F897" s="44"/>
      <c r="G897" s="44"/>
      <c r="H897" s="44"/>
      <c r="I897" s="44"/>
      <c r="J897" s="44"/>
      <c r="K897" s="44"/>
      <c r="L897" s="44"/>
      <c r="M897" s="44"/>
      <c r="N897" s="44"/>
      <c r="O897" s="44"/>
    </row>
    <row r="898" spans="1:15" ht="17.25" customHeight="1">
      <c r="A898" s="44"/>
      <c r="B898" s="44"/>
      <c r="C898" s="44"/>
      <c r="D898" s="44"/>
      <c r="E898" s="44"/>
      <c r="F898" s="44"/>
      <c r="G898" s="44"/>
      <c r="H898" s="44"/>
      <c r="I898" s="44"/>
      <c r="J898" s="44"/>
      <c r="K898" s="44"/>
      <c r="L898" s="44"/>
      <c r="M898" s="44"/>
      <c r="N898" s="44"/>
      <c r="O898" s="44"/>
    </row>
    <row r="899" spans="1:15" ht="17.25" customHeight="1">
      <c r="A899" s="44"/>
      <c r="B899" s="44"/>
      <c r="C899" s="44"/>
      <c r="D899" s="44"/>
      <c r="E899" s="44"/>
      <c r="F899" s="44"/>
      <c r="G899" s="44"/>
      <c r="H899" s="44"/>
      <c r="I899" s="44"/>
      <c r="J899" s="44"/>
      <c r="K899" s="44"/>
      <c r="L899" s="44"/>
      <c r="M899" s="44"/>
      <c r="N899" s="44"/>
      <c r="O899" s="44"/>
    </row>
    <row r="900" spans="1:15" ht="17.25" customHeight="1">
      <c r="A900" s="44"/>
      <c r="B900" s="44"/>
      <c r="C900" s="44"/>
      <c r="D900" s="44"/>
      <c r="E900" s="44"/>
      <c r="F900" s="44"/>
      <c r="G900" s="44"/>
      <c r="H900" s="44"/>
      <c r="I900" s="44"/>
      <c r="J900" s="44"/>
      <c r="K900" s="44"/>
      <c r="L900" s="44"/>
      <c r="M900" s="44"/>
      <c r="N900" s="44"/>
      <c r="O900" s="44"/>
    </row>
    <row r="901" spans="1:15" ht="17.25" customHeight="1">
      <c r="A901" s="44"/>
      <c r="B901" s="44"/>
      <c r="C901" s="44"/>
      <c r="D901" s="44"/>
      <c r="E901" s="44"/>
      <c r="F901" s="44"/>
      <c r="G901" s="44"/>
      <c r="H901" s="44"/>
      <c r="I901" s="44"/>
      <c r="J901" s="44"/>
      <c r="K901" s="44"/>
      <c r="L901" s="44"/>
      <c r="M901" s="44"/>
      <c r="N901" s="44"/>
      <c r="O901" s="44"/>
    </row>
    <row r="902" spans="1:15" ht="17.25" customHeight="1">
      <c r="A902" s="44"/>
      <c r="B902" s="44"/>
      <c r="C902" s="44"/>
      <c r="D902" s="44"/>
      <c r="E902" s="44"/>
      <c r="F902" s="44"/>
      <c r="G902" s="44"/>
      <c r="H902" s="44"/>
      <c r="I902" s="44"/>
      <c r="J902" s="44"/>
      <c r="K902" s="44"/>
      <c r="L902" s="44"/>
      <c r="M902" s="44"/>
      <c r="N902" s="44"/>
      <c r="O902" s="44"/>
    </row>
    <row r="903" spans="1:15" ht="17.25" customHeight="1">
      <c r="A903" s="44"/>
      <c r="B903" s="44"/>
      <c r="C903" s="44"/>
      <c r="D903" s="44"/>
      <c r="E903" s="44"/>
      <c r="F903" s="44"/>
      <c r="G903" s="44"/>
      <c r="H903" s="44"/>
      <c r="I903" s="44"/>
      <c r="J903" s="44"/>
      <c r="K903" s="44"/>
      <c r="L903" s="44"/>
      <c r="M903" s="44"/>
      <c r="N903" s="44"/>
      <c r="O903" s="44"/>
    </row>
    <row r="904" spans="1:15" ht="17.25" customHeight="1">
      <c r="A904" s="44"/>
      <c r="B904" s="44"/>
      <c r="C904" s="44"/>
      <c r="D904" s="44"/>
      <c r="E904" s="44"/>
      <c r="F904" s="44"/>
      <c r="G904" s="44"/>
      <c r="H904" s="44"/>
      <c r="I904" s="44"/>
      <c r="J904" s="44"/>
      <c r="K904" s="44"/>
      <c r="L904" s="44"/>
      <c r="M904" s="44"/>
      <c r="N904" s="44"/>
      <c r="O904" s="44"/>
    </row>
    <row r="905" spans="1:15" ht="17.25" customHeight="1">
      <c r="A905" s="44"/>
      <c r="B905" s="44"/>
      <c r="C905" s="44"/>
      <c r="D905" s="44"/>
      <c r="E905" s="44"/>
      <c r="F905" s="44"/>
      <c r="G905" s="44"/>
      <c r="H905" s="44"/>
      <c r="I905" s="44"/>
      <c r="J905" s="44"/>
      <c r="K905" s="44"/>
      <c r="L905" s="44"/>
      <c r="M905" s="44"/>
      <c r="N905" s="44"/>
      <c r="O905" s="44"/>
    </row>
    <row r="906" spans="1:15" ht="17.25" customHeight="1">
      <c r="A906" s="44"/>
      <c r="B906" s="44"/>
      <c r="C906" s="44"/>
      <c r="D906" s="44"/>
      <c r="E906" s="44"/>
      <c r="F906" s="44"/>
      <c r="G906" s="44"/>
      <c r="H906" s="44"/>
      <c r="I906" s="44"/>
      <c r="J906" s="44"/>
      <c r="K906" s="44"/>
      <c r="L906" s="44"/>
      <c r="M906" s="44"/>
      <c r="N906" s="44"/>
      <c r="O906" s="44"/>
    </row>
    <row r="907" spans="1:15" ht="17.25" customHeight="1">
      <c r="A907" s="44"/>
      <c r="B907" s="44"/>
      <c r="C907" s="44"/>
      <c r="D907" s="44"/>
      <c r="E907" s="44"/>
      <c r="F907" s="44"/>
      <c r="G907" s="44"/>
      <c r="H907" s="44"/>
      <c r="I907" s="44"/>
      <c r="J907" s="44"/>
      <c r="K907" s="44"/>
      <c r="L907" s="44"/>
      <c r="M907" s="44"/>
      <c r="N907" s="44"/>
      <c r="O907" s="44"/>
    </row>
    <row r="908" spans="1:15" ht="17.25" customHeight="1">
      <c r="A908" s="44"/>
      <c r="B908" s="44"/>
      <c r="C908" s="44"/>
      <c r="D908" s="44"/>
      <c r="E908" s="44"/>
      <c r="F908" s="44"/>
      <c r="G908" s="44"/>
      <c r="H908" s="44"/>
      <c r="I908" s="44"/>
      <c r="J908" s="44"/>
      <c r="K908" s="44"/>
      <c r="L908" s="44"/>
      <c r="M908" s="44"/>
      <c r="N908" s="44"/>
      <c r="O908" s="44"/>
    </row>
    <row r="909" spans="1:15" ht="17.25" customHeight="1">
      <c r="A909" s="44"/>
      <c r="B909" s="44"/>
      <c r="C909" s="44"/>
      <c r="D909" s="44"/>
      <c r="E909" s="44"/>
      <c r="F909" s="44"/>
      <c r="G909" s="44"/>
      <c r="H909" s="44"/>
      <c r="I909" s="44"/>
      <c r="J909" s="44"/>
      <c r="K909" s="44"/>
      <c r="L909" s="44"/>
      <c r="M909" s="44"/>
      <c r="N909" s="44"/>
      <c r="O909" s="44"/>
    </row>
    <row r="910" spans="1:15" ht="17.25" customHeight="1">
      <c r="A910" s="44"/>
      <c r="B910" s="44"/>
      <c r="C910" s="44"/>
      <c r="D910" s="44"/>
      <c r="E910" s="44"/>
      <c r="F910" s="44"/>
      <c r="G910" s="44"/>
      <c r="H910" s="44"/>
      <c r="I910" s="44"/>
      <c r="J910" s="44"/>
      <c r="K910" s="44"/>
      <c r="L910" s="44"/>
      <c r="M910" s="44"/>
      <c r="N910" s="44"/>
      <c r="O910" s="44"/>
    </row>
    <row r="911" spans="1:15" ht="17.25" customHeight="1">
      <c r="A911" s="44"/>
      <c r="B911" s="44"/>
      <c r="C911" s="44"/>
      <c r="D911" s="44"/>
      <c r="E911" s="44"/>
      <c r="F911" s="44"/>
      <c r="G911" s="44"/>
      <c r="H911" s="44"/>
      <c r="I911" s="44"/>
      <c r="J911" s="44"/>
      <c r="K911" s="44"/>
      <c r="L911" s="44"/>
      <c r="M911" s="44"/>
      <c r="N911" s="44"/>
      <c r="O911" s="44"/>
    </row>
    <row r="912" spans="1:15" ht="17.25" customHeight="1">
      <c r="A912" s="44"/>
      <c r="B912" s="44"/>
      <c r="C912" s="44"/>
      <c r="D912" s="44"/>
      <c r="E912" s="44"/>
      <c r="F912" s="44"/>
      <c r="G912" s="44"/>
      <c r="H912" s="44"/>
      <c r="I912" s="44"/>
      <c r="J912" s="44"/>
      <c r="K912" s="44"/>
      <c r="L912" s="44"/>
      <c r="M912" s="44"/>
      <c r="N912" s="44"/>
      <c r="O912" s="44"/>
    </row>
    <row r="913" spans="1:15" ht="17.25" customHeight="1">
      <c r="A913" s="44"/>
      <c r="B913" s="44"/>
      <c r="C913" s="44"/>
      <c r="D913" s="44"/>
      <c r="E913" s="44"/>
      <c r="F913" s="44"/>
      <c r="G913" s="44"/>
      <c r="H913" s="44"/>
      <c r="I913" s="44"/>
      <c r="J913" s="44"/>
      <c r="K913" s="44"/>
      <c r="L913" s="44"/>
      <c r="M913" s="44"/>
      <c r="N913" s="44"/>
      <c r="O913" s="44"/>
    </row>
    <row r="914" spans="1:15" ht="17.25" customHeight="1">
      <c r="A914" s="44"/>
      <c r="B914" s="44"/>
      <c r="C914" s="44"/>
      <c r="D914" s="44"/>
      <c r="E914" s="44"/>
      <c r="F914" s="44"/>
      <c r="G914" s="44"/>
      <c r="H914" s="44"/>
      <c r="I914" s="44"/>
      <c r="J914" s="44"/>
      <c r="K914" s="44"/>
      <c r="L914" s="44"/>
      <c r="M914" s="44"/>
      <c r="N914" s="44"/>
      <c r="O914" s="44"/>
    </row>
    <row r="915" spans="1:15" ht="17.25" customHeight="1">
      <c r="A915" s="44"/>
      <c r="B915" s="44"/>
      <c r="C915" s="44"/>
      <c r="D915" s="44"/>
      <c r="E915" s="44"/>
      <c r="F915" s="44"/>
      <c r="G915" s="44"/>
      <c r="H915" s="44"/>
      <c r="I915" s="44"/>
      <c r="J915" s="44"/>
      <c r="K915" s="44"/>
      <c r="L915" s="44"/>
      <c r="M915" s="44"/>
      <c r="N915" s="44"/>
      <c r="O915" s="44"/>
    </row>
    <row r="916" spans="1:15" ht="17.25" customHeight="1">
      <c r="A916" s="44"/>
      <c r="B916" s="44"/>
      <c r="C916" s="44"/>
      <c r="D916" s="44"/>
      <c r="E916" s="44"/>
      <c r="F916" s="44"/>
      <c r="G916" s="44"/>
      <c r="H916" s="44"/>
      <c r="I916" s="44"/>
      <c r="J916" s="44"/>
      <c r="K916" s="44"/>
      <c r="L916" s="44"/>
      <c r="M916" s="44"/>
      <c r="N916" s="44"/>
      <c r="O916" s="44"/>
    </row>
    <row r="917" spans="1:15" ht="17.25" customHeight="1">
      <c r="A917" s="44"/>
      <c r="B917" s="44"/>
      <c r="C917" s="44"/>
      <c r="D917" s="44"/>
      <c r="E917" s="44"/>
      <c r="F917" s="44"/>
      <c r="G917" s="44"/>
      <c r="H917" s="44"/>
      <c r="I917" s="44"/>
      <c r="J917" s="44"/>
      <c r="K917" s="44"/>
      <c r="L917" s="44"/>
      <c r="M917" s="44"/>
      <c r="N917" s="44"/>
      <c r="O917" s="44"/>
    </row>
    <row r="918" spans="1:15" ht="17.25" customHeight="1">
      <c r="A918" s="44"/>
      <c r="B918" s="44"/>
      <c r="C918" s="44"/>
      <c r="D918" s="44"/>
      <c r="E918" s="44"/>
      <c r="F918" s="44"/>
      <c r="G918" s="44"/>
      <c r="H918" s="44"/>
      <c r="I918" s="44"/>
      <c r="J918" s="44"/>
      <c r="K918" s="44"/>
      <c r="L918" s="44"/>
      <c r="M918" s="44"/>
      <c r="N918" s="44"/>
      <c r="O918" s="44"/>
    </row>
    <row r="919" spans="1:15" ht="17.25" customHeight="1">
      <c r="A919" s="44"/>
      <c r="B919" s="44"/>
      <c r="C919" s="44"/>
      <c r="D919" s="44"/>
      <c r="E919" s="44"/>
      <c r="F919" s="44"/>
      <c r="G919" s="44"/>
      <c r="H919" s="44"/>
      <c r="I919" s="44"/>
      <c r="J919" s="44"/>
      <c r="K919" s="44"/>
      <c r="L919" s="44"/>
      <c r="M919" s="44"/>
      <c r="N919" s="44"/>
      <c r="O919" s="44"/>
    </row>
    <row r="920" spans="1:15" ht="17.25" customHeight="1">
      <c r="A920" s="44"/>
      <c r="B920" s="44"/>
      <c r="C920" s="44"/>
      <c r="D920" s="44"/>
      <c r="E920" s="44"/>
      <c r="F920" s="44"/>
      <c r="G920" s="44"/>
      <c r="H920" s="44"/>
      <c r="I920" s="44"/>
      <c r="J920" s="44"/>
      <c r="K920" s="44"/>
      <c r="L920" s="44"/>
      <c r="M920" s="44"/>
      <c r="N920" s="44"/>
      <c r="O920" s="44"/>
    </row>
    <row r="921" spans="1:15" ht="17.25" customHeight="1">
      <c r="A921" s="44"/>
      <c r="B921" s="44"/>
      <c r="C921" s="44"/>
      <c r="D921" s="44"/>
      <c r="E921" s="44"/>
      <c r="F921" s="44"/>
      <c r="G921" s="44"/>
      <c r="H921" s="44"/>
      <c r="I921" s="44"/>
      <c r="J921" s="44"/>
      <c r="K921" s="44"/>
      <c r="L921" s="44"/>
      <c r="M921" s="44"/>
      <c r="N921" s="44"/>
      <c r="O921" s="44"/>
    </row>
    <row r="922" spans="1:15" ht="17.25" customHeight="1">
      <c r="A922" s="44"/>
      <c r="B922" s="44"/>
      <c r="C922" s="44"/>
      <c r="D922" s="44"/>
      <c r="E922" s="44"/>
      <c r="F922" s="44"/>
      <c r="G922" s="44"/>
      <c r="H922" s="44"/>
      <c r="I922" s="44"/>
      <c r="J922" s="44"/>
      <c r="K922" s="44"/>
      <c r="L922" s="44"/>
      <c r="M922" s="44"/>
      <c r="N922" s="44"/>
      <c r="O922" s="44"/>
    </row>
    <row r="923" spans="1:15" ht="17.25" customHeight="1">
      <c r="A923" s="44"/>
      <c r="B923" s="44"/>
      <c r="C923" s="44"/>
      <c r="D923" s="44"/>
      <c r="E923" s="44"/>
      <c r="F923" s="44"/>
      <c r="G923" s="44"/>
      <c r="H923" s="44"/>
      <c r="I923" s="44"/>
      <c r="J923" s="44"/>
      <c r="K923" s="44"/>
      <c r="L923" s="44"/>
      <c r="M923" s="44"/>
      <c r="N923" s="44"/>
      <c r="O923" s="44"/>
    </row>
    <row r="924" spans="1:15" ht="17.25" customHeight="1">
      <c r="A924" s="44"/>
      <c r="B924" s="44"/>
      <c r="C924" s="44"/>
      <c r="D924" s="44"/>
      <c r="E924" s="44"/>
      <c r="F924" s="44"/>
      <c r="G924" s="44"/>
      <c r="H924" s="44"/>
      <c r="I924" s="44"/>
      <c r="J924" s="44"/>
      <c r="K924" s="44"/>
      <c r="L924" s="44"/>
      <c r="M924" s="44"/>
      <c r="N924" s="44"/>
      <c r="O924" s="44"/>
    </row>
    <row r="925" spans="1:15" ht="17.25" customHeight="1">
      <c r="A925" s="44"/>
      <c r="B925" s="44"/>
      <c r="C925" s="44"/>
      <c r="D925" s="44"/>
      <c r="E925" s="44"/>
      <c r="F925" s="44"/>
      <c r="G925" s="44"/>
      <c r="H925" s="44"/>
      <c r="I925" s="44"/>
      <c r="J925" s="44"/>
      <c r="K925" s="44"/>
      <c r="L925" s="44"/>
      <c r="M925" s="44"/>
      <c r="N925" s="44"/>
      <c r="O925" s="44"/>
    </row>
    <row r="926" spans="1:15" ht="17.25" customHeight="1">
      <c r="A926" s="44"/>
      <c r="B926" s="44"/>
      <c r="C926" s="44"/>
      <c r="D926" s="44"/>
      <c r="E926" s="44"/>
      <c r="F926" s="44"/>
      <c r="G926" s="44"/>
      <c r="H926" s="44"/>
      <c r="I926" s="44"/>
      <c r="J926" s="44"/>
      <c r="K926" s="44"/>
      <c r="L926" s="44"/>
      <c r="M926" s="44"/>
      <c r="N926" s="44"/>
      <c r="O926" s="44"/>
    </row>
    <row r="927" spans="1:15" ht="17.25" customHeight="1">
      <c r="A927" s="44"/>
      <c r="B927" s="44"/>
      <c r="C927" s="44"/>
      <c r="D927" s="44"/>
      <c r="E927" s="44"/>
      <c r="F927" s="44"/>
      <c r="G927" s="44"/>
      <c r="H927" s="44"/>
      <c r="I927" s="44"/>
      <c r="J927" s="44"/>
      <c r="K927" s="44"/>
      <c r="L927" s="44"/>
      <c r="M927" s="44"/>
      <c r="N927" s="44"/>
      <c r="O927" s="44"/>
    </row>
    <row r="928" spans="1:15" ht="17.25" customHeight="1">
      <c r="A928" s="44"/>
      <c r="B928" s="44"/>
      <c r="C928" s="44"/>
      <c r="D928" s="44"/>
      <c r="E928" s="44"/>
      <c r="F928" s="44"/>
      <c r="G928" s="44"/>
      <c r="H928" s="44"/>
      <c r="I928" s="44"/>
      <c r="J928" s="44"/>
      <c r="K928" s="44"/>
      <c r="L928" s="44"/>
      <c r="M928" s="44"/>
      <c r="N928" s="44"/>
      <c r="O928" s="44"/>
    </row>
    <row r="929" spans="1:15" ht="17.25" customHeight="1">
      <c r="A929" s="44"/>
      <c r="B929" s="44"/>
      <c r="C929" s="44"/>
      <c r="D929" s="44"/>
      <c r="E929" s="44"/>
      <c r="F929" s="44"/>
      <c r="G929" s="44"/>
      <c r="H929" s="44"/>
      <c r="I929" s="44"/>
      <c r="J929" s="44"/>
      <c r="K929" s="44"/>
      <c r="L929" s="44"/>
      <c r="M929" s="44"/>
      <c r="N929" s="44"/>
      <c r="O929" s="44"/>
    </row>
    <row r="930" spans="1:15" ht="17.25" customHeight="1">
      <c r="A930" s="44"/>
      <c r="B930" s="44"/>
      <c r="C930" s="44"/>
      <c r="D930" s="44"/>
      <c r="E930" s="44"/>
      <c r="F930" s="44"/>
      <c r="G930" s="44"/>
      <c r="H930" s="44"/>
      <c r="I930" s="44"/>
      <c r="J930" s="44"/>
      <c r="K930" s="44"/>
      <c r="L930" s="44"/>
      <c r="M930" s="44"/>
      <c r="N930" s="44"/>
      <c r="O930" s="44"/>
    </row>
    <row r="931" spans="1:15" ht="17.25" customHeight="1">
      <c r="A931" s="44"/>
      <c r="B931" s="44"/>
      <c r="C931" s="44"/>
      <c r="D931" s="44"/>
      <c r="E931" s="44"/>
      <c r="F931" s="44"/>
      <c r="G931" s="44"/>
      <c r="H931" s="44"/>
      <c r="I931" s="44"/>
      <c r="J931" s="44"/>
      <c r="K931" s="44"/>
      <c r="L931" s="44"/>
      <c r="M931" s="44"/>
      <c r="N931" s="44"/>
      <c r="O931" s="44"/>
    </row>
    <row r="932" spans="1:15" ht="17.25" customHeight="1">
      <c r="A932" s="44"/>
      <c r="B932" s="44"/>
      <c r="C932" s="44"/>
      <c r="D932" s="44"/>
      <c r="E932" s="44"/>
      <c r="F932" s="44"/>
      <c r="G932" s="44"/>
      <c r="H932" s="44"/>
      <c r="I932" s="44"/>
      <c r="J932" s="44"/>
      <c r="K932" s="44"/>
      <c r="L932" s="44"/>
      <c r="M932" s="44"/>
      <c r="N932" s="44"/>
      <c r="O932" s="44"/>
    </row>
    <row r="933" spans="1:15" ht="17.25" customHeight="1">
      <c r="A933" s="44"/>
      <c r="B933" s="44"/>
      <c r="C933" s="44"/>
      <c r="D933" s="44"/>
      <c r="E933" s="44"/>
      <c r="F933" s="44"/>
      <c r="G933" s="44"/>
      <c r="H933" s="44"/>
      <c r="I933" s="44"/>
      <c r="J933" s="44"/>
      <c r="K933" s="44"/>
      <c r="L933" s="44"/>
      <c r="M933" s="44"/>
      <c r="N933" s="44"/>
      <c r="O933" s="44"/>
    </row>
    <row r="934" spans="1:15" ht="17.25" customHeight="1">
      <c r="A934" s="44"/>
      <c r="B934" s="44"/>
      <c r="C934" s="44"/>
      <c r="D934" s="44"/>
      <c r="E934" s="44"/>
      <c r="F934" s="44"/>
      <c r="G934" s="44"/>
      <c r="H934" s="44"/>
      <c r="I934" s="44"/>
      <c r="J934" s="44"/>
      <c r="K934" s="44"/>
      <c r="L934" s="44"/>
      <c r="M934" s="44"/>
      <c r="N934" s="44"/>
      <c r="O934" s="44"/>
    </row>
    <row r="935" spans="1:15" ht="17.25" customHeight="1">
      <c r="A935" s="44"/>
      <c r="B935" s="44"/>
      <c r="C935" s="44"/>
      <c r="D935" s="44"/>
      <c r="E935" s="44"/>
      <c r="F935" s="44"/>
      <c r="G935" s="44"/>
      <c r="H935" s="44"/>
      <c r="I935" s="44"/>
      <c r="J935" s="44"/>
      <c r="K935" s="44"/>
      <c r="L935" s="44"/>
      <c r="M935" s="44"/>
      <c r="N935" s="44"/>
      <c r="O935" s="44"/>
    </row>
    <row r="936" spans="1:15" ht="17.25" customHeight="1">
      <c r="A936" s="44"/>
      <c r="B936" s="44"/>
      <c r="C936" s="44"/>
      <c r="D936" s="44"/>
      <c r="E936" s="44"/>
      <c r="F936" s="44"/>
      <c r="G936" s="44"/>
      <c r="H936" s="44"/>
      <c r="I936" s="44"/>
      <c r="J936" s="44"/>
      <c r="K936" s="44"/>
      <c r="L936" s="44"/>
      <c r="M936" s="44"/>
      <c r="N936" s="44"/>
      <c r="O936" s="44"/>
    </row>
    <row r="937" spans="1:15" ht="17.25" customHeight="1">
      <c r="A937" s="44"/>
      <c r="B937" s="44"/>
      <c r="C937" s="44"/>
      <c r="D937" s="44"/>
      <c r="E937" s="44"/>
      <c r="F937" s="44"/>
      <c r="G937" s="44"/>
      <c r="H937" s="44"/>
      <c r="I937" s="44"/>
      <c r="J937" s="44"/>
      <c r="K937" s="44"/>
      <c r="L937" s="44"/>
      <c r="M937" s="44"/>
      <c r="N937" s="44"/>
      <c r="O937" s="44"/>
    </row>
    <row r="938" spans="1:15" ht="17.25" customHeight="1">
      <c r="A938" s="44"/>
      <c r="B938" s="44"/>
      <c r="C938" s="44"/>
      <c r="D938" s="44"/>
      <c r="E938" s="44"/>
      <c r="F938" s="44"/>
      <c r="G938" s="44"/>
      <c r="H938" s="44"/>
      <c r="I938" s="44"/>
      <c r="J938" s="44"/>
      <c r="K938" s="44"/>
      <c r="L938" s="44"/>
      <c r="M938" s="44"/>
      <c r="N938" s="44"/>
      <c r="O938" s="44"/>
    </row>
    <row r="939" spans="1:15" ht="17.25" customHeight="1">
      <c r="A939" s="44"/>
      <c r="B939" s="44"/>
      <c r="C939" s="44"/>
      <c r="D939" s="44"/>
      <c r="E939" s="44"/>
      <c r="F939" s="44"/>
      <c r="G939" s="44"/>
      <c r="H939" s="44"/>
      <c r="I939" s="44"/>
      <c r="J939" s="44"/>
      <c r="K939" s="44"/>
      <c r="L939" s="44"/>
      <c r="M939" s="44"/>
      <c r="N939" s="44"/>
      <c r="O939" s="44"/>
    </row>
    <row r="940" spans="1:15" ht="17.25" customHeight="1">
      <c r="A940" s="44"/>
      <c r="B940" s="44"/>
      <c r="C940" s="44"/>
      <c r="D940" s="44"/>
      <c r="E940" s="44"/>
      <c r="F940" s="44"/>
      <c r="G940" s="44"/>
      <c r="H940" s="44"/>
      <c r="I940" s="44"/>
      <c r="J940" s="44"/>
      <c r="K940" s="44"/>
      <c r="L940" s="44"/>
      <c r="M940" s="44"/>
      <c r="N940" s="44"/>
      <c r="O940" s="44"/>
    </row>
    <row r="941" spans="1:15" ht="17.25" customHeight="1">
      <c r="A941" s="44"/>
      <c r="B941" s="44"/>
      <c r="C941" s="44"/>
      <c r="D941" s="44"/>
      <c r="E941" s="44"/>
      <c r="F941" s="44"/>
      <c r="G941" s="44"/>
      <c r="H941" s="44"/>
      <c r="I941" s="44"/>
      <c r="J941" s="44"/>
      <c r="K941" s="44"/>
      <c r="L941" s="44"/>
      <c r="M941" s="44"/>
      <c r="N941" s="44"/>
      <c r="O941" s="44"/>
    </row>
    <row r="942" spans="1:15" ht="17.25" customHeight="1">
      <c r="A942" s="44"/>
      <c r="B942" s="44"/>
      <c r="C942" s="44"/>
      <c r="D942" s="44"/>
      <c r="E942" s="44"/>
      <c r="F942" s="44"/>
      <c r="G942" s="44"/>
      <c r="H942" s="44"/>
      <c r="I942" s="44"/>
      <c r="J942" s="44"/>
      <c r="K942" s="44"/>
      <c r="L942" s="44"/>
      <c r="M942" s="44"/>
      <c r="N942" s="44"/>
      <c r="O942" s="44"/>
    </row>
    <row r="943" spans="1:15" ht="17.25" customHeight="1">
      <c r="A943" s="44"/>
      <c r="B943" s="44"/>
      <c r="C943" s="44"/>
      <c r="D943" s="44"/>
      <c r="E943" s="44"/>
      <c r="F943" s="44"/>
      <c r="G943" s="44"/>
      <c r="H943" s="44"/>
      <c r="I943" s="44"/>
      <c r="J943" s="44"/>
      <c r="K943" s="44"/>
      <c r="L943" s="44"/>
      <c r="M943" s="44"/>
      <c r="N943" s="44"/>
      <c r="O943" s="44"/>
    </row>
    <row r="944" spans="1:15" ht="17.25" customHeight="1">
      <c r="A944" s="44"/>
      <c r="B944" s="44"/>
      <c r="C944" s="44"/>
      <c r="D944" s="44"/>
      <c r="E944" s="44"/>
      <c r="F944" s="44"/>
      <c r="G944" s="44"/>
      <c r="H944" s="44"/>
      <c r="I944" s="44"/>
      <c r="J944" s="44"/>
      <c r="K944" s="44"/>
      <c r="L944" s="44"/>
      <c r="M944" s="44"/>
      <c r="N944" s="44"/>
      <c r="O944" s="44"/>
    </row>
    <row r="945" spans="1:15" ht="17.25" customHeight="1">
      <c r="A945" s="44"/>
      <c r="B945" s="44"/>
      <c r="C945" s="44"/>
      <c r="D945" s="44"/>
      <c r="E945" s="44"/>
      <c r="F945" s="44"/>
      <c r="G945" s="44"/>
      <c r="H945" s="44"/>
      <c r="I945" s="44"/>
      <c r="J945" s="44"/>
      <c r="K945" s="44"/>
      <c r="L945" s="44"/>
      <c r="M945" s="44"/>
      <c r="N945" s="44"/>
      <c r="O945" s="44"/>
    </row>
    <row r="946" spans="1:15" ht="17.25" customHeight="1">
      <c r="A946" s="44"/>
      <c r="B946" s="44"/>
      <c r="C946" s="44"/>
      <c r="D946" s="44"/>
      <c r="E946" s="44"/>
      <c r="F946" s="44"/>
      <c r="G946" s="44"/>
      <c r="H946" s="44"/>
      <c r="I946" s="44"/>
      <c r="J946" s="44"/>
      <c r="K946" s="44"/>
      <c r="L946" s="44"/>
      <c r="M946" s="44"/>
      <c r="N946" s="44"/>
      <c r="O946" s="44"/>
    </row>
    <row r="947" spans="1:15" ht="17.25" customHeight="1">
      <c r="A947" s="44"/>
      <c r="B947" s="44"/>
      <c r="C947" s="44"/>
      <c r="D947" s="44"/>
      <c r="E947" s="44"/>
      <c r="F947" s="44"/>
      <c r="G947" s="44"/>
      <c r="H947" s="44"/>
      <c r="I947" s="44"/>
      <c r="J947" s="44"/>
      <c r="K947" s="44"/>
      <c r="L947" s="44"/>
      <c r="M947" s="44"/>
      <c r="N947" s="44"/>
      <c r="O947" s="44"/>
    </row>
    <row r="948" spans="1:15" ht="17.25" customHeight="1">
      <c r="A948" s="44"/>
      <c r="B948" s="44"/>
      <c r="C948" s="44"/>
      <c r="D948" s="44"/>
      <c r="E948" s="44"/>
      <c r="F948" s="44"/>
      <c r="G948" s="44"/>
      <c r="H948" s="44"/>
      <c r="I948" s="44"/>
      <c r="J948" s="44"/>
      <c r="K948" s="44"/>
      <c r="L948" s="44"/>
      <c r="M948" s="44"/>
      <c r="N948" s="44"/>
      <c r="O948" s="44"/>
    </row>
    <row r="949" spans="1:15" ht="17.25" customHeight="1">
      <c r="A949" s="44"/>
      <c r="B949" s="44"/>
      <c r="C949" s="44"/>
      <c r="D949" s="44"/>
      <c r="E949" s="44"/>
      <c r="F949" s="44"/>
      <c r="G949" s="44"/>
      <c r="H949" s="44"/>
      <c r="I949" s="44"/>
      <c r="J949" s="44"/>
      <c r="K949" s="44"/>
      <c r="L949" s="44"/>
      <c r="M949" s="44"/>
      <c r="N949" s="44"/>
      <c r="O949" s="44"/>
    </row>
    <row r="950" spans="1:15" ht="17.25" customHeight="1">
      <c r="A950" s="44"/>
      <c r="B950" s="44"/>
      <c r="C950" s="44"/>
      <c r="D950" s="44"/>
      <c r="E950" s="44"/>
      <c r="F950" s="44"/>
      <c r="G950" s="44"/>
      <c r="H950" s="44"/>
      <c r="I950" s="44"/>
      <c r="J950" s="44"/>
      <c r="K950" s="44"/>
      <c r="L950" s="44"/>
      <c r="M950" s="44"/>
      <c r="N950" s="44"/>
      <c r="O950" s="44"/>
    </row>
    <row r="951" spans="1:15" ht="17.25" customHeight="1">
      <c r="A951" s="44"/>
      <c r="B951" s="44"/>
      <c r="C951" s="44"/>
      <c r="D951" s="44"/>
      <c r="E951" s="44"/>
      <c r="F951" s="44"/>
      <c r="G951" s="44"/>
      <c r="H951" s="44"/>
      <c r="I951" s="44"/>
      <c r="J951" s="44"/>
      <c r="K951" s="44"/>
      <c r="L951" s="44"/>
      <c r="M951" s="44"/>
      <c r="N951" s="44"/>
      <c r="O951" s="44"/>
    </row>
    <row r="952" spans="1:15" ht="17.25" customHeight="1">
      <c r="A952" s="44"/>
      <c r="B952" s="44"/>
      <c r="C952" s="44"/>
      <c r="D952" s="44"/>
      <c r="E952" s="44"/>
      <c r="F952" s="44"/>
      <c r="G952" s="44"/>
      <c r="H952" s="44"/>
      <c r="I952" s="44"/>
      <c r="J952" s="44"/>
      <c r="K952" s="44"/>
      <c r="L952" s="44"/>
      <c r="M952" s="44"/>
      <c r="N952" s="44"/>
      <c r="O952" s="44"/>
    </row>
    <row r="953" spans="1:15" ht="17.25" customHeight="1">
      <c r="A953" s="44"/>
      <c r="B953" s="44"/>
      <c r="C953" s="44"/>
      <c r="D953" s="44"/>
      <c r="E953" s="44"/>
      <c r="F953" s="44"/>
      <c r="G953" s="44"/>
      <c r="H953" s="44"/>
      <c r="I953" s="44"/>
      <c r="J953" s="44"/>
      <c r="K953" s="44"/>
      <c r="L953" s="44"/>
      <c r="M953" s="44"/>
      <c r="N953" s="44"/>
      <c r="O953" s="44"/>
    </row>
    <row r="954" spans="1:15" ht="17.25" customHeight="1">
      <c r="A954" s="44"/>
      <c r="B954" s="44"/>
      <c r="C954" s="44"/>
      <c r="D954" s="44"/>
      <c r="E954" s="44"/>
      <c r="F954" s="44"/>
      <c r="G954" s="44"/>
      <c r="H954" s="44"/>
      <c r="I954" s="44"/>
      <c r="J954" s="44"/>
      <c r="K954" s="44"/>
      <c r="L954" s="44"/>
      <c r="M954" s="44"/>
      <c r="N954" s="44"/>
      <c r="O954" s="44"/>
    </row>
    <row r="955" spans="1:15" ht="17.25" customHeight="1">
      <c r="A955" s="44"/>
      <c r="B955" s="44"/>
      <c r="C955" s="44"/>
      <c r="D955" s="44"/>
      <c r="E955" s="44"/>
      <c r="F955" s="44"/>
      <c r="G955" s="44"/>
      <c r="H955" s="44"/>
      <c r="I955" s="44"/>
      <c r="J955" s="44"/>
      <c r="K955" s="44"/>
      <c r="L955" s="44"/>
      <c r="M955" s="44"/>
      <c r="N955" s="44"/>
      <c r="O955" s="44"/>
    </row>
    <row r="956" spans="1:15" ht="17.25" customHeight="1">
      <c r="A956" s="44"/>
      <c r="B956" s="44"/>
      <c r="C956" s="44"/>
      <c r="D956" s="44"/>
      <c r="E956" s="44"/>
      <c r="F956" s="44"/>
      <c r="G956" s="44"/>
      <c r="H956" s="44"/>
      <c r="I956" s="44"/>
      <c r="J956" s="44"/>
      <c r="K956" s="44"/>
      <c r="L956" s="44"/>
      <c r="M956" s="44"/>
      <c r="N956" s="44"/>
      <c r="O956" s="44"/>
    </row>
    <row r="957" spans="1:15" ht="17.25" customHeight="1">
      <c r="A957" s="44"/>
      <c r="B957" s="44"/>
      <c r="C957" s="44"/>
      <c r="D957" s="44"/>
      <c r="E957" s="44"/>
      <c r="F957" s="44"/>
      <c r="G957" s="44"/>
      <c r="H957" s="44"/>
      <c r="I957" s="44"/>
      <c r="J957" s="44"/>
      <c r="K957" s="44"/>
      <c r="L957" s="44"/>
      <c r="M957" s="44"/>
      <c r="N957" s="44"/>
      <c r="O957" s="44"/>
    </row>
    <row r="958" spans="1:15" ht="17.25" customHeight="1">
      <c r="A958" s="44"/>
      <c r="B958" s="44"/>
      <c r="C958" s="44"/>
      <c r="D958" s="44"/>
      <c r="E958" s="44"/>
      <c r="F958" s="44"/>
      <c r="G958" s="44"/>
      <c r="H958" s="44"/>
      <c r="I958" s="44"/>
      <c r="J958" s="44"/>
      <c r="K958" s="44"/>
      <c r="L958" s="44"/>
      <c r="M958" s="44"/>
      <c r="N958" s="44"/>
      <c r="O958" s="44"/>
    </row>
    <row r="959" spans="1:15" ht="17.25" customHeight="1">
      <c r="A959" s="44"/>
      <c r="B959" s="44"/>
      <c r="C959" s="44"/>
      <c r="D959" s="44"/>
      <c r="E959" s="44"/>
      <c r="F959" s="44"/>
      <c r="G959" s="44"/>
      <c r="H959" s="44"/>
      <c r="I959" s="44"/>
      <c r="J959" s="44"/>
      <c r="K959" s="44"/>
      <c r="L959" s="44"/>
      <c r="M959" s="44"/>
      <c r="N959" s="44"/>
      <c r="O959" s="44"/>
    </row>
    <row r="960" spans="1:15" ht="17.25" customHeight="1">
      <c r="A960" s="44"/>
      <c r="B960" s="44"/>
      <c r="C960" s="44"/>
      <c r="D960" s="44"/>
      <c r="E960" s="44"/>
      <c r="F960" s="44"/>
      <c r="G960" s="44"/>
      <c r="H960" s="44"/>
      <c r="I960" s="44"/>
      <c r="J960" s="44"/>
      <c r="K960" s="44"/>
      <c r="L960" s="44"/>
      <c r="M960" s="44"/>
      <c r="N960" s="44"/>
      <c r="O960" s="44"/>
    </row>
    <row r="961" spans="1:15" ht="17.25" customHeight="1">
      <c r="A961" s="44"/>
      <c r="B961" s="44"/>
      <c r="C961" s="44"/>
      <c r="D961" s="44"/>
      <c r="E961" s="44"/>
      <c r="F961" s="44"/>
      <c r="G961" s="44"/>
      <c r="H961" s="44"/>
      <c r="I961" s="44"/>
      <c r="J961" s="44"/>
      <c r="K961" s="44"/>
      <c r="L961" s="44"/>
      <c r="M961" s="44"/>
      <c r="N961" s="44"/>
      <c r="O961" s="44"/>
    </row>
    <row r="962" spans="1:15" ht="17.25" customHeight="1">
      <c r="A962" s="44"/>
      <c r="B962" s="44"/>
      <c r="C962" s="44"/>
      <c r="D962" s="44"/>
      <c r="E962" s="44"/>
      <c r="F962" s="44"/>
      <c r="G962" s="44"/>
      <c r="H962" s="44"/>
      <c r="I962" s="44"/>
      <c r="J962" s="44"/>
      <c r="K962" s="44"/>
      <c r="L962" s="44"/>
      <c r="M962" s="44"/>
      <c r="N962" s="44"/>
      <c r="O962" s="44"/>
    </row>
    <row r="963" spans="1:15" ht="17.25" customHeight="1">
      <c r="A963" s="44"/>
      <c r="B963" s="44"/>
      <c r="C963" s="44"/>
      <c r="D963" s="44"/>
      <c r="E963" s="44"/>
      <c r="F963" s="44"/>
      <c r="G963" s="44"/>
      <c r="H963" s="44"/>
      <c r="I963" s="44"/>
      <c r="J963" s="44"/>
      <c r="K963" s="44"/>
      <c r="L963" s="44"/>
      <c r="M963" s="44"/>
      <c r="N963" s="44"/>
      <c r="O963" s="44"/>
    </row>
    <row r="964" spans="1:15" ht="17.25" customHeight="1">
      <c r="A964" s="44"/>
      <c r="B964" s="44"/>
      <c r="C964" s="44"/>
      <c r="D964" s="44"/>
      <c r="E964" s="44"/>
      <c r="F964" s="44"/>
      <c r="G964" s="44"/>
      <c r="H964" s="44"/>
      <c r="I964" s="44"/>
      <c r="J964" s="44"/>
      <c r="K964" s="44"/>
      <c r="L964" s="44"/>
      <c r="M964" s="44"/>
      <c r="N964" s="44"/>
      <c r="O964" s="44"/>
    </row>
    <row r="965" spans="1:15" ht="17.25" customHeight="1">
      <c r="A965" s="44"/>
      <c r="B965" s="44"/>
      <c r="C965" s="44"/>
      <c r="D965" s="44"/>
      <c r="E965" s="44"/>
      <c r="F965" s="44"/>
      <c r="G965" s="44"/>
      <c r="H965" s="44"/>
      <c r="I965" s="44"/>
      <c r="J965" s="44"/>
      <c r="K965" s="44"/>
      <c r="L965" s="44"/>
      <c r="M965" s="44"/>
      <c r="N965" s="44"/>
      <c r="O965" s="44"/>
    </row>
    <row r="966" spans="1:15" ht="17.25" customHeight="1">
      <c r="A966" s="44"/>
      <c r="B966" s="44"/>
      <c r="C966" s="44"/>
      <c r="D966" s="44"/>
      <c r="E966" s="44"/>
      <c r="F966" s="44"/>
      <c r="G966" s="44"/>
      <c r="H966" s="44"/>
      <c r="I966" s="44"/>
      <c r="J966" s="44"/>
      <c r="K966" s="44"/>
      <c r="L966" s="44"/>
      <c r="M966" s="44"/>
      <c r="N966" s="44"/>
      <c r="O966" s="44"/>
    </row>
    <row r="967" spans="1:15" ht="17.25" customHeight="1">
      <c r="A967" s="44"/>
      <c r="B967" s="44"/>
      <c r="C967" s="44"/>
      <c r="D967" s="44"/>
      <c r="E967" s="44"/>
      <c r="F967" s="44"/>
      <c r="G967" s="44"/>
      <c r="H967" s="44"/>
      <c r="I967" s="44"/>
      <c r="J967" s="44"/>
      <c r="K967" s="44"/>
      <c r="L967" s="44"/>
      <c r="M967" s="44"/>
      <c r="N967" s="44"/>
      <c r="O967" s="44"/>
    </row>
    <row r="968" spans="1:15" ht="17.25" customHeight="1">
      <c r="A968" s="44"/>
      <c r="B968" s="44"/>
      <c r="C968" s="44"/>
      <c r="D968" s="44"/>
      <c r="E968" s="44"/>
      <c r="F968" s="44"/>
      <c r="G968" s="44"/>
      <c r="H968" s="44"/>
      <c r="I968" s="44"/>
      <c r="J968" s="44"/>
      <c r="K968" s="44"/>
      <c r="L968" s="44"/>
      <c r="M968" s="44"/>
      <c r="N968" s="44"/>
      <c r="O968" s="44"/>
    </row>
    <row r="969" spans="1:15" ht="17.25" customHeight="1">
      <c r="A969" s="44"/>
      <c r="B969" s="44"/>
      <c r="C969" s="44"/>
      <c r="D969" s="44"/>
      <c r="E969" s="44"/>
      <c r="F969" s="44"/>
      <c r="G969" s="44"/>
      <c r="H969" s="44"/>
      <c r="I969" s="44"/>
      <c r="J969" s="44"/>
      <c r="K969" s="44"/>
      <c r="L969" s="44"/>
      <c r="M969" s="44"/>
      <c r="N969" s="44"/>
      <c r="O969" s="44"/>
    </row>
    <row r="970" spans="1:15" ht="17.25" customHeight="1">
      <c r="A970" s="44"/>
      <c r="B970" s="44"/>
      <c r="C970" s="44"/>
      <c r="D970" s="44"/>
      <c r="E970" s="44"/>
      <c r="F970" s="44"/>
      <c r="G970" s="44"/>
      <c r="H970" s="44"/>
      <c r="I970" s="44"/>
      <c r="J970" s="44"/>
      <c r="K970" s="44"/>
      <c r="L970" s="44"/>
      <c r="M970" s="44"/>
      <c r="N970" s="44"/>
      <c r="O970" s="44"/>
    </row>
    <row r="971" spans="1:15" ht="17.25" customHeight="1">
      <c r="A971" s="44"/>
      <c r="B971" s="44"/>
      <c r="C971" s="44"/>
      <c r="D971" s="44"/>
      <c r="E971" s="44"/>
      <c r="F971" s="44"/>
      <c r="G971" s="44"/>
      <c r="H971" s="44"/>
      <c r="I971" s="44"/>
      <c r="J971" s="44"/>
      <c r="K971" s="44"/>
      <c r="L971" s="44"/>
      <c r="M971" s="44"/>
      <c r="N971" s="44"/>
      <c r="O971" s="44"/>
    </row>
    <row r="972" spans="1:15" ht="17.25" customHeight="1">
      <c r="A972" s="44"/>
      <c r="B972" s="44"/>
      <c r="C972" s="44"/>
      <c r="D972" s="44"/>
      <c r="E972" s="44"/>
      <c r="F972" s="44"/>
      <c r="G972" s="44"/>
      <c r="H972" s="44"/>
      <c r="I972" s="44"/>
      <c r="J972" s="44"/>
      <c r="K972" s="44"/>
      <c r="L972" s="44"/>
      <c r="M972" s="44"/>
      <c r="N972" s="44"/>
      <c r="O972" s="44"/>
    </row>
    <row r="973" spans="1:15" ht="17.25" customHeight="1">
      <c r="A973" s="44"/>
      <c r="B973" s="44"/>
      <c r="C973" s="44"/>
      <c r="D973" s="44"/>
      <c r="E973" s="44"/>
      <c r="F973" s="44"/>
      <c r="G973" s="44"/>
      <c r="H973" s="44"/>
      <c r="I973" s="44"/>
      <c r="J973" s="44"/>
      <c r="K973" s="44"/>
      <c r="L973" s="44"/>
      <c r="M973" s="44"/>
      <c r="N973" s="44"/>
      <c r="O973" s="44"/>
    </row>
    <row r="974" spans="1:15" ht="17.25" customHeight="1">
      <c r="A974" s="44"/>
      <c r="B974" s="44"/>
      <c r="C974" s="44"/>
      <c r="D974" s="44"/>
      <c r="E974" s="44"/>
      <c r="F974" s="44"/>
      <c r="G974" s="44"/>
      <c r="H974" s="44"/>
      <c r="I974" s="44"/>
      <c r="J974" s="44"/>
      <c r="K974" s="44"/>
      <c r="L974" s="44"/>
      <c r="M974" s="44"/>
      <c r="N974" s="44"/>
      <c r="O974" s="44"/>
    </row>
    <row r="975" spans="1:15" ht="17.25" customHeight="1">
      <c r="A975" s="44"/>
      <c r="B975" s="44"/>
      <c r="C975" s="44"/>
      <c r="D975" s="44"/>
      <c r="E975" s="44"/>
      <c r="F975" s="44"/>
      <c r="G975" s="44"/>
      <c r="H975" s="44"/>
      <c r="I975" s="44"/>
      <c r="J975" s="44"/>
      <c r="K975" s="44"/>
      <c r="L975" s="44"/>
      <c r="M975" s="44"/>
      <c r="N975" s="44"/>
      <c r="O975" s="44"/>
    </row>
    <row r="976" spans="1:15" ht="17.25" customHeight="1">
      <c r="A976" s="44"/>
      <c r="B976" s="44"/>
      <c r="C976" s="44"/>
      <c r="D976" s="44"/>
      <c r="E976" s="44"/>
      <c r="F976" s="44"/>
      <c r="G976" s="44"/>
      <c r="H976" s="44"/>
      <c r="I976" s="44"/>
      <c r="J976" s="44"/>
      <c r="K976" s="44"/>
      <c r="L976" s="44"/>
      <c r="M976" s="44"/>
      <c r="N976" s="44"/>
      <c r="O976" s="44"/>
    </row>
    <row r="977" spans="1:15" ht="17.25" customHeight="1">
      <c r="A977" s="44"/>
      <c r="B977" s="44"/>
      <c r="C977" s="44"/>
      <c r="D977" s="44"/>
      <c r="E977" s="44"/>
      <c r="F977" s="44"/>
      <c r="G977" s="44"/>
      <c r="H977" s="44"/>
      <c r="I977" s="44"/>
      <c r="J977" s="44"/>
      <c r="K977" s="44"/>
      <c r="L977" s="44"/>
      <c r="M977" s="44"/>
      <c r="N977" s="44"/>
      <c r="O977" s="44"/>
    </row>
    <row r="978" spans="1:15" ht="17.25" customHeight="1">
      <c r="A978" s="44"/>
      <c r="B978" s="44"/>
      <c r="C978" s="44"/>
      <c r="D978" s="44"/>
      <c r="E978" s="44"/>
      <c r="F978" s="44"/>
      <c r="G978" s="44"/>
      <c r="H978" s="44"/>
      <c r="I978" s="44"/>
      <c r="J978" s="44"/>
      <c r="K978" s="44"/>
      <c r="L978" s="44"/>
      <c r="M978" s="44"/>
      <c r="N978" s="44"/>
      <c r="O978" s="44"/>
    </row>
    <row r="979" spans="1:15" ht="17.25" customHeight="1">
      <c r="A979" s="44"/>
      <c r="B979" s="44"/>
      <c r="C979" s="44"/>
      <c r="D979" s="44"/>
      <c r="E979" s="44"/>
      <c r="F979" s="44"/>
      <c r="G979" s="44"/>
      <c r="H979" s="44"/>
      <c r="I979" s="44"/>
      <c r="J979" s="44"/>
      <c r="K979" s="44"/>
      <c r="L979" s="44"/>
      <c r="M979" s="44"/>
      <c r="N979" s="44"/>
      <c r="O979" s="44"/>
    </row>
    <row r="980" spans="1:15" ht="17.25" customHeight="1">
      <c r="A980" s="44"/>
      <c r="B980" s="44"/>
      <c r="C980" s="44"/>
      <c r="D980" s="44"/>
      <c r="E980" s="44"/>
      <c r="F980" s="44"/>
      <c r="G980" s="44"/>
      <c r="H980" s="44"/>
      <c r="I980" s="44"/>
      <c r="J980" s="44"/>
      <c r="K980" s="44"/>
      <c r="L980" s="44"/>
      <c r="M980" s="44"/>
      <c r="N980" s="44"/>
      <c r="O980" s="44"/>
    </row>
    <row r="981" spans="1:15" ht="17.25" customHeight="1">
      <c r="A981" s="44"/>
      <c r="B981" s="44"/>
      <c r="C981" s="44"/>
      <c r="D981" s="44"/>
      <c r="E981" s="44"/>
      <c r="F981" s="44"/>
      <c r="G981" s="44"/>
      <c r="H981" s="44"/>
      <c r="I981" s="44"/>
      <c r="J981" s="44"/>
      <c r="K981" s="44"/>
      <c r="L981" s="44"/>
      <c r="M981" s="44"/>
      <c r="N981" s="44"/>
      <c r="O981" s="44"/>
    </row>
    <row r="982" spans="1:15" ht="17.25" customHeight="1">
      <c r="A982" s="44"/>
      <c r="B982" s="44"/>
      <c r="C982" s="44"/>
      <c r="D982" s="44"/>
      <c r="E982" s="44"/>
      <c r="F982" s="44"/>
      <c r="G982" s="44"/>
      <c r="H982" s="44"/>
      <c r="I982" s="44"/>
      <c r="J982" s="44"/>
      <c r="K982" s="44"/>
      <c r="L982" s="44"/>
      <c r="M982" s="44"/>
      <c r="N982" s="44"/>
      <c r="O982" s="44"/>
    </row>
    <row r="983" spans="1:15" ht="17.25" customHeight="1">
      <c r="A983" s="44"/>
      <c r="B983" s="44"/>
      <c r="C983" s="44"/>
      <c r="D983" s="44"/>
      <c r="E983" s="44"/>
      <c r="F983" s="44"/>
      <c r="G983" s="44"/>
      <c r="H983" s="44"/>
      <c r="I983" s="44"/>
      <c r="J983" s="44"/>
      <c r="K983" s="44"/>
      <c r="L983" s="44"/>
      <c r="M983" s="44"/>
      <c r="N983" s="44"/>
      <c r="O983" s="44"/>
    </row>
    <row r="984" spans="1:15" ht="17.25" customHeight="1">
      <c r="A984" s="44"/>
      <c r="B984" s="44"/>
      <c r="C984" s="44"/>
      <c r="D984" s="44"/>
      <c r="E984" s="44"/>
      <c r="F984" s="44"/>
      <c r="G984" s="44"/>
      <c r="H984" s="44"/>
      <c r="I984" s="44"/>
      <c r="J984" s="44"/>
      <c r="K984" s="44"/>
      <c r="L984" s="44"/>
      <c r="M984" s="44"/>
      <c r="N984" s="44"/>
      <c r="O984" s="44"/>
    </row>
    <row r="985" spans="1:15" ht="17.25" customHeight="1">
      <c r="A985" s="44"/>
      <c r="B985" s="44"/>
      <c r="C985" s="44"/>
      <c r="D985" s="44"/>
      <c r="E985" s="44"/>
      <c r="F985" s="44"/>
      <c r="G985" s="44"/>
      <c r="H985" s="44"/>
      <c r="I985" s="44"/>
      <c r="J985" s="44"/>
      <c r="K985" s="44"/>
      <c r="L985" s="44"/>
      <c r="M985" s="44"/>
      <c r="N985" s="44"/>
      <c r="O985" s="44"/>
    </row>
    <row r="986" spans="1:15" ht="17.25" customHeight="1">
      <c r="A986" s="44"/>
      <c r="B986" s="44"/>
      <c r="C986" s="44"/>
      <c r="D986" s="44"/>
      <c r="E986" s="44"/>
      <c r="F986" s="44"/>
      <c r="G986" s="44"/>
      <c r="H986" s="44"/>
      <c r="I986" s="44"/>
      <c r="J986" s="44"/>
      <c r="K986" s="44"/>
      <c r="L986" s="44"/>
      <c r="M986" s="44"/>
      <c r="N986" s="44"/>
      <c r="O986" s="44"/>
    </row>
    <row r="987" spans="1:15" ht="17.25" customHeight="1">
      <c r="A987" s="44"/>
      <c r="B987" s="44"/>
      <c r="C987" s="44"/>
      <c r="D987" s="44"/>
      <c r="E987" s="44"/>
      <c r="F987" s="44"/>
      <c r="G987" s="44"/>
      <c r="H987" s="44"/>
      <c r="I987" s="44"/>
      <c r="J987" s="44"/>
      <c r="K987" s="44"/>
      <c r="L987" s="44"/>
      <c r="M987" s="44"/>
      <c r="N987" s="44"/>
      <c r="O987" s="44"/>
    </row>
    <row r="988" spans="1:15" ht="17.25" customHeight="1">
      <c r="A988" s="44"/>
      <c r="B988" s="44"/>
      <c r="C988" s="44"/>
      <c r="D988" s="44"/>
      <c r="E988" s="44"/>
      <c r="F988" s="44"/>
      <c r="G988" s="44"/>
      <c r="H988" s="44"/>
      <c r="I988" s="44"/>
      <c r="J988" s="44"/>
      <c r="K988" s="44"/>
      <c r="L988" s="44"/>
      <c r="M988" s="44"/>
      <c r="N988" s="44"/>
      <c r="O988" s="44"/>
    </row>
    <row r="989" spans="1:15" ht="17.25" customHeight="1">
      <c r="A989" s="44"/>
      <c r="B989" s="44"/>
      <c r="C989" s="44"/>
      <c r="D989" s="44"/>
      <c r="E989" s="44"/>
      <c r="F989" s="44"/>
      <c r="G989" s="44"/>
      <c r="H989" s="44"/>
      <c r="I989" s="44"/>
      <c r="J989" s="44"/>
      <c r="K989" s="44"/>
      <c r="L989" s="44"/>
      <c r="M989" s="44"/>
      <c r="N989" s="44"/>
      <c r="O989" s="44"/>
    </row>
    <row r="990" spans="1:15" ht="17.25" customHeight="1">
      <c r="A990" s="44"/>
      <c r="B990" s="44"/>
      <c r="C990" s="44"/>
      <c r="D990" s="44"/>
      <c r="E990" s="44"/>
      <c r="F990" s="44"/>
      <c r="G990" s="44"/>
      <c r="H990" s="44"/>
      <c r="I990" s="44"/>
      <c r="J990" s="44"/>
      <c r="K990" s="44"/>
      <c r="L990" s="44"/>
      <c r="M990" s="44"/>
      <c r="N990" s="44"/>
      <c r="O990" s="44"/>
    </row>
    <row r="991" spans="1:15" ht="17.25" customHeight="1">
      <c r="A991" s="44"/>
      <c r="B991" s="44"/>
      <c r="C991" s="44"/>
      <c r="D991" s="44"/>
      <c r="E991" s="44"/>
      <c r="F991" s="44"/>
      <c r="G991" s="44"/>
      <c r="H991" s="44"/>
      <c r="I991" s="44"/>
      <c r="J991" s="44"/>
      <c r="K991" s="44"/>
      <c r="L991" s="44"/>
      <c r="M991" s="44"/>
      <c r="N991" s="44"/>
      <c r="O991" s="44"/>
    </row>
    <row r="992" spans="1:15" ht="17.25" customHeight="1">
      <c r="A992" s="44"/>
      <c r="B992" s="44"/>
      <c r="C992" s="44"/>
      <c r="D992" s="44"/>
      <c r="E992" s="44"/>
      <c r="F992" s="44"/>
      <c r="G992" s="44"/>
      <c r="H992" s="44"/>
      <c r="I992" s="44"/>
      <c r="J992" s="44"/>
      <c r="K992" s="44"/>
      <c r="L992" s="44"/>
      <c r="M992" s="44"/>
      <c r="N992" s="44"/>
      <c r="O992" s="44"/>
    </row>
    <row r="993" spans="1:15" ht="17.25" customHeight="1">
      <c r="A993" s="44"/>
      <c r="B993" s="44"/>
      <c r="C993" s="44"/>
      <c r="D993" s="44"/>
      <c r="E993" s="44"/>
      <c r="F993" s="44"/>
      <c r="G993" s="44"/>
      <c r="H993" s="44"/>
      <c r="I993" s="44"/>
      <c r="J993" s="44"/>
      <c r="K993" s="44"/>
      <c r="L993" s="44"/>
      <c r="M993" s="44"/>
      <c r="N993" s="44"/>
      <c r="O993" s="44"/>
    </row>
    <row r="994" spans="1:15" ht="17.25" customHeight="1">
      <c r="A994" s="44"/>
      <c r="B994" s="44"/>
      <c r="C994" s="44"/>
      <c r="D994" s="44"/>
      <c r="E994" s="44"/>
      <c r="F994" s="44"/>
      <c r="G994" s="44"/>
      <c r="H994" s="44"/>
      <c r="I994" s="44"/>
      <c r="J994" s="44"/>
      <c r="K994" s="44"/>
      <c r="L994" s="44"/>
      <c r="M994" s="44"/>
      <c r="N994" s="44"/>
      <c r="O994" s="44"/>
    </row>
    <row r="995" spans="1:15" ht="17.25" customHeight="1">
      <c r="A995" s="44"/>
      <c r="B995" s="44"/>
      <c r="C995" s="44"/>
      <c r="D995" s="44"/>
      <c r="E995" s="44"/>
      <c r="F995" s="44"/>
      <c r="G995" s="44"/>
      <c r="H995" s="44"/>
      <c r="I995" s="44"/>
      <c r="J995" s="44"/>
      <c r="K995" s="44"/>
      <c r="L995" s="44"/>
      <c r="M995" s="44"/>
      <c r="N995" s="44"/>
      <c r="O995" s="44"/>
    </row>
    <row r="996" spans="1:15" ht="17.25" customHeight="1">
      <c r="A996" s="44"/>
      <c r="B996" s="44"/>
      <c r="C996" s="44"/>
      <c r="D996" s="44"/>
      <c r="E996" s="44"/>
      <c r="F996" s="44"/>
      <c r="G996" s="44"/>
      <c r="H996" s="44"/>
      <c r="I996" s="44"/>
      <c r="J996" s="44"/>
      <c r="K996" s="44"/>
      <c r="L996" s="44"/>
      <c r="M996" s="44"/>
      <c r="N996" s="44"/>
      <c r="O996" s="44"/>
    </row>
    <row r="997" spans="1:15" ht="17.25" customHeight="1">
      <c r="A997" s="44"/>
      <c r="B997" s="44"/>
      <c r="C997" s="44"/>
      <c r="D997" s="44"/>
      <c r="E997" s="44"/>
      <c r="F997" s="44"/>
      <c r="G997" s="44"/>
      <c r="H997" s="44"/>
      <c r="I997" s="44"/>
      <c r="J997" s="44"/>
      <c r="K997" s="44"/>
      <c r="L997" s="44"/>
      <c r="M997" s="44"/>
      <c r="N997" s="44"/>
      <c r="O997" s="44"/>
    </row>
    <row r="998" spans="1:15" ht="17.25" customHeight="1">
      <c r="A998" s="44"/>
      <c r="B998" s="44"/>
      <c r="C998" s="44"/>
      <c r="D998" s="44"/>
      <c r="E998" s="44"/>
      <c r="F998" s="44"/>
      <c r="G998" s="44"/>
      <c r="H998" s="44"/>
      <c r="I998" s="44"/>
      <c r="J998" s="44"/>
      <c r="K998" s="44"/>
      <c r="L998" s="44"/>
      <c r="M998" s="44"/>
      <c r="N998" s="44"/>
      <c r="O998" s="44"/>
    </row>
  </sheetData>
  <mergeCells count="2">
    <mergeCell ref="G1:J2"/>
    <mergeCell ref="B4:C4"/>
  </mergeCells>
  <pageMargins left="0.7" right="0.7" top="0.75" bottom="0.75" header="0" footer="0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/>
  </sheetPr>
  <dimension ref="A1:R986"/>
  <sheetViews>
    <sheetView showGridLines="0" workbookViewId="0">
      <selection activeCell="J10" sqref="J10"/>
    </sheetView>
  </sheetViews>
  <sheetFormatPr baseColWidth="10" defaultColWidth="14.42578125" defaultRowHeight="15" customHeight="1"/>
  <cols>
    <col min="1" max="1" width="5.28515625" style="46" customWidth="1"/>
    <col min="2" max="3" width="12.42578125" style="46" customWidth="1"/>
    <col min="4" max="4" width="6.140625" style="46" customWidth="1"/>
    <col min="5" max="5" width="4.85546875" style="46" customWidth="1"/>
    <col min="6" max="6" width="3.28515625" style="46" customWidth="1"/>
    <col min="7" max="10" width="11.42578125" style="46" customWidth="1"/>
    <col min="11" max="11" width="8.42578125" style="46" customWidth="1"/>
    <col min="12" max="12" width="11.42578125" style="46" customWidth="1"/>
    <col min="13" max="13" width="7" style="46" customWidth="1"/>
    <col min="14" max="14" width="13.85546875" style="46" customWidth="1"/>
    <col min="15" max="15" width="3.140625" style="46" customWidth="1"/>
    <col min="16" max="16" width="30.85546875" style="46" customWidth="1"/>
    <col min="17" max="16384" width="14.42578125" style="46"/>
  </cols>
  <sheetData>
    <row r="1" spans="1:18" ht="21.75" customHeight="1">
      <c r="A1" s="44"/>
      <c r="B1" s="44"/>
      <c r="C1" s="44"/>
      <c r="D1" s="45"/>
      <c r="E1" s="45"/>
      <c r="F1" s="45"/>
      <c r="G1" s="156" t="s">
        <v>68</v>
      </c>
      <c r="H1" s="157"/>
      <c r="I1" s="157"/>
      <c r="J1" s="157"/>
      <c r="K1" s="44"/>
      <c r="L1" s="44"/>
      <c r="M1" s="44"/>
      <c r="N1" s="44"/>
      <c r="O1" s="44"/>
    </row>
    <row r="2" spans="1:18" ht="25.5" customHeight="1">
      <c r="A2" s="44"/>
      <c r="B2" s="44"/>
      <c r="C2" s="44"/>
      <c r="D2" s="47"/>
      <c r="E2" s="47"/>
      <c r="F2" s="47"/>
      <c r="G2" s="157"/>
      <c r="H2" s="157"/>
      <c r="I2" s="157"/>
      <c r="J2" s="157"/>
      <c r="K2" s="44"/>
      <c r="L2" s="44"/>
      <c r="M2" s="44"/>
      <c r="N2" s="44"/>
      <c r="O2" s="44"/>
      <c r="P2" s="46" t="s">
        <v>56</v>
      </c>
    </row>
    <row r="3" spans="1:18" ht="17.25" customHeight="1" thickBot="1">
      <c r="A3" s="44"/>
      <c r="B3" s="44"/>
      <c r="C3" s="44"/>
      <c r="D3" s="48"/>
      <c r="E3" s="48"/>
      <c r="F3" s="48"/>
      <c r="G3" s="44"/>
      <c r="H3" s="44"/>
      <c r="I3" s="44"/>
      <c r="J3" s="44"/>
      <c r="K3" s="44"/>
      <c r="L3" s="44"/>
      <c r="M3" s="44"/>
      <c r="N3" s="44"/>
      <c r="O3" s="44"/>
    </row>
    <row r="4" spans="1:18" ht="17.25" customHeight="1">
      <c r="A4" s="44"/>
      <c r="B4" s="158" t="s">
        <v>93</v>
      </c>
      <c r="C4" s="159"/>
      <c r="D4" s="48"/>
      <c r="E4" s="48"/>
      <c r="F4" s="48"/>
      <c r="G4" s="44"/>
      <c r="H4" s="44"/>
      <c r="I4" s="44"/>
      <c r="J4" s="44"/>
      <c r="K4" s="44"/>
      <c r="L4" s="44"/>
      <c r="M4" s="44"/>
      <c r="N4" s="44"/>
      <c r="O4" s="44"/>
      <c r="P4" s="49"/>
      <c r="Q4" s="49" t="s">
        <v>69</v>
      </c>
      <c r="R4" s="49" t="s">
        <v>70</v>
      </c>
    </row>
    <row r="5" spans="1:18" ht="17.25" customHeight="1">
      <c r="A5" s="50" t="s">
        <v>71</v>
      </c>
      <c r="B5" s="50" t="s">
        <v>69</v>
      </c>
      <c r="C5" s="50" t="s">
        <v>70</v>
      </c>
      <c r="D5" s="48"/>
      <c r="E5" s="48"/>
      <c r="F5" s="48"/>
      <c r="G5" s="44"/>
      <c r="H5" s="44"/>
      <c r="I5" s="44"/>
      <c r="J5" s="105">
        <f>J7-J8</f>
        <v>-7.5155000000013961E-3</v>
      </c>
      <c r="K5" s="44"/>
      <c r="L5" s="44"/>
      <c r="M5" s="44"/>
      <c r="N5" s="44"/>
      <c r="O5" s="44"/>
      <c r="P5" s="51" t="s">
        <v>57</v>
      </c>
      <c r="Q5" s="52">
        <v>0.44317958101850902</v>
      </c>
      <c r="R5" s="52">
        <v>0.28883252777777418</v>
      </c>
    </row>
    <row r="6" spans="1:18" ht="17.25" customHeight="1">
      <c r="A6" s="53">
        <v>1</v>
      </c>
      <c r="B6" s="125">
        <v>9.1964499999988902E-2</v>
      </c>
      <c r="C6" s="125">
        <v>0.12706062499995599</v>
      </c>
      <c r="D6" s="48"/>
      <c r="E6" s="48"/>
      <c r="F6" s="48"/>
      <c r="G6" s="44" t="s">
        <v>72</v>
      </c>
      <c r="H6" s="44"/>
      <c r="I6" s="44"/>
      <c r="J6" s="44"/>
      <c r="K6" s="44"/>
      <c r="L6" s="44"/>
      <c r="M6" s="44"/>
      <c r="N6" s="44"/>
      <c r="O6" s="44"/>
      <c r="P6" s="51" t="s">
        <v>58</v>
      </c>
      <c r="Q6" s="54">
        <v>0.14537412548986117</v>
      </c>
      <c r="R6" s="54">
        <v>3.3513903219751534E-2</v>
      </c>
    </row>
    <row r="7" spans="1:18" ht="17.25" customHeight="1">
      <c r="A7" s="53">
        <v>2</v>
      </c>
      <c r="B7" s="125">
        <v>4.6583249999997599E-2</v>
      </c>
      <c r="C7" s="125">
        <v>0.58486812500001395</v>
      </c>
      <c r="D7" s="48"/>
      <c r="E7" s="48"/>
      <c r="F7" s="48"/>
      <c r="G7" s="44"/>
      <c r="H7" s="44"/>
      <c r="I7" s="55" t="s">
        <v>73</v>
      </c>
      <c r="J7" s="56">
        <f>AVERAGE(B6:B23)</f>
        <v>0.18654581944444082</v>
      </c>
      <c r="K7" s="57" t="s">
        <v>74</v>
      </c>
      <c r="L7" s="58">
        <f>COUNT(B6:B23)</f>
        <v>18</v>
      </c>
      <c r="M7" s="57" t="s">
        <v>73</v>
      </c>
      <c r="N7" s="59">
        <f>_xlfn.VAR.S(B6:B23)</f>
        <v>2.4101651281577551E-2</v>
      </c>
      <c r="O7" s="44"/>
      <c r="P7" s="51" t="s">
        <v>59</v>
      </c>
      <c r="Q7" s="51">
        <v>18</v>
      </c>
      <c r="R7" s="51">
        <v>18</v>
      </c>
    </row>
    <row r="8" spans="1:18" ht="17.25" customHeight="1">
      <c r="A8" s="53">
        <v>3</v>
      </c>
      <c r="B8" s="125">
        <v>0.202705499999979</v>
      </c>
      <c r="C8" s="125">
        <v>0.12506024999998999</v>
      </c>
      <c r="D8" s="48"/>
      <c r="E8" s="48"/>
      <c r="F8" s="48"/>
      <c r="G8" s="44"/>
      <c r="H8" s="44"/>
      <c r="I8" s="60" t="s">
        <v>73</v>
      </c>
      <c r="J8" s="56">
        <f>AVERAGE(C6:C23)</f>
        <v>0.19406131944444222</v>
      </c>
      <c r="K8" s="57" t="s">
        <v>75</v>
      </c>
      <c r="L8" s="58">
        <f>COUNT(C6:C23)</f>
        <v>18</v>
      </c>
      <c r="M8" s="57" t="s">
        <v>73</v>
      </c>
      <c r="N8" s="59">
        <f>_xlfn.VAR.S(C6:C23)</f>
        <v>2.4113730627831169E-2</v>
      </c>
      <c r="O8" s="44"/>
      <c r="P8" s="51" t="s">
        <v>60</v>
      </c>
      <c r="Q8" s="54">
        <v>8.9444014354806353E-2</v>
      </c>
      <c r="R8" s="51"/>
    </row>
    <row r="9" spans="1:18" ht="17.25" customHeight="1">
      <c r="A9" s="53">
        <v>4</v>
      </c>
      <c r="B9" s="125">
        <v>8.9724625000002306E-2</v>
      </c>
      <c r="C9" s="125">
        <v>1.53133750000052E-2</v>
      </c>
      <c r="D9" s="48"/>
      <c r="E9" s="48"/>
      <c r="F9" s="48"/>
      <c r="G9" s="44"/>
      <c r="H9" s="44"/>
      <c r="I9" s="44"/>
      <c r="J9" s="44"/>
      <c r="K9" s="44"/>
      <c r="L9" s="44"/>
      <c r="M9" s="57" t="s">
        <v>73</v>
      </c>
      <c r="N9" s="59">
        <f>((L7-1)*N7+(L8-1)*N8)/(L7+L8-2)</f>
        <v>2.4107690954704358E-2</v>
      </c>
      <c r="O9" s="44"/>
      <c r="P9" s="51" t="s">
        <v>61</v>
      </c>
      <c r="Q9" s="51">
        <v>0</v>
      </c>
      <c r="R9" s="51"/>
    </row>
    <row r="10" spans="1:18" ht="17.25" customHeight="1">
      <c r="A10" s="53">
        <v>5</v>
      </c>
      <c r="B10" s="125">
        <v>7.1153500000008307E-2</v>
      </c>
      <c r="C10" s="125">
        <v>5.2718375000012002E-2</v>
      </c>
      <c r="D10" s="48"/>
      <c r="E10" s="48"/>
      <c r="F10" s="48"/>
      <c r="G10" s="44"/>
      <c r="H10" s="44"/>
      <c r="I10" s="57" t="s">
        <v>76</v>
      </c>
      <c r="J10" s="61">
        <f>ABS((J7-J8)/SQRT(N7/L7+N8/L8))</f>
        <v>0.14521160516587542</v>
      </c>
      <c r="K10" s="44"/>
      <c r="L10" s="44"/>
      <c r="M10" s="44"/>
      <c r="N10" s="44"/>
      <c r="O10" s="44"/>
      <c r="P10" s="51" t="s">
        <v>62</v>
      </c>
      <c r="Q10" s="51">
        <v>34</v>
      </c>
      <c r="R10" s="51"/>
    </row>
    <row r="11" spans="1:18" ht="17.25" customHeight="1" thickBot="1">
      <c r="A11" s="53">
        <v>6</v>
      </c>
      <c r="B11" s="125">
        <v>1.5147125000027017E-2</v>
      </c>
      <c r="C11" s="125">
        <v>0.257696124999995</v>
      </c>
      <c r="D11" s="48"/>
      <c r="E11" s="48"/>
      <c r="F11" s="48"/>
      <c r="G11" s="44"/>
      <c r="H11" s="44"/>
      <c r="I11" s="44"/>
      <c r="J11" s="44"/>
      <c r="K11" s="44"/>
      <c r="L11" s="44"/>
      <c r="M11" s="62"/>
      <c r="N11" s="44">
        <f>J10</f>
        <v>0.14521160516587542</v>
      </c>
      <c r="O11" s="44"/>
      <c r="P11" s="51" t="s">
        <v>63</v>
      </c>
      <c r="Q11" s="81">
        <v>1.5482602214075776</v>
      </c>
      <c r="R11" s="51"/>
    </row>
    <row r="12" spans="1:18" ht="17.25" customHeight="1">
      <c r="A12" s="53">
        <v>1</v>
      </c>
      <c r="B12" s="30">
        <v>0.319080250000013</v>
      </c>
      <c r="C12" s="30">
        <v>0.1040475000000356</v>
      </c>
      <c r="D12" s="48"/>
      <c r="E12" s="48"/>
      <c r="F12" s="48"/>
      <c r="G12" s="44"/>
      <c r="H12" s="44"/>
      <c r="I12" s="44"/>
      <c r="J12" s="44"/>
      <c r="K12" s="44"/>
      <c r="L12" s="44"/>
      <c r="M12" s="62"/>
      <c r="N12" s="44"/>
      <c r="O12" s="44"/>
      <c r="P12" s="51" t="s">
        <v>64</v>
      </c>
      <c r="Q12" s="51">
        <v>6.5409292048025119E-2</v>
      </c>
      <c r="R12" s="51"/>
    </row>
    <row r="13" spans="1:18" ht="17.25" customHeight="1">
      <c r="A13" s="53">
        <v>2</v>
      </c>
      <c r="B13" s="125">
        <v>1.18282500000362E-2</v>
      </c>
      <c r="C13" s="125">
        <v>1.7499624999999241E-2</v>
      </c>
      <c r="D13" s="48"/>
      <c r="E13" s="48"/>
      <c r="F13" s="48"/>
      <c r="G13" s="63" t="s">
        <v>77</v>
      </c>
      <c r="H13" s="63"/>
      <c r="I13" s="64" t="s">
        <v>78</v>
      </c>
      <c r="J13" s="65">
        <f>L7+L8-2</f>
        <v>34</v>
      </c>
      <c r="K13" s="44"/>
      <c r="L13" s="44"/>
      <c r="M13" s="62"/>
      <c r="N13" s="66"/>
      <c r="O13" s="44"/>
      <c r="P13" s="51" t="s">
        <v>65</v>
      </c>
      <c r="Q13" s="51">
        <v>1.6909242551868542</v>
      </c>
      <c r="R13" s="51"/>
    </row>
    <row r="14" spans="1:18" ht="17.25" customHeight="1">
      <c r="A14" s="53">
        <v>3</v>
      </c>
      <c r="B14" s="125">
        <v>0.10190237500000876</v>
      </c>
      <c r="C14" s="125">
        <v>0.20777624999996647</v>
      </c>
      <c r="D14" s="48"/>
      <c r="E14" s="48"/>
      <c r="F14" s="48"/>
      <c r="G14" s="63"/>
      <c r="H14" s="63"/>
      <c r="I14" s="80" t="s">
        <v>79</v>
      </c>
      <c r="J14" s="67">
        <v>0.05</v>
      </c>
      <c r="K14" s="68">
        <f>J14</f>
        <v>0.05</v>
      </c>
      <c r="L14" s="44"/>
      <c r="M14" s="44"/>
      <c r="N14" s="66"/>
      <c r="O14" s="44"/>
      <c r="P14" s="51" t="s">
        <v>66</v>
      </c>
      <c r="Q14" s="54">
        <v>0.13081858409605024</v>
      </c>
      <c r="R14" s="51"/>
    </row>
    <row r="15" spans="1:18" ht="17.25" customHeight="1" thickBot="1">
      <c r="A15" s="53">
        <v>4</v>
      </c>
      <c r="B15" s="125">
        <v>8.8335749999998797E-2</v>
      </c>
      <c r="C15" s="125">
        <v>0.45911887500000148</v>
      </c>
      <c r="D15" s="48"/>
      <c r="E15" s="48"/>
      <c r="F15" s="48"/>
      <c r="G15" s="63"/>
      <c r="H15" s="63"/>
      <c r="I15" s="63"/>
      <c r="J15" s="63"/>
      <c r="K15" s="44"/>
      <c r="L15" s="44"/>
      <c r="M15" s="44"/>
      <c r="N15" s="44"/>
      <c r="O15" s="44"/>
      <c r="P15" s="69" t="s">
        <v>67</v>
      </c>
      <c r="Q15" s="70">
        <v>2.0322445093177191</v>
      </c>
      <c r="R15" s="69"/>
    </row>
    <row r="16" spans="1:18" ht="17.25" customHeight="1">
      <c r="A16" s="53">
        <v>5</v>
      </c>
      <c r="B16" s="125">
        <v>0.20496349999996299</v>
      </c>
      <c r="C16" s="125">
        <v>0.24719262499993988</v>
      </c>
      <c r="D16" s="48"/>
      <c r="E16" s="48"/>
      <c r="F16" s="48"/>
      <c r="G16" s="63"/>
      <c r="H16" s="63"/>
      <c r="I16" s="71" t="s">
        <v>73</v>
      </c>
      <c r="J16" s="72">
        <f>_xlfn.T.INV.2T(J14,J13)</f>
        <v>2.0322445093177191</v>
      </c>
      <c r="K16" s="73"/>
      <c r="L16" s="62">
        <f>-J16</f>
        <v>-2.0322445093177191</v>
      </c>
      <c r="M16" s="44"/>
      <c r="N16" s="74">
        <f>J16</f>
        <v>2.0322445093177191</v>
      </c>
      <c r="O16" s="44"/>
    </row>
    <row r="17" spans="1:15" ht="17.25" customHeight="1" thickBot="1">
      <c r="A17" s="53">
        <v>6</v>
      </c>
      <c r="B17" s="34">
        <v>6.8307749999973993E-2</v>
      </c>
      <c r="C17" s="34">
        <v>6.6515000000038071E-2</v>
      </c>
      <c r="D17" s="48"/>
      <c r="E17" s="48"/>
      <c r="F17" s="48"/>
      <c r="G17" s="63"/>
      <c r="H17" s="63"/>
      <c r="I17" s="63" t="s">
        <v>80</v>
      </c>
      <c r="J17" s="72">
        <f>_xlfn.T.DIST.2T(J10,J13)</f>
        <v>0.88540124674482712</v>
      </c>
      <c r="K17" s="44" t="s">
        <v>83</v>
      </c>
      <c r="L17" s="44"/>
      <c r="M17" s="44"/>
      <c r="N17" s="44"/>
      <c r="O17" s="44"/>
    </row>
    <row r="18" spans="1:15" ht="17.25" customHeight="1">
      <c r="A18" s="53">
        <v>1</v>
      </c>
      <c r="B18" s="30">
        <v>0.378130249999998</v>
      </c>
      <c r="C18" s="30">
        <v>0.30761512500001198</v>
      </c>
      <c r="D18" s="48"/>
      <c r="E18" s="48"/>
      <c r="F18" s="48"/>
      <c r="G18" s="44"/>
      <c r="H18" s="75"/>
      <c r="I18" s="44"/>
      <c r="J18" s="44"/>
      <c r="K18" s="44"/>
      <c r="L18" s="44"/>
      <c r="M18" s="44"/>
      <c r="N18" s="44"/>
      <c r="O18" s="44"/>
    </row>
    <row r="19" spans="1:15" ht="17.25" customHeight="1">
      <c r="A19" s="53">
        <v>2</v>
      </c>
      <c r="B19" s="125">
        <v>0.44163775000001199</v>
      </c>
      <c r="C19" s="125">
        <v>0.232328625000008</v>
      </c>
      <c r="D19" s="48"/>
      <c r="E19" s="48"/>
      <c r="F19" s="48"/>
      <c r="G19" s="57" t="s">
        <v>81</v>
      </c>
      <c r="H19" s="76" t="s">
        <v>116</v>
      </c>
      <c r="I19" s="44"/>
      <c r="J19" s="44"/>
      <c r="K19" s="44"/>
      <c r="L19" s="44"/>
      <c r="M19" s="44"/>
      <c r="N19" s="44"/>
      <c r="O19" s="44"/>
    </row>
    <row r="20" spans="1:15" ht="17.25" customHeight="1">
      <c r="A20" s="53">
        <v>3</v>
      </c>
      <c r="B20" s="125">
        <v>0.53712499999997498</v>
      </c>
      <c r="C20" s="125">
        <v>0.23387725000003501</v>
      </c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</row>
    <row r="21" spans="1:15" ht="17.25" customHeight="1">
      <c r="A21" s="53">
        <v>4</v>
      </c>
      <c r="B21" s="125">
        <v>0.31665849999995999</v>
      </c>
      <c r="C21" s="125">
        <v>0.316863249999983</v>
      </c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</row>
    <row r="22" spans="1:15" ht="17.25" customHeight="1">
      <c r="A22" s="53">
        <v>5</v>
      </c>
      <c r="B22" s="125">
        <v>0.122916249999975</v>
      </c>
      <c r="C22" s="125">
        <v>4.9451000000004797E-2</v>
      </c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</row>
    <row r="23" spans="1:15" ht="17.25" customHeight="1" thickBot="1">
      <c r="A23" s="53">
        <v>6</v>
      </c>
      <c r="B23" s="34">
        <v>0.24966062500001801</v>
      </c>
      <c r="C23" s="34">
        <v>8.8101749999964299E-2</v>
      </c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</row>
    <row r="24" spans="1:15" ht="17.25" customHeight="1">
      <c r="A24" s="44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</row>
    <row r="25" spans="1:15" ht="17.25" customHeight="1">
      <c r="A25" s="44"/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</row>
    <row r="26" spans="1:15" ht="17.25" customHeight="1">
      <c r="A26" s="44"/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</row>
    <row r="27" spans="1:15" ht="17.25" customHeight="1">
      <c r="A27" s="44"/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</row>
    <row r="28" spans="1:15" ht="17.25" customHeight="1">
      <c r="A28" s="44"/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</row>
    <row r="29" spans="1:15" ht="17.25" customHeight="1">
      <c r="A29" s="44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</row>
    <row r="30" spans="1:15" ht="17.25" customHeight="1">
      <c r="A30" s="44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</row>
    <row r="31" spans="1:15" ht="17.25" customHeight="1">
      <c r="A31" s="44"/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</row>
    <row r="32" spans="1:15" ht="17.25" customHeight="1">
      <c r="A32" s="44"/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</row>
    <row r="33" spans="1:15" ht="17.25" customHeight="1">
      <c r="A33" s="44"/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</row>
    <row r="34" spans="1:15" ht="17.25" customHeight="1">
      <c r="A34" s="44"/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</row>
    <row r="35" spans="1:15" ht="17.25" customHeight="1">
      <c r="A35" s="44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</row>
    <row r="36" spans="1:15" ht="17.25" customHeight="1">
      <c r="A36" s="44"/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</row>
    <row r="37" spans="1:15" ht="17.25" customHeight="1">
      <c r="A37" s="44"/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</row>
    <row r="38" spans="1:15" ht="17.25" customHeight="1">
      <c r="A38" s="44"/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</row>
    <row r="39" spans="1:15" ht="17.25" customHeight="1">
      <c r="A39" s="44"/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</row>
    <row r="40" spans="1:15" ht="17.25" customHeight="1">
      <c r="A40" s="44"/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</row>
    <row r="41" spans="1:15" ht="17.25" customHeight="1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</row>
    <row r="42" spans="1:15" ht="17.25" customHeight="1">
      <c r="A42" s="44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</row>
    <row r="43" spans="1:15" ht="17.25" customHeight="1">
      <c r="A43" s="44"/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</row>
    <row r="44" spans="1:15" ht="17.25" customHeight="1">
      <c r="A44" s="44"/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</row>
    <row r="45" spans="1:15" ht="17.25" customHeight="1">
      <c r="A45" s="44"/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</row>
    <row r="46" spans="1:15" ht="17.25" customHeight="1">
      <c r="A46" s="44"/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</row>
    <row r="47" spans="1:15" ht="17.25" customHeight="1">
      <c r="A47" s="44"/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</row>
    <row r="48" spans="1:15" ht="17.25" customHeight="1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</row>
    <row r="49" spans="1:15" ht="17.25" customHeight="1">
      <c r="A49" s="44"/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</row>
    <row r="50" spans="1:15" ht="17.25" customHeight="1">
      <c r="A50" s="44"/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</row>
    <row r="51" spans="1:15" ht="17.25" customHeight="1">
      <c r="A51" s="44"/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</row>
    <row r="52" spans="1:15" ht="17.25" customHeight="1">
      <c r="A52" s="44"/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</row>
    <row r="53" spans="1:15" ht="17.25" customHeight="1">
      <c r="A53" s="44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</row>
    <row r="54" spans="1:15" ht="17.25" customHeight="1">
      <c r="A54" s="44"/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</row>
    <row r="55" spans="1:15" ht="17.25" customHeight="1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</row>
    <row r="56" spans="1:15" ht="17.25" customHeight="1">
      <c r="A56" s="44"/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</row>
    <row r="57" spans="1:15" ht="17.25" customHeight="1">
      <c r="A57" s="44"/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</row>
    <row r="58" spans="1:15" ht="17.25" customHeight="1">
      <c r="A58" s="44"/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</row>
    <row r="59" spans="1:15" ht="17.25" customHeight="1">
      <c r="A59" s="44"/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</row>
    <row r="60" spans="1:15" ht="17.25" customHeight="1">
      <c r="A60" s="44"/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</row>
    <row r="61" spans="1:15" ht="17.25" customHeight="1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</row>
    <row r="62" spans="1:15" ht="17.25" customHeight="1">
      <c r="A62" s="44"/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</row>
    <row r="63" spans="1:15" ht="17.25" customHeight="1">
      <c r="A63" s="44"/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</row>
    <row r="64" spans="1:15" ht="17.25" customHeight="1">
      <c r="A64" s="44"/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</row>
    <row r="65" spans="1:15" ht="17.25" customHeight="1">
      <c r="A65" s="44"/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</row>
    <row r="66" spans="1:15" ht="17.25" customHeight="1">
      <c r="A66" s="44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</row>
    <row r="67" spans="1:15" ht="17.25" customHeight="1">
      <c r="A67" s="44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</row>
    <row r="68" spans="1:15" ht="17.25" customHeight="1">
      <c r="A68" s="44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</row>
    <row r="69" spans="1:15" ht="17.25" customHeight="1">
      <c r="A69" s="44"/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</row>
    <row r="70" spans="1:15" ht="17.25" customHeight="1">
      <c r="A70" s="44"/>
      <c r="B70" s="44"/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</row>
    <row r="71" spans="1:15" ht="17.25" customHeight="1">
      <c r="A71" s="44"/>
      <c r="B71" s="44"/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</row>
    <row r="72" spans="1:15" ht="17.25" customHeight="1">
      <c r="A72" s="44"/>
      <c r="B72" s="44"/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</row>
    <row r="73" spans="1:15" ht="17.25" customHeight="1">
      <c r="A73" s="44"/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</row>
    <row r="74" spans="1:15" ht="17.25" customHeight="1">
      <c r="A74" s="44"/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</row>
    <row r="75" spans="1:15" ht="17.25" customHeight="1">
      <c r="A75" s="44"/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</row>
    <row r="76" spans="1:15" ht="17.25" customHeight="1">
      <c r="A76" s="44"/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</row>
    <row r="77" spans="1:15" ht="17.25" customHeight="1">
      <c r="A77" s="44"/>
      <c r="B77" s="44"/>
      <c r="C77" s="44"/>
      <c r="D77" s="44"/>
      <c r="E77" s="44"/>
      <c r="F77" s="44"/>
      <c r="G77" s="44"/>
      <c r="H77" s="44"/>
      <c r="I77" s="44"/>
      <c r="J77" s="44"/>
      <c r="K77" s="44"/>
      <c r="L77" s="44"/>
      <c r="M77" s="44"/>
      <c r="N77" s="44"/>
      <c r="O77" s="44"/>
    </row>
    <row r="78" spans="1:15" ht="17.25" customHeight="1">
      <c r="A78" s="44"/>
      <c r="B78" s="44"/>
      <c r="C78" s="44"/>
      <c r="D78" s="44"/>
      <c r="E78" s="44"/>
      <c r="F78" s="44"/>
      <c r="G78" s="44"/>
      <c r="H78" s="44"/>
      <c r="I78" s="44"/>
      <c r="J78" s="44"/>
      <c r="K78" s="44"/>
      <c r="L78" s="44"/>
      <c r="M78" s="44"/>
      <c r="N78" s="44"/>
      <c r="O78" s="44"/>
    </row>
    <row r="79" spans="1:15" ht="17.25" customHeight="1">
      <c r="A79" s="44"/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</row>
    <row r="80" spans="1:15" ht="17.25" customHeight="1">
      <c r="A80" s="44"/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</row>
    <row r="81" spans="1:15" ht="17.25" customHeight="1">
      <c r="A81" s="44"/>
      <c r="B81" s="44"/>
      <c r="C81" s="44"/>
      <c r="D81" s="44"/>
      <c r="E81" s="44"/>
      <c r="F81" s="44"/>
      <c r="G81" s="44"/>
      <c r="H81" s="44"/>
      <c r="I81" s="44"/>
      <c r="J81" s="44"/>
      <c r="K81" s="44"/>
      <c r="L81" s="44"/>
      <c r="M81" s="44"/>
      <c r="N81" s="44"/>
      <c r="O81" s="44"/>
    </row>
    <row r="82" spans="1:15" ht="17.25" customHeight="1">
      <c r="A82" s="44"/>
      <c r="B82" s="44"/>
      <c r="C82" s="44"/>
      <c r="D82" s="44"/>
      <c r="E82" s="44"/>
      <c r="F82" s="44"/>
      <c r="G82" s="44"/>
      <c r="H82" s="44"/>
      <c r="I82" s="44"/>
      <c r="J82" s="44"/>
      <c r="K82" s="44"/>
      <c r="L82" s="44"/>
      <c r="M82" s="44"/>
      <c r="N82" s="44"/>
      <c r="O82" s="44"/>
    </row>
    <row r="83" spans="1:15" ht="17.25" customHeight="1">
      <c r="A83" s="44"/>
      <c r="B83" s="44"/>
      <c r="C83" s="44"/>
      <c r="D83" s="44"/>
      <c r="E83" s="44"/>
      <c r="F83" s="44"/>
      <c r="G83" s="44"/>
      <c r="H83" s="44"/>
      <c r="I83" s="44"/>
      <c r="J83" s="44"/>
      <c r="K83" s="44"/>
      <c r="L83" s="44"/>
      <c r="M83" s="44"/>
      <c r="N83" s="44"/>
      <c r="O83" s="44"/>
    </row>
    <row r="84" spans="1:15" ht="17.25" customHeight="1">
      <c r="A84" s="44"/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M84" s="44"/>
      <c r="N84" s="44"/>
      <c r="O84" s="44"/>
    </row>
    <row r="85" spans="1:15" ht="17.25" customHeight="1">
      <c r="A85" s="44"/>
      <c r="B85" s="44"/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</row>
    <row r="86" spans="1:15" ht="17.25" customHeight="1">
      <c r="A86" s="44"/>
      <c r="B86" s="44"/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</row>
    <row r="87" spans="1:15" ht="17.25" customHeight="1">
      <c r="A87" s="44"/>
      <c r="B87" s="44"/>
      <c r="C87" s="44"/>
      <c r="D87" s="44"/>
      <c r="E87" s="44"/>
      <c r="F87" s="44"/>
      <c r="G87" s="44"/>
      <c r="H87" s="44"/>
      <c r="I87" s="44"/>
      <c r="J87" s="44"/>
      <c r="K87" s="44"/>
      <c r="L87" s="44"/>
      <c r="M87" s="44"/>
      <c r="N87" s="44"/>
      <c r="O87" s="44"/>
    </row>
    <row r="88" spans="1:15" ht="17.25" customHeight="1">
      <c r="A88" s="44"/>
      <c r="B88" s="44"/>
      <c r="C88" s="44"/>
      <c r="D88" s="44"/>
      <c r="E88" s="44"/>
      <c r="F88" s="44"/>
      <c r="G88" s="44"/>
      <c r="H88" s="44"/>
      <c r="I88" s="44"/>
      <c r="J88" s="44"/>
      <c r="K88" s="44"/>
      <c r="L88" s="44"/>
      <c r="M88" s="44"/>
      <c r="N88" s="44"/>
      <c r="O88" s="44"/>
    </row>
    <row r="89" spans="1:15" ht="17.25" customHeight="1">
      <c r="A89" s="44"/>
      <c r="B89" s="44"/>
      <c r="C89" s="44"/>
      <c r="D89" s="44"/>
      <c r="E89" s="44"/>
      <c r="F89" s="44"/>
      <c r="G89" s="44"/>
      <c r="H89" s="44"/>
      <c r="I89" s="44"/>
      <c r="J89" s="44"/>
      <c r="K89" s="44"/>
      <c r="L89" s="44"/>
      <c r="M89" s="44"/>
      <c r="N89" s="44"/>
      <c r="O89" s="44"/>
    </row>
    <row r="90" spans="1:15" ht="17.25" customHeight="1">
      <c r="A90" s="44"/>
      <c r="B90" s="44"/>
      <c r="C90" s="44"/>
      <c r="D90" s="44"/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44"/>
    </row>
    <row r="91" spans="1:15" ht="17.25" customHeight="1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</row>
    <row r="92" spans="1:15" ht="17.25" customHeight="1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</row>
    <row r="93" spans="1:15" ht="17.25" customHeight="1">
      <c r="A93" s="44"/>
      <c r="B93" s="44"/>
      <c r="C93" s="44"/>
      <c r="D93" s="44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</row>
    <row r="94" spans="1:15" ht="17.25" customHeight="1">
      <c r="A94" s="44"/>
      <c r="B94" s="44"/>
      <c r="C94" s="44"/>
      <c r="D94" s="44"/>
      <c r="E94" s="44"/>
      <c r="F94" s="44"/>
      <c r="G94" s="44"/>
      <c r="H94" s="44"/>
      <c r="I94" s="44"/>
      <c r="J94" s="44"/>
      <c r="K94" s="44"/>
      <c r="L94" s="44"/>
      <c r="M94" s="44"/>
      <c r="N94" s="44"/>
      <c r="O94" s="44"/>
    </row>
    <row r="95" spans="1:15" ht="17.25" customHeight="1">
      <c r="A95" s="44"/>
      <c r="B95" s="44"/>
      <c r="C95" s="44"/>
      <c r="D95" s="44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</row>
    <row r="96" spans="1:15" ht="17.25" customHeight="1">
      <c r="A96" s="44"/>
      <c r="B96" s="44"/>
      <c r="C96" s="44"/>
      <c r="D96" s="44"/>
      <c r="E96" s="44"/>
      <c r="F96" s="44"/>
      <c r="G96" s="44"/>
      <c r="H96" s="44"/>
      <c r="I96" s="44"/>
      <c r="J96" s="44"/>
      <c r="K96" s="44"/>
      <c r="L96" s="44"/>
      <c r="M96" s="44"/>
      <c r="N96" s="44"/>
      <c r="O96" s="44"/>
    </row>
    <row r="97" spans="1:15" ht="17.25" customHeight="1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</row>
    <row r="98" spans="1:15" ht="17.25" customHeight="1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</row>
    <row r="99" spans="1:15" ht="17.25" customHeight="1">
      <c r="A99" s="44"/>
      <c r="B99" s="44"/>
      <c r="C99" s="44"/>
      <c r="D99" s="44"/>
      <c r="E99" s="44"/>
      <c r="F99" s="44"/>
      <c r="G99" s="44"/>
      <c r="H99" s="44"/>
      <c r="I99" s="44"/>
      <c r="J99" s="44"/>
      <c r="K99" s="44"/>
      <c r="L99" s="44"/>
      <c r="M99" s="44"/>
      <c r="N99" s="44"/>
      <c r="O99" s="44"/>
    </row>
    <row r="100" spans="1:15" ht="17.25" customHeight="1">
      <c r="A100" s="44"/>
      <c r="B100" s="44"/>
      <c r="C100" s="44"/>
      <c r="D100" s="44"/>
      <c r="E100" s="44"/>
      <c r="F100" s="44"/>
      <c r="G100" s="44"/>
      <c r="H100" s="44"/>
      <c r="I100" s="44"/>
      <c r="J100" s="44"/>
      <c r="K100" s="44"/>
      <c r="L100" s="44"/>
      <c r="M100" s="44"/>
      <c r="N100" s="44"/>
      <c r="O100" s="44"/>
    </row>
    <row r="101" spans="1:15" ht="17.25" customHeight="1">
      <c r="A101" s="44"/>
      <c r="B101" s="44"/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44"/>
    </row>
    <row r="102" spans="1:15" ht="17.25" customHeight="1">
      <c r="A102" s="44"/>
      <c r="B102" s="44"/>
      <c r="C102" s="44"/>
      <c r="D102" s="44"/>
      <c r="E102" s="44"/>
      <c r="F102" s="44"/>
      <c r="G102" s="44"/>
      <c r="H102" s="44"/>
      <c r="I102" s="44"/>
      <c r="J102" s="44"/>
      <c r="K102" s="44"/>
      <c r="L102" s="44"/>
      <c r="M102" s="44"/>
      <c r="N102" s="44"/>
      <c r="O102" s="44"/>
    </row>
    <row r="103" spans="1:15" ht="17.25" customHeight="1">
      <c r="A103" s="44"/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</row>
    <row r="104" spans="1:15" ht="17.25" customHeight="1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</row>
    <row r="105" spans="1:15" ht="17.25" customHeight="1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</row>
    <row r="106" spans="1:15" ht="17.25" customHeight="1">
      <c r="A106" s="44"/>
      <c r="B106" s="44"/>
      <c r="C106" s="44"/>
      <c r="D106" s="44"/>
      <c r="E106" s="44"/>
      <c r="F106" s="44"/>
      <c r="G106" s="44"/>
      <c r="H106" s="44"/>
      <c r="I106" s="44"/>
      <c r="J106" s="44"/>
      <c r="K106" s="44"/>
      <c r="L106" s="44"/>
      <c r="M106" s="44"/>
      <c r="N106" s="44"/>
      <c r="O106" s="44"/>
    </row>
    <row r="107" spans="1:15" ht="17.25" customHeight="1">
      <c r="A107" s="44"/>
      <c r="B107" s="44"/>
      <c r="C107" s="44"/>
      <c r="D107" s="44"/>
      <c r="E107" s="44"/>
      <c r="F107" s="44"/>
      <c r="G107" s="44"/>
      <c r="H107" s="44"/>
      <c r="I107" s="44"/>
      <c r="J107" s="44"/>
      <c r="K107" s="44"/>
      <c r="L107" s="44"/>
      <c r="M107" s="44"/>
      <c r="N107" s="44"/>
      <c r="O107" s="44"/>
    </row>
    <row r="108" spans="1:15" ht="17.25" customHeight="1">
      <c r="A108" s="44"/>
      <c r="B108" s="44"/>
      <c r="C108" s="44"/>
      <c r="D108" s="44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</row>
    <row r="109" spans="1:15" ht="17.25" customHeight="1">
      <c r="A109" s="44"/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  <c r="N109" s="44"/>
      <c r="O109" s="44"/>
    </row>
    <row r="110" spans="1:15" ht="17.25" customHeight="1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</row>
    <row r="111" spans="1:15" ht="17.25" customHeight="1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</row>
    <row r="112" spans="1:15" ht="17.25" customHeight="1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</row>
    <row r="113" spans="1:15" ht="17.25" customHeight="1">
      <c r="A113" s="44"/>
      <c r="B113" s="44"/>
      <c r="C113" s="44"/>
      <c r="D113" s="44"/>
      <c r="E113" s="44"/>
      <c r="F113" s="44"/>
      <c r="G113" s="44"/>
      <c r="H113" s="44"/>
      <c r="I113" s="44"/>
      <c r="J113" s="44"/>
      <c r="K113" s="44"/>
      <c r="L113" s="44"/>
      <c r="M113" s="44"/>
      <c r="N113" s="44"/>
      <c r="O113" s="44"/>
    </row>
    <row r="114" spans="1:15" ht="17.25" customHeight="1">
      <c r="A114" s="44"/>
      <c r="B114" s="44"/>
      <c r="C114" s="44"/>
      <c r="D114" s="44"/>
      <c r="E114" s="44"/>
      <c r="F114" s="44"/>
      <c r="G114" s="44"/>
      <c r="H114" s="44"/>
      <c r="I114" s="44"/>
      <c r="J114" s="44"/>
      <c r="K114" s="44"/>
      <c r="L114" s="44"/>
      <c r="M114" s="44"/>
      <c r="N114" s="44"/>
      <c r="O114" s="44"/>
    </row>
    <row r="115" spans="1:15" ht="17.25" customHeight="1">
      <c r="A115" s="44"/>
      <c r="B115" s="44"/>
      <c r="C115" s="44"/>
      <c r="D115" s="44"/>
      <c r="E115" s="44"/>
      <c r="F115" s="44"/>
      <c r="G115" s="44"/>
      <c r="H115" s="44"/>
      <c r="I115" s="44"/>
      <c r="J115" s="44"/>
      <c r="K115" s="44"/>
      <c r="L115" s="44"/>
      <c r="M115" s="44"/>
      <c r="N115" s="44"/>
      <c r="O115" s="44"/>
    </row>
    <row r="116" spans="1:15" ht="17.25" customHeight="1">
      <c r="A116" s="44"/>
      <c r="B116" s="44"/>
      <c r="C116" s="44"/>
      <c r="D116" s="44"/>
      <c r="E116" s="44"/>
      <c r="F116" s="44"/>
      <c r="G116" s="44"/>
      <c r="H116" s="44"/>
      <c r="I116" s="44"/>
      <c r="J116" s="44"/>
      <c r="K116" s="44"/>
      <c r="L116" s="44"/>
      <c r="M116" s="44"/>
      <c r="N116" s="44"/>
      <c r="O116" s="44"/>
    </row>
    <row r="117" spans="1:15" ht="17.25" customHeight="1">
      <c r="A117" s="44"/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</row>
    <row r="118" spans="1:15" ht="17.25" customHeight="1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</row>
    <row r="119" spans="1:15" ht="17.25" customHeight="1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</row>
    <row r="120" spans="1:15" ht="17.25" customHeight="1">
      <c r="A120" s="44"/>
      <c r="B120" s="44"/>
      <c r="C120" s="44"/>
      <c r="D120" s="44"/>
      <c r="E120" s="44"/>
      <c r="F120" s="44"/>
      <c r="G120" s="44"/>
      <c r="H120" s="44"/>
      <c r="I120" s="44"/>
      <c r="J120" s="44"/>
      <c r="K120" s="44"/>
      <c r="L120" s="44"/>
      <c r="M120" s="44"/>
      <c r="N120" s="44"/>
      <c r="O120" s="44"/>
    </row>
    <row r="121" spans="1:15" ht="17.25" customHeight="1">
      <c r="A121" s="44"/>
      <c r="B121" s="44"/>
      <c r="C121" s="44"/>
      <c r="D121" s="44"/>
      <c r="E121" s="44"/>
      <c r="F121" s="44"/>
      <c r="G121" s="44"/>
      <c r="H121" s="44"/>
      <c r="I121" s="44"/>
      <c r="J121" s="44"/>
      <c r="K121" s="44"/>
      <c r="L121" s="44"/>
      <c r="M121" s="44"/>
      <c r="N121" s="44"/>
      <c r="O121" s="44"/>
    </row>
    <row r="122" spans="1:15" ht="17.25" customHeight="1">
      <c r="A122" s="44"/>
      <c r="B122" s="44"/>
      <c r="C122" s="44"/>
      <c r="D122" s="44"/>
      <c r="E122" s="44"/>
      <c r="F122" s="44"/>
      <c r="G122" s="44"/>
      <c r="H122" s="44"/>
      <c r="I122" s="44"/>
      <c r="J122" s="44"/>
      <c r="K122" s="44"/>
      <c r="L122" s="44"/>
      <c r="M122" s="44"/>
      <c r="N122" s="44"/>
      <c r="O122" s="44"/>
    </row>
    <row r="123" spans="1:15" ht="17.25" customHeight="1">
      <c r="A123" s="44"/>
      <c r="B123" s="44"/>
      <c r="C123" s="44"/>
      <c r="D123" s="44"/>
      <c r="E123" s="44"/>
      <c r="F123" s="44"/>
      <c r="G123" s="44"/>
      <c r="H123" s="44"/>
      <c r="I123" s="44"/>
      <c r="J123" s="44"/>
      <c r="K123" s="44"/>
      <c r="L123" s="44"/>
      <c r="M123" s="44"/>
      <c r="N123" s="44"/>
      <c r="O123" s="44"/>
    </row>
    <row r="124" spans="1:15" ht="17.25" customHeight="1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</row>
    <row r="125" spans="1:15" ht="17.25" customHeight="1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</row>
    <row r="126" spans="1:15" ht="17.25" customHeight="1">
      <c r="A126" s="44"/>
      <c r="B126" s="44"/>
      <c r="C126" s="44"/>
      <c r="D126" s="44"/>
      <c r="E126" s="44"/>
      <c r="F126" s="44"/>
      <c r="G126" s="44"/>
      <c r="H126" s="44"/>
      <c r="I126" s="44"/>
      <c r="J126" s="44"/>
      <c r="K126" s="44"/>
      <c r="L126" s="44"/>
      <c r="M126" s="44"/>
      <c r="N126" s="44"/>
      <c r="O126" s="44"/>
    </row>
    <row r="127" spans="1:15" ht="17.25" customHeight="1">
      <c r="A127" s="44"/>
      <c r="B127" s="44"/>
      <c r="C127" s="44"/>
      <c r="D127" s="44"/>
      <c r="E127" s="44"/>
      <c r="F127" s="44"/>
      <c r="G127" s="44"/>
      <c r="H127" s="44"/>
      <c r="I127" s="44"/>
      <c r="J127" s="44"/>
      <c r="K127" s="44"/>
      <c r="L127" s="44"/>
      <c r="M127" s="44"/>
      <c r="N127" s="44"/>
      <c r="O127" s="44"/>
    </row>
    <row r="128" spans="1:15" ht="17.25" customHeight="1">
      <c r="A128" s="44"/>
      <c r="B128" s="44"/>
      <c r="C128" s="44"/>
      <c r="D128" s="44"/>
      <c r="E128" s="44"/>
      <c r="F128" s="44"/>
      <c r="G128" s="44"/>
      <c r="H128" s="44"/>
      <c r="I128" s="44"/>
      <c r="J128" s="44"/>
      <c r="K128" s="44"/>
      <c r="L128" s="44"/>
      <c r="M128" s="44"/>
      <c r="N128" s="44"/>
      <c r="O128" s="44"/>
    </row>
    <row r="129" spans="1:15" ht="17.25" customHeight="1">
      <c r="A129" s="44"/>
      <c r="B129" s="44"/>
      <c r="C129" s="44"/>
      <c r="D129" s="44"/>
      <c r="E129" s="44"/>
      <c r="F129" s="44"/>
      <c r="G129" s="44"/>
      <c r="H129" s="44"/>
      <c r="I129" s="44"/>
      <c r="J129" s="44"/>
      <c r="K129" s="44"/>
      <c r="L129" s="44"/>
      <c r="M129" s="44"/>
      <c r="N129" s="44"/>
      <c r="O129" s="44"/>
    </row>
    <row r="130" spans="1:15" ht="17.25" customHeight="1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</row>
    <row r="131" spans="1:15" ht="17.25" customHeight="1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</row>
    <row r="132" spans="1:15" ht="17.25" customHeight="1">
      <c r="A132" s="44"/>
      <c r="B132" s="44"/>
      <c r="C132" s="44"/>
      <c r="D132" s="44"/>
      <c r="E132" s="44"/>
      <c r="F132" s="44"/>
      <c r="G132" s="44"/>
      <c r="H132" s="44"/>
      <c r="I132" s="44"/>
      <c r="J132" s="44"/>
      <c r="K132" s="44"/>
      <c r="L132" s="44"/>
      <c r="M132" s="44"/>
      <c r="N132" s="44"/>
      <c r="O132" s="44"/>
    </row>
    <row r="133" spans="1:15" ht="17.25" customHeight="1">
      <c r="A133" s="44"/>
      <c r="B133" s="44"/>
      <c r="C133" s="44"/>
      <c r="D133" s="44"/>
      <c r="E133" s="44"/>
      <c r="F133" s="44"/>
      <c r="G133" s="44"/>
      <c r="H133" s="44"/>
      <c r="I133" s="44"/>
      <c r="J133" s="44"/>
      <c r="K133" s="44"/>
      <c r="L133" s="44"/>
      <c r="M133" s="44"/>
      <c r="N133" s="44"/>
      <c r="O133" s="44"/>
    </row>
    <row r="134" spans="1:15" ht="17.25" customHeight="1">
      <c r="A134" s="44"/>
      <c r="B134" s="44"/>
      <c r="C134" s="44"/>
      <c r="D134" s="44"/>
      <c r="E134" s="44"/>
      <c r="F134" s="44"/>
      <c r="G134" s="44"/>
      <c r="H134" s="44"/>
      <c r="I134" s="44"/>
      <c r="J134" s="44"/>
      <c r="K134" s="44"/>
      <c r="L134" s="44"/>
      <c r="M134" s="44"/>
      <c r="N134" s="44"/>
      <c r="O134" s="44"/>
    </row>
    <row r="135" spans="1:15" ht="17.25" customHeight="1">
      <c r="A135" s="44"/>
      <c r="B135" s="44"/>
      <c r="C135" s="44"/>
      <c r="D135" s="44"/>
      <c r="E135" s="44"/>
      <c r="F135" s="44"/>
      <c r="G135" s="44"/>
      <c r="H135" s="44"/>
      <c r="I135" s="44"/>
      <c r="J135" s="44"/>
      <c r="K135" s="44"/>
      <c r="L135" s="44"/>
      <c r="M135" s="44"/>
      <c r="N135" s="44"/>
      <c r="O135" s="44"/>
    </row>
    <row r="136" spans="1:15" ht="17.25" customHeight="1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</row>
    <row r="137" spans="1:15" ht="17.25" customHeight="1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</row>
    <row r="138" spans="1:15" ht="17.25" customHeight="1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</row>
    <row r="139" spans="1:15" ht="17.25" customHeight="1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</row>
    <row r="140" spans="1:15" ht="17.25" customHeight="1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</row>
    <row r="141" spans="1:15" ht="17.25" customHeight="1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</row>
    <row r="142" spans="1:15" ht="17.25" customHeight="1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</row>
    <row r="143" spans="1:15" ht="17.25" customHeight="1">
      <c r="A143" s="44"/>
      <c r="B143" s="44"/>
      <c r="C143" s="44"/>
      <c r="D143" s="44"/>
      <c r="E143" s="44"/>
      <c r="F143" s="44"/>
      <c r="G143" s="44"/>
      <c r="H143" s="44"/>
      <c r="I143" s="44"/>
      <c r="J143" s="44"/>
      <c r="K143" s="44"/>
      <c r="L143" s="44"/>
      <c r="M143" s="44"/>
      <c r="N143" s="44"/>
      <c r="O143" s="44"/>
    </row>
    <row r="144" spans="1:15" ht="17.25" customHeight="1">
      <c r="A144" s="44"/>
      <c r="B144" s="44"/>
      <c r="C144" s="44"/>
      <c r="D144" s="44"/>
      <c r="E144" s="44"/>
      <c r="F144" s="44"/>
      <c r="G144" s="44"/>
      <c r="H144" s="44"/>
      <c r="I144" s="44"/>
      <c r="J144" s="44"/>
      <c r="K144" s="44"/>
      <c r="L144" s="44"/>
      <c r="M144" s="44"/>
      <c r="N144" s="44"/>
      <c r="O144" s="44"/>
    </row>
    <row r="145" spans="1:15" ht="17.25" customHeight="1">
      <c r="A145" s="44"/>
      <c r="B145" s="44"/>
      <c r="C145" s="44"/>
      <c r="D145" s="44"/>
      <c r="E145" s="44"/>
      <c r="F145" s="44"/>
      <c r="G145" s="44"/>
      <c r="H145" s="44"/>
      <c r="I145" s="44"/>
      <c r="J145" s="44"/>
      <c r="K145" s="44"/>
      <c r="L145" s="44"/>
      <c r="M145" s="44"/>
      <c r="N145" s="44"/>
      <c r="O145" s="44"/>
    </row>
    <row r="146" spans="1:15" ht="17.25" customHeight="1">
      <c r="A146" s="44"/>
      <c r="B146" s="44"/>
      <c r="C146" s="44"/>
      <c r="D146" s="44"/>
      <c r="E146" s="44"/>
      <c r="F146" s="44"/>
      <c r="G146" s="44"/>
      <c r="H146" s="44"/>
      <c r="I146" s="44"/>
      <c r="J146" s="44"/>
      <c r="K146" s="44"/>
      <c r="L146" s="44"/>
      <c r="M146" s="44"/>
      <c r="N146" s="44"/>
      <c r="O146" s="44"/>
    </row>
    <row r="147" spans="1:15" ht="17.25" customHeight="1">
      <c r="A147" s="44"/>
      <c r="B147" s="44"/>
      <c r="C147" s="44"/>
      <c r="D147" s="44"/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44"/>
    </row>
    <row r="148" spans="1:15" ht="17.25" customHeight="1">
      <c r="A148" s="44"/>
      <c r="B148" s="44"/>
      <c r="C148" s="44"/>
      <c r="D148" s="44"/>
      <c r="E148" s="44"/>
      <c r="F148" s="44"/>
      <c r="G148" s="44"/>
      <c r="H148" s="44"/>
      <c r="I148" s="44"/>
      <c r="J148" s="44"/>
      <c r="K148" s="44"/>
      <c r="L148" s="44"/>
      <c r="M148" s="44"/>
      <c r="N148" s="44"/>
      <c r="O148" s="44"/>
    </row>
    <row r="149" spans="1:15" ht="17.25" customHeight="1">
      <c r="A149" s="44"/>
      <c r="B149" s="44"/>
      <c r="C149" s="44"/>
      <c r="D149" s="44"/>
      <c r="E149" s="44"/>
      <c r="F149" s="44"/>
      <c r="G149" s="44"/>
      <c r="H149" s="44"/>
      <c r="I149" s="44"/>
      <c r="J149" s="44"/>
      <c r="K149" s="44"/>
      <c r="L149" s="44"/>
      <c r="M149" s="44"/>
      <c r="N149" s="44"/>
      <c r="O149" s="44"/>
    </row>
    <row r="150" spans="1:15" ht="17.25" customHeight="1">
      <c r="A150" s="44"/>
      <c r="B150" s="44"/>
      <c r="C150" s="44"/>
      <c r="D150" s="44"/>
      <c r="E150" s="44"/>
      <c r="F150" s="44"/>
      <c r="G150" s="44"/>
      <c r="H150" s="44"/>
      <c r="I150" s="44"/>
      <c r="J150" s="44"/>
      <c r="K150" s="44"/>
      <c r="L150" s="44"/>
      <c r="M150" s="44"/>
      <c r="N150" s="44"/>
      <c r="O150" s="44"/>
    </row>
    <row r="151" spans="1:15" ht="17.25" customHeight="1">
      <c r="A151" s="44"/>
      <c r="B151" s="44"/>
      <c r="C151" s="44"/>
      <c r="D151" s="44"/>
      <c r="E151" s="44"/>
      <c r="F151" s="44"/>
      <c r="G151" s="44"/>
      <c r="H151" s="44"/>
      <c r="I151" s="44"/>
      <c r="J151" s="44"/>
      <c r="K151" s="44"/>
      <c r="L151" s="44"/>
      <c r="M151" s="44"/>
      <c r="N151" s="44"/>
      <c r="O151" s="44"/>
    </row>
    <row r="152" spans="1:15" ht="17.25" customHeight="1">
      <c r="A152" s="44"/>
      <c r="B152" s="44"/>
      <c r="C152" s="44"/>
      <c r="D152" s="44"/>
      <c r="E152" s="44"/>
      <c r="F152" s="44"/>
      <c r="G152" s="44"/>
      <c r="H152" s="44"/>
      <c r="I152" s="44"/>
      <c r="J152" s="44"/>
      <c r="K152" s="44"/>
      <c r="L152" s="44"/>
      <c r="M152" s="44"/>
      <c r="N152" s="44"/>
      <c r="O152" s="44"/>
    </row>
    <row r="153" spans="1:15" ht="17.25" customHeight="1">
      <c r="A153" s="44"/>
      <c r="B153" s="44"/>
      <c r="C153" s="44"/>
      <c r="D153" s="44"/>
      <c r="E153" s="44"/>
      <c r="F153" s="44"/>
      <c r="G153" s="44"/>
      <c r="H153" s="44"/>
      <c r="I153" s="44"/>
      <c r="J153" s="44"/>
      <c r="K153" s="44"/>
      <c r="L153" s="44"/>
      <c r="M153" s="44"/>
      <c r="N153" s="44"/>
      <c r="O153" s="44"/>
    </row>
    <row r="154" spans="1:15" ht="17.25" customHeight="1">
      <c r="A154" s="44"/>
      <c r="B154" s="44"/>
      <c r="C154" s="44"/>
      <c r="D154" s="44"/>
      <c r="E154" s="44"/>
      <c r="F154" s="44"/>
      <c r="G154" s="44"/>
      <c r="H154" s="44"/>
      <c r="I154" s="44"/>
      <c r="J154" s="44"/>
      <c r="K154" s="44"/>
      <c r="L154" s="44"/>
      <c r="M154" s="44"/>
      <c r="N154" s="44"/>
      <c r="O154" s="44"/>
    </row>
    <row r="155" spans="1:15" ht="17.25" customHeight="1">
      <c r="A155" s="44"/>
      <c r="B155" s="44"/>
      <c r="C155" s="44"/>
      <c r="D155" s="44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</row>
    <row r="156" spans="1:15" ht="17.25" customHeight="1">
      <c r="A156" s="44"/>
      <c r="B156" s="44"/>
      <c r="C156" s="44"/>
      <c r="D156" s="44"/>
      <c r="E156" s="44"/>
      <c r="F156" s="44"/>
      <c r="G156" s="44"/>
      <c r="H156" s="44"/>
      <c r="I156" s="44"/>
      <c r="J156" s="44"/>
      <c r="K156" s="44"/>
      <c r="L156" s="44"/>
      <c r="M156" s="44"/>
      <c r="N156" s="44"/>
      <c r="O156" s="44"/>
    </row>
    <row r="157" spans="1:15" ht="17.25" customHeight="1">
      <c r="A157" s="44"/>
      <c r="B157" s="44"/>
      <c r="C157" s="44"/>
      <c r="D157" s="44"/>
      <c r="E157" s="44"/>
      <c r="F157" s="44"/>
      <c r="G157" s="44"/>
      <c r="H157" s="44"/>
      <c r="I157" s="44"/>
      <c r="J157" s="44"/>
      <c r="K157" s="44"/>
      <c r="L157" s="44"/>
      <c r="M157" s="44"/>
      <c r="N157" s="44"/>
      <c r="O157" s="44"/>
    </row>
    <row r="158" spans="1:15" ht="17.25" customHeight="1">
      <c r="A158" s="44"/>
      <c r="B158" s="44"/>
      <c r="C158" s="44"/>
      <c r="D158" s="44"/>
      <c r="E158" s="44"/>
      <c r="F158" s="44"/>
      <c r="G158" s="44"/>
      <c r="H158" s="44"/>
      <c r="I158" s="44"/>
      <c r="J158" s="44"/>
      <c r="K158" s="44"/>
      <c r="L158" s="44"/>
      <c r="M158" s="44"/>
      <c r="N158" s="44"/>
      <c r="O158" s="44"/>
    </row>
    <row r="159" spans="1:15" ht="17.25" customHeight="1">
      <c r="A159" s="44"/>
      <c r="B159" s="44"/>
      <c r="C159" s="44"/>
      <c r="D159" s="44"/>
      <c r="E159" s="44"/>
      <c r="F159" s="44"/>
      <c r="G159" s="44"/>
      <c r="H159" s="44"/>
      <c r="I159" s="44"/>
      <c r="J159" s="44"/>
      <c r="K159" s="44"/>
      <c r="L159" s="44"/>
      <c r="M159" s="44"/>
      <c r="N159" s="44"/>
      <c r="O159" s="44"/>
    </row>
    <row r="160" spans="1:15" ht="17.25" customHeight="1">
      <c r="A160" s="44"/>
      <c r="B160" s="44"/>
      <c r="C160" s="44"/>
      <c r="D160" s="44"/>
      <c r="E160" s="44"/>
      <c r="F160" s="44"/>
      <c r="G160" s="44"/>
      <c r="H160" s="44"/>
      <c r="I160" s="44"/>
      <c r="J160" s="44"/>
      <c r="K160" s="44"/>
      <c r="L160" s="44"/>
      <c r="M160" s="44"/>
      <c r="N160" s="44"/>
      <c r="O160" s="44"/>
    </row>
    <row r="161" spans="1:15" ht="17.25" customHeight="1">
      <c r="A161" s="44"/>
      <c r="B161" s="44"/>
      <c r="C161" s="44"/>
      <c r="D161" s="44"/>
      <c r="E161" s="44"/>
      <c r="F161" s="44"/>
      <c r="G161" s="44"/>
      <c r="H161" s="44"/>
      <c r="I161" s="44"/>
      <c r="J161" s="44"/>
      <c r="K161" s="44"/>
      <c r="L161" s="44"/>
      <c r="M161" s="44"/>
      <c r="N161" s="44"/>
      <c r="O161" s="44"/>
    </row>
    <row r="162" spans="1:15" ht="17.25" customHeight="1">
      <c r="A162" s="44"/>
      <c r="B162" s="44"/>
      <c r="C162" s="44"/>
      <c r="D162" s="44"/>
      <c r="E162" s="44"/>
      <c r="F162" s="44"/>
      <c r="G162" s="44"/>
      <c r="H162" s="44"/>
      <c r="I162" s="44"/>
      <c r="J162" s="44"/>
      <c r="K162" s="44"/>
      <c r="L162" s="44"/>
      <c r="M162" s="44"/>
      <c r="N162" s="44"/>
      <c r="O162" s="44"/>
    </row>
    <row r="163" spans="1:15" ht="17.25" customHeight="1">
      <c r="A163" s="44"/>
      <c r="B163" s="44"/>
      <c r="C163" s="44"/>
      <c r="D163" s="44"/>
      <c r="E163" s="44"/>
      <c r="F163" s="44"/>
      <c r="G163" s="44"/>
      <c r="H163" s="44"/>
      <c r="I163" s="44"/>
      <c r="J163" s="44"/>
      <c r="K163" s="44"/>
      <c r="L163" s="44"/>
      <c r="M163" s="44"/>
      <c r="N163" s="44"/>
      <c r="O163" s="44"/>
    </row>
    <row r="164" spans="1:15" ht="17.25" customHeight="1">
      <c r="A164" s="44"/>
      <c r="B164" s="44"/>
      <c r="C164" s="44"/>
      <c r="D164" s="44"/>
      <c r="E164" s="44"/>
      <c r="F164" s="44"/>
      <c r="G164" s="44"/>
      <c r="H164" s="44"/>
      <c r="I164" s="44"/>
      <c r="J164" s="44"/>
      <c r="K164" s="44"/>
      <c r="L164" s="44"/>
      <c r="M164" s="44"/>
      <c r="N164" s="44"/>
      <c r="O164" s="44"/>
    </row>
    <row r="165" spans="1:15" ht="17.25" customHeight="1">
      <c r="A165" s="44"/>
      <c r="B165" s="44"/>
      <c r="C165" s="44"/>
      <c r="D165" s="44"/>
      <c r="E165" s="44"/>
      <c r="F165" s="44"/>
      <c r="G165" s="44"/>
      <c r="H165" s="44"/>
      <c r="I165" s="44"/>
      <c r="J165" s="44"/>
      <c r="K165" s="44"/>
      <c r="L165" s="44"/>
      <c r="M165" s="44"/>
      <c r="N165" s="44"/>
      <c r="O165" s="44"/>
    </row>
    <row r="166" spans="1:15" ht="17.25" customHeight="1">
      <c r="A166" s="44"/>
      <c r="B166" s="44"/>
      <c r="C166" s="44"/>
      <c r="D166" s="44"/>
      <c r="E166" s="44"/>
      <c r="F166" s="44"/>
      <c r="G166" s="44"/>
      <c r="H166" s="44"/>
      <c r="I166" s="44"/>
      <c r="J166" s="44"/>
      <c r="K166" s="44"/>
      <c r="L166" s="44"/>
      <c r="M166" s="44"/>
      <c r="N166" s="44"/>
      <c r="O166" s="44"/>
    </row>
    <row r="167" spans="1:15" ht="17.25" customHeight="1">
      <c r="A167" s="44"/>
      <c r="B167" s="44"/>
      <c r="C167" s="44"/>
      <c r="D167" s="44"/>
      <c r="E167" s="44"/>
      <c r="F167" s="44"/>
      <c r="G167" s="44"/>
      <c r="H167" s="44"/>
      <c r="I167" s="44"/>
      <c r="J167" s="44"/>
      <c r="K167" s="44"/>
      <c r="L167" s="44"/>
      <c r="M167" s="44"/>
      <c r="N167" s="44"/>
      <c r="O167" s="44"/>
    </row>
    <row r="168" spans="1:15" ht="17.25" customHeight="1">
      <c r="A168" s="44"/>
      <c r="B168" s="44"/>
      <c r="C168" s="44"/>
      <c r="D168" s="44"/>
      <c r="E168" s="44"/>
      <c r="F168" s="44"/>
      <c r="G168" s="44"/>
      <c r="H168" s="44"/>
      <c r="I168" s="44"/>
      <c r="J168" s="44"/>
      <c r="K168" s="44"/>
      <c r="L168" s="44"/>
      <c r="M168" s="44"/>
      <c r="N168" s="44"/>
      <c r="O168" s="44"/>
    </row>
    <row r="169" spans="1:15" ht="17.25" customHeight="1">
      <c r="A169" s="44"/>
      <c r="B169" s="44"/>
      <c r="C169" s="44"/>
      <c r="D169" s="44"/>
      <c r="E169" s="44"/>
      <c r="F169" s="44"/>
      <c r="G169" s="44"/>
      <c r="H169" s="44"/>
      <c r="I169" s="44"/>
      <c r="J169" s="44"/>
      <c r="K169" s="44"/>
      <c r="L169" s="44"/>
      <c r="M169" s="44"/>
      <c r="N169" s="44"/>
      <c r="O169" s="44"/>
    </row>
    <row r="170" spans="1:15" ht="17.25" customHeight="1">
      <c r="A170" s="44"/>
      <c r="B170" s="44"/>
      <c r="C170" s="44"/>
      <c r="D170" s="44"/>
      <c r="E170" s="44"/>
      <c r="F170" s="44"/>
      <c r="G170" s="44"/>
      <c r="H170" s="44"/>
      <c r="I170" s="44"/>
      <c r="J170" s="44"/>
      <c r="K170" s="44"/>
      <c r="L170" s="44"/>
      <c r="M170" s="44"/>
      <c r="N170" s="44"/>
      <c r="O170" s="44"/>
    </row>
    <row r="171" spans="1:15" ht="17.25" customHeight="1">
      <c r="A171" s="44"/>
      <c r="B171" s="44"/>
      <c r="C171" s="44"/>
      <c r="D171" s="44"/>
      <c r="E171" s="44"/>
      <c r="F171" s="44"/>
      <c r="G171" s="44"/>
      <c r="H171" s="44"/>
      <c r="I171" s="44"/>
      <c r="J171" s="44"/>
      <c r="K171" s="44"/>
      <c r="L171" s="44"/>
      <c r="M171" s="44"/>
      <c r="N171" s="44"/>
      <c r="O171" s="44"/>
    </row>
    <row r="172" spans="1:15" ht="17.25" customHeight="1">
      <c r="A172" s="44"/>
      <c r="B172" s="44"/>
      <c r="C172" s="44"/>
      <c r="D172" s="44"/>
      <c r="E172" s="44"/>
      <c r="F172" s="44"/>
      <c r="G172" s="44"/>
      <c r="H172" s="44"/>
      <c r="I172" s="44"/>
      <c r="J172" s="44"/>
      <c r="K172" s="44"/>
      <c r="L172" s="44"/>
      <c r="M172" s="44"/>
      <c r="N172" s="44"/>
      <c r="O172" s="44"/>
    </row>
    <row r="173" spans="1:15" ht="17.25" customHeight="1">
      <c r="A173" s="44"/>
      <c r="B173" s="44"/>
      <c r="C173" s="44"/>
      <c r="D173" s="44"/>
      <c r="E173" s="44"/>
      <c r="F173" s="44"/>
      <c r="G173" s="44"/>
      <c r="H173" s="44"/>
      <c r="I173" s="44"/>
      <c r="J173" s="44"/>
      <c r="K173" s="44"/>
      <c r="L173" s="44"/>
      <c r="M173" s="44"/>
      <c r="N173" s="44"/>
      <c r="O173" s="44"/>
    </row>
    <row r="174" spans="1:15" ht="17.25" customHeight="1">
      <c r="A174" s="44"/>
      <c r="B174" s="44"/>
      <c r="C174" s="44"/>
      <c r="D174" s="44"/>
      <c r="E174" s="44"/>
      <c r="F174" s="44"/>
      <c r="G174" s="44"/>
      <c r="H174" s="44"/>
      <c r="I174" s="44"/>
      <c r="J174" s="44"/>
      <c r="K174" s="44"/>
      <c r="L174" s="44"/>
      <c r="M174" s="44"/>
      <c r="N174" s="44"/>
      <c r="O174" s="44"/>
    </row>
    <row r="175" spans="1:15" ht="17.25" customHeight="1">
      <c r="A175" s="44"/>
      <c r="B175" s="44"/>
      <c r="C175" s="44"/>
      <c r="D175" s="44"/>
      <c r="E175" s="44"/>
      <c r="F175" s="44"/>
      <c r="G175" s="44"/>
      <c r="H175" s="44"/>
      <c r="I175" s="44"/>
      <c r="J175" s="44"/>
      <c r="K175" s="44"/>
      <c r="L175" s="44"/>
      <c r="M175" s="44"/>
      <c r="N175" s="44"/>
      <c r="O175" s="44"/>
    </row>
    <row r="176" spans="1:15" ht="17.25" customHeight="1">
      <c r="A176" s="44"/>
      <c r="B176" s="44"/>
      <c r="C176" s="44"/>
      <c r="D176" s="44"/>
      <c r="E176" s="44"/>
      <c r="F176" s="44"/>
      <c r="G176" s="44"/>
      <c r="H176" s="44"/>
      <c r="I176" s="44"/>
      <c r="J176" s="44"/>
      <c r="K176" s="44"/>
      <c r="L176" s="44"/>
      <c r="M176" s="44"/>
      <c r="N176" s="44"/>
      <c r="O176" s="44"/>
    </row>
    <row r="177" spans="1:15" ht="17.25" customHeight="1">
      <c r="A177" s="44"/>
      <c r="B177" s="44"/>
      <c r="C177" s="44"/>
      <c r="D177" s="44"/>
      <c r="E177" s="44"/>
      <c r="F177" s="44"/>
      <c r="G177" s="44"/>
      <c r="H177" s="44"/>
      <c r="I177" s="44"/>
      <c r="J177" s="44"/>
      <c r="K177" s="44"/>
      <c r="L177" s="44"/>
      <c r="M177" s="44"/>
      <c r="N177" s="44"/>
      <c r="O177" s="44"/>
    </row>
    <row r="178" spans="1:15" ht="17.25" customHeight="1">
      <c r="A178" s="44"/>
      <c r="B178" s="44"/>
      <c r="C178" s="44"/>
      <c r="D178" s="44"/>
      <c r="E178" s="44"/>
      <c r="F178" s="44"/>
      <c r="G178" s="44"/>
      <c r="H178" s="44"/>
      <c r="I178" s="44"/>
      <c r="J178" s="44"/>
      <c r="K178" s="44"/>
      <c r="L178" s="44"/>
      <c r="M178" s="44"/>
      <c r="N178" s="44"/>
      <c r="O178" s="44"/>
    </row>
    <row r="179" spans="1:15" ht="17.25" customHeight="1">
      <c r="A179" s="44"/>
      <c r="B179" s="44"/>
      <c r="C179" s="44"/>
      <c r="D179" s="44"/>
      <c r="E179" s="44"/>
      <c r="F179" s="44"/>
      <c r="G179" s="44"/>
      <c r="H179" s="44"/>
      <c r="I179" s="44"/>
      <c r="J179" s="44"/>
      <c r="K179" s="44"/>
      <c r="L179" s="44"/>
      <c r="M179" s="44"/>
      <c r="N179" s="44"/>
      <c r="O179" s="44"/>
    </row>
    <row r="180" spans="1:15" ht="17.25" customHeight="1">
      <c r="A180" s="44"/>
      <c r="B180" s="44"/>
      <c r="C180" s="44"/>
      <c r="D180" s="44"/>
      <c r="E180" s="44"/>
      <c r="F180" s="44"/>
      <c r="G180" s="44"/>
      <c r="H180" s="44"/>
      <c r="I180" s="44"/>
      <c r="J180" s="44"/>
      <c r="K180" s="44"/>
      <c r="L180" s="44"/>
      <c r="M180" s="44"/>
      <c r="N180" s="44"/>
      <c r="O180" s="44"/>
    </row>
    <row r="181" spans="1:15" ht="17.25" customHeight="1">
      <c r="A181" s="44"/>
      <c r="B181" s="44"/>
      <c r="C181" s="44"/>
      <c r="D181" s="44"/>
      <c r="E181" s="44"/>
      <c r="F181" s="44"/>
      <c r="G181" s="44"/>
      <c r="H181" s="44"/>
      <c r="I181" s="44"/>
      <c r="J181" s="44"/>
      <c r="K181" s="44"/>
      <c r="L181" s="44"/>
      <c r="M181" s="44"/>
      <c r="N181" s="44"/>
      <c r="O181" s="44"/>
    </row>
    <row r="182" spans="1:15" ht="17.25" customHeight="1">
      <c r="A182" s="44"/>
      <c r="B182" s="44"/>
      <c r="C182" s="44"/>
      <c r="D182" s="44"/>
      <c r="E182" s="44"/>
      <c r="F182" s="44"/>
      <c r="G182" s="44"/>
      <c r="H182" s="44"/>
      <c r="I182" s="44"/>
      <c r="J182" s="44"/>
      <c r="K182" s="44"/>
      <c r="L182" s="44"/>
      <c r="M182" s="44"/>
      <c r="N182" s="44"/>
      <c r="O182" s="44"/>
    </row>
    <row r="183" spans="1:15" ht="17.25" customHeight="1">
      <c r="A183" s="44"/>
      <c r="B183" s="44"/>
      <c r="C183" s="44"/>
      <c r="D183" s="44"/>
      <c r="E183" s="44"/>
      <c r="F183" s="44"/>
      <c r="G183" s="44"/>
      <c r="H183" s="44"/>
      <c r="I183" s="44"/>
      <c r="J183" s="44"/>
      <c r="K183" s="44"/>
      <c r="L183" s="44"/>
      <c r="M183" s="44"/>
      <c r="N183" s="44"/>
      <c r="O183" s="44"/>
    </row>
    <row r="184" spans="1:15" ht="17.25" customHeight="1">
      <c r="A184" s="44"/>
      <c r="B184" s="44"/>
      <c r="C184" s="44"/>
      <c r="D184" s="44"/>
      <c r="E184" s="44"/>
      <c r="F184" s="44"/>
      <c r="G184" s="44"/>
      <c r="H184" s="44"/>
      <c r="I184" s="44"/>
      <c r="J184" s="44"/>
      <c r="K184" s="44"/>
      <c r="L184" s="44"/>
      <c r="M184" s="44"/>
      <c r="N184" s="44"/>
      <c r="O184" s="44"/>
    </row>
    <row r="185" spans="1:15" ht="17.25" customHeight="1">
      <c r="A185" s="44"/>
      <c r="B185" s="44"/>
      <c r="C185" s="44"/>
      <c r="D185" s="44"/>
      <c r="E185" s="44"/>
      <c r="F185" s="44"/>
      <c r="G185" s="44"/>
      <c r="H185" s="44"/>
      <c r="I185" s="44"/>
      <c r="J185" s="44"/>
      <c r="K185" s="44"/>
      <c r="L185" s="44"/>
      <c r="M185" s="44"/>
      <c r="N185" s="44"/>
      <c r="O185" s="44"/>
    </row>
    <row r="186" spans="1:15" ht="17.25" customHeight="1">
      <c r="A186" s="44"/>
      <c r="B186" s="44"/>
      <c r="C186" s="44"/>
      <c r="D186" s="44"/>
      <c r="E186" s="44"/>
      <c r="F186" s="44"/>
      <c r="G186" s="44"/>
      <c r="H186" s="44"/>
      <c r="I186" s="44"/>
      <c r="J186" s="44"/>
      <c r="K186" s="44"/>
      <c r="L186" s="44"/>
      <c r="M186" s="44"/>
      <c r="N186" s="44"/>
      <c r="O186" s="44"/>
    </row>
    <row r="187" spans="1:15" ht="17.25" customHeight="1">
      <c r="A187" s="44"/>
      <c r="B187" s="44"/>
      <c r="C187" s="44"/>
      <c r="D187" s="44"/>
      <c r="E187" s="44"/>
      <c r="F187" s="44"/>
      <c r="G187" s="44"/>
      <c r="H187" s="44"/>
      <c r="I187" s="44"/>
      <c r="J187" s="44"/>
      <c r="K187" s="44"/>
      <c r="L187" s="44"/>
      <c r="M187" s="44"/>
      <c r="N187" s="44"/>
      <c r="O187" s="44"/>
    </row>
    <row r="188" spans="1:15" ht="17.25" customHeight="1">
      <c r="A188" s="44"/>
      <c r="B188" s="44"/>
      <c r="C188" s="44"/>
      <c r="D188" s="44"/>
      <c r="E188" s="44"/>
      <c r="F188" s="44"/>
      <c r="G188" s="44"/>
      <c r="H188" s="44"/>
      <c r="I188" s="44"/>
      <c r="J188" s="44"/>
      <c r="K188" s="44"/>
      <c r="L188" s="44"/>
      <c r="M188" s="44"/>
      <c r="N188" s="44"/>
      <c r="O188" s="44"/>
    </row>
    <row r="189" spans="1:15" ht="17.25" customHeight="1">
      <c r="A189" s="44"/>
      <c r="B189" s="44"/>
      <c r="C189" s="44"/>
      <c r="D189" s="44"/>
      <c r="E189" s="44"/>
      <c r="F189" s="44"/>
      <c r="G189" s="44"/>
      <c r="H189" s="44"/>
      <c r="I189" s="44"/>
      <c r="J189" s="44"/>
      <c r="K189" s="44"/>
      <c r="L189" s="44"/>
      <c r="M189" s="44"/>
      <c r="N189" s="44"/>
      <c r="O189" s="44"/>
    </row>
    <row r="190" spans="1:15" ht="17.25" customHeight="1">
      <c r="A190" s="44"/>
      <c r="B190" s="44"/>
      <c r="C190" s="44"/>
      <c r="D190" s="44"/>
      <c r="E190" s="44"/>
      <c r="F190" s="44"/>
      <c r="G190" s="44"/>
      <c r="H190" s="44"/>
      <c r="I190" s="44"/>
      <c r="J190" s="44"/>
      <c r="K190" s="44"/>
      <c r="L190" s="44"/>
      <c r="M190" s="44"/>
      <c r="N190" s="44"/>
      <c r="O190" s="44"/>
    </row>
    <row r="191" spans="1:15" ht="17.25" customHeight="1">
      <c r="A191" s="44"/>
      <c r="B191" s="44"/>
      <c r="C191" s="44"/>
      <c r="D191" s="44"/>
      <c r="E191" s="44"/>
      <c r="F191" s="44"/>
      <c r="G191" s="44"/>
      <c r="H191" s="44"/>
      <c r="I191" s="44"/>
      <c r="J191" s="44"/>
      <c r="K191" s="44"/>
      <c r="L191" s="44"/>
      <c r="M191" s="44"/>
      <c r="N191" s="44"/>
      <c r="O191" s="44"/>
    </row>
    <row r="192" spans="1:15" ht="17.25" customHeight="1">
      <c r="A192" s="44"/>
      <c r="B192" s="44"/>
      <c r="C192" s="44"/>
      <c r="D192" s="44"/>
      <c r="E192" s="44"/>
      <c r="F192" s="44"/>
      <c r="G192" s="44"/>
      <c r="H192" s="44"/>
      <c r="I192" s="44"/>
      <c r="J192" s="44"/>
      <c r="K192" s="44"/>
      <c r="L192" s="44"/>
      <c r="M192" s="44"/>
      <c r="N192" s="44"/>
      <c r="O192" s="44"/>
    </row>
    <row r="193" spans="1:15" ht="17.25" customHeight="1">
      <c r="A193" s="44"/>
      <c r="B193" s="44"/>
      <c r="C193" s="44"/>
      <c r="D193" s="44"/>
      <c r="E193" s="44"/>
      <c r="F193" s="44"/>
      <c r="G193" s="44"/>
      <c r="H193" s="44"/>
      <c r="I193" s="44"/>
      <c r="J193" s="44"/>
      <c r="K193" s="44"/>
      <c r="L193" s="44"/>
      <c r="M193" s="44"/>
      <c r="N193" s="44"/>
      <c r="O193" s="44"/>
    </row>
    <row r="194" spans="1:15" ht="17.25" customHeight="1">
      <c r="A194" s="44"/>
      <c r="B194" s="44"/>
      <c r="C194" s="44"/>
      <c r="D194" s="44"/>
      <c r="E194" s="44"/>
      <c r="F194" s="44"/>
      <c r="G194" s="44"/>
      <c r="H194" s="44"/>
      <c r="I194" s="44"/>
      <c r="J194" s="44"/>
      <c r="K194" s="44"/>
      <c r="L194" s="44"/>
      <c r="M194" s="44"/>
      <c r="N194" s="44"/>
      <c r="O194" s="44"/>
    </row>
    <row r="195" spans="1:15" ht="17.25" customHeight="1">
      <c r="A195" s="44"/>
      <c r="B195" s="44"/>
      <c r="C195" s="44"/>
      <c r="D195" s="44"/>
      <c r="E195" s="44"/>
      <c r="F195" s="44"/>
      <c r="G195" s="44"/>
      <c r="H195" s="44"/>
      <c r="I195" s="44"/>
      <c r="J195" s="44"/>
      <c r="K195" s="44"/>
      <c r="L195" s="44"/>
      <c r="M195" s="44"/>
      <c r="N195" s="44"/>
      <c r="O195" s="44"/>
    </row>
    <row r="196" spans="1:15" ht="17.25" customHeight="1">
      <c r="A196" s="44"/>
      <c r="B196" s="44"/>
      <c r="C196" s="44"/>
      <c r="D196" s="44"/>
      <c r="E196" s="44"/>
      <c r="F196" s="44"/>
      <c r="G196" s="44"/>
      <c r="H196" s="44"/>
      <c r="I196" s="44"/>
      <c r="J196" s="44"/>
      <c r="K196" s="44"/>
      <c r="L196" s="44"/>
      <c r="M196" s="44"/>
      <c r="N196" s="44"/>
      <c r="O196" s="44"/>
    </row>
    <row r="197" spans="1:15" ht="17.25" customHeight="1">
      <c r="A197" s="44"/>
      <c r="B197" s="44"/>
      <c r="C197" s="44"/>
      <c r="D197" s="44"/>
      <c r="E197" s="44"/>
      <c r="F197" s="44"/>
      <c r="G197" s="44"/>
      <c r="H197" s="44"/>
      <c r="I197" s="44"/>
      <c r="J197" s="44"/>
      <c r="K197" s="44"/>
      <c r="L197" s="44"/>
      <c r="M197" s="44"/>
      <c r="N197" s="44"/>
      <c r="O197" s="44"/>
    </row>
    <row r="198" spans="1:15" ht="17.25" customHeight="1">
      <c r="A198" s="44"/>
      <c r="B198" s="44"/>
      <c r="C198" s="44"/>
      <c r="D198" s="44"/>
      <c r="E198" s="44"/>
      <c r="F198" s="44"/>
      <c r="G198" s="44"/>
      <c r="H198" s="44"/>
      <c r="I198" s="44"/>
      <c r="J198" s="44"/>
      <c r="K198" s="44"/>
      <c r="L198" s="44"/>
      <c r="M198" s="44"/>
      <c r="N198" s="44"/>
      <c r="O198" s="44"/>
    </row>
    <row r="199" spans="1:15" ht="17.25" customHeight="1">
      <c r="A199" s="44"/>
      <c r="B199" s="44"/>
      <c r="C199" s="44"/>
      <c r="D199" s="44"/>
      <c r="E199" s="44"/>
      <c r="F199" s="44"/>
      <c r="G199" s="44"/>
      <c r="H199" s="44"/>
      <c r="I199" s="44"/>
      <c r="J199" s="44"/>
      <c r="K199" s="44"/>
      <c r="L199" s="44"/>
      <c r="M199" s="44"/>
      <c r="N199" s="44"/>
      <c r="O199" s="44"/>
    </row>
    <row r="200" spans="1:15" ht="17.25" customHeight="1">
      <c r="A200" s="44"/>
      <c r="B200" s="44"/>
      <c r="C200" s="44"/>
      <c r="D200" s="44"/>
      <c r="E200" s="44"/>
      <c r="F200" s="44"/>
      <c r="G200" s="44"/>
      <c r="H200" s="44"/>
      <c r="I200" s="44"/>
      <c r="J200" s="44"/>
      <c r="K200" s="44"/>
      <c r="L200" s="44"/>
      <c r="M200" s="44"/>
      <c r="N200" s="44"/>
      <c r="O200" s="44"/>
    </row>
    <row r="201" spans="1:15" ht="17.25" customHeight="1">
      <c r="A201" s="44"/>
      <c r="B201" s="44"/>
      <c r="C201" s="44"/>
      <c r="D201" s="44"/>
      <c r="E201" s="44"/>
      <c r="F201" s="44"/>
      <c r="G201" s="44"/>
      <c r="H201" s="44"/>
      <c r="I201" s="44"/>
      <c r="J201" s="44"/>
      <c r="K201" s="44"/>
      <c r="L201" s="44"/>
      <c r="M201" s="44"/>
      <c r="N201" s="44"/>
      <c r="O201" s="44"/>
    </row>
    <row r="202" spans="1:15" ht="17.25" customHeight="1">
      <c r="A202" s="44"/>
      <c r="B202" s="44"/>
      <c r="C202" s="44"/>
      <c r="D202" s="44"/>
      <c r="E202" s="44"/>
      <c r="F202" s="44"/>
      <c r="G202" s="44"/>
      <c r="H202" s="44"/>
      <c r="I202" s="44"/>
      <c r="J202" s="44"/>
      <c r="K202" s="44"/>
      <c r="L202" s="44"/>
      <c r="M202" s="44"/>
      <c r="N202" s="44"/>
      <c r="O202" s="44"/>
    </row>
    <row r="203" spans="1:15" ht="17.25" customHeight="1">
      <c r="A203" s="44"/>
      <c r="B203" s="44"/>
      <c r="C203" s="44"/>
      <c r="D203" s="44"/>
      <c r="E203" s="44"/>
      <c r="F203" s="44"/>
      <c r="G203" s="44"/>
      <c r="H203" s="44"/>
      <c r="I203" s="44"/>
      <c r="J203" s="44"/>
      <c r="K203" s="44"/>
      <c r="L203" s="44"/>
      <c r="M203" s="44"/>
      <c r="N203" s="44"/>
      <c r="O203" s="44"/>
    </row>
    <row r="204" spans="1:15" ht="17.25" customHeight="1">
      <c r="A204" s="44"/>
      <c r="B204" s="44"/>
      <c r="C204" s="44"/>
      <c r="D204" s="44"/>
      <c r="E204" s="44"/>
      <c r="F204" s="44"/>
      <c r="G204" s="44"/>
      <c r="H204" s="44"/>
      <c r="I204" s="44"/>
      <c r="J204" s="44"/>
      <c r="K204" s="44"/>
      <c r="L204" s="44"/>
      <c r="M204" s="44"/>
      <c r="N204" s="44"/>
      <c r="O204" s="44"/>
    </row>
    <row r="205" spans="1:15" ht="17.25" customHeight="1">
      <c r="A205" s="44"/>
      <c r="B205" s="44"/>
      <c r="C205" s="44"/>
      <c r="D205" s="44"/>
      <c r="E205" s="44"/>
      <c r="F205" s="44"/>
      <c r="G205" s="44"/>
      <c r="H205" s="44"/>
      <c r="I205" s="44"/>
      <c r="J205" s="44"/>
      <c r="K205" s="44"/>
      <c r="L205" s="44"/>
      <c r="M205" s="44"/>
      <c r="N205" s="44"/>
      <c r="O205" s="44"/>
    </row>
    <row r="206" spans="1:15" ht="17.25" customHeight="1">
      <c r="A206" s="44"/>
      <c r="B206" s="44"/>
      <c r="C206" s="44"/>
      <c r="D206" s="44"/>
      <c r="E206" s="44"/>
      <c r="F206" s="44"/>
      <c r="G206" s="44"/>
      <c r="H206" s="44"/>
      <c r="I206" s="44"/>
      <c r="J206" s="44"/>
      <c r="K206" s="44"/>
      <c r="L206" s="44"/>
      <c r="M206" s="44"/>
      <c r="N206" s="44"/>
      <c r="O206" s="44"/>
    </row>
    <row r="207" spans="1:15" ht="17.25" customHeight="1">
      <c r="A207" s="44"/>
      <c r="B207" s="44"/>
      <c r="C207" s="44"/>
      <c r="D207" s="44"/>
      <c r="E207" s="44"/>
      <c r="F207" s="44"/>
      <c r="G207" s="44"/>
      <c r="H207" s="44"/>
      <c r="I207" s="44"/>
      <c r="J207" s="44"/>
      <c r="K207" s="44"/>
      <c r="L207" s="44"/>
      <c r="M207" s="44"/>
      <c r="N207" s="44"/>
      <c r="O207" s="44"/>
    </row>
    <row r="208" spans="1:15" ht="17.25" customHeight="1">
      <c r="A208" s="44"/>
      <c r="B208" s="44"/>
      <c r="C208" s="44"/>
      <c r="D208" s="44"/>
      <c r="E208" s="44"/>
      <c r="F208" s="44"/>
      <c r="G208" s="44"/>
      <c r="H208" s="44"/>
      <c r="I208" s="44"/>
      <c r="J208" s="44"/>
      <c r="K208" s="44"/>
      <c r="L208" s="44"/>
      <c r="M208" s="44"/>
      <c r="N208" s="44"/>
      <c r="O208" s="44"/>
    </row>
    <row r="209" spans="1:15" ht="17.25" customHeight="1">
      <c r="A209" s="44"/>
      <c r="B209" s="44"/>
      <c r="C209" s="44"/>
      <c r="D209" s="44"/>
      <c r="E209" s="44"/>
      <c r="F209" s="44"/>
      <c r="G209" s="44"/>
      <c r="H209" s="44"/>
      <c r="I209" s="44"/>
      <c r="J209" s="44"/>
      <c r="K209" s="44"/>
      <c r="L209" s="44"/>
      <c r="M209" s="44"/>
      <c r="N209" s="44"/>
      <c r="O209" s="44"/>
    </row>
    <row r="210" spans="1:15" ht="17.25" customHeight="1">
      <c r="A210" s="44"/>
      <c r="B210" s="44"/>
      <c r="C210" s="44"/>
      <c r="D210" s="44"/>
      <c r="E210" s="44"/>
      <c r="F210" s="44"/>
      <c r="G210" s="44"/>
      <c r="H210" s="44"/>
      <c r="I210" s="44"/>
      <c r="J210" s="44"/>
      <c r="K210" s="44"/>
      <c r="L210" s="44"/>
      <c r="M210" s="44"/>
      <c r="N210" s="44"/>
      <c r="O210" s="44"/>
    </row>
    <row r="211" spans="1:15" ht="17.25" customHeight="1">
      <c r="A211" s="44"/>
      <c r="B211" s="44"/>
      <c r="C211" s="44"/>
      <c r="D211" s="44"/>
      <c r="E211" s="44"/>
      <c r="F211" s="44"/>
      <c r="G211" s="44"/>
      <c r="H211" s="44"/>
      <c r="I211" s="44"/>
      <c r="J211" s="44"/>
      <c r="K211" s="44"/>
      <c r="L211" s="44"/>
      <c r="M211" s="44"/>
      <c r="N211" s="44"/>
      <c r="O211" s="44"/>
    </row>
    <row r="212" spans="1:15" ht="17.25" customHeight="1">
      <c r="A212" s="44"/>
      <c r="B212" s="44"/>
      <c r="C212" s="44"/>
      <c r="D212" s="44"/>
      <c r="E212" s="44"/>
      <c r="F212" s="44"/>
      <c r="G212" s="44"/>
      <c r="H212" s="44"/>
      <c r="I212" s="44"/>
      <c r="J212" s="44"/>
      <c r="K212" s="44"/>
      <c r="L212" s="44"/>
      <c r="M212" s="44"/>
      <c r="N212" s="44"/>
      <c r="O212" s="44"/>
    </row>
    <row r="213" spans="1:15" ht="17.25" customHeight="1">
      <c r="A213" s="44"/>
      <c r="B213" s="44"/>
      <c r="C213" s="44"/>
      <c r="D213" s="44"/>
      <c r="E213" s="44"/>
      <c r="F213" s="44"/>
      <c r="G213" s="44"/>
      <c r="H213" s="44"/>
      <c r="I213" s="44"/>
      <c r="J213" s="44"/>
      <c r="K213" s="44"/>
      <c r="L213" s="44"/>
      <c r="M213" s="44"/>
      <c r="N213" s="44"/>
      <c r="O213" s="44"/>
    </row>
    <row r="214" spans="1:15" ht="17.25" customHeight="1">
      <c r="A214" s="44"/>
      <c r="B214" s="44"/>
      <c r="C214" s="44"/>
      <c r="D214" s="44"/>
      <c r="E214" s="44"/>
      <c r="F214" s="44"/>
      <c r="G214" s="44"/>
      <c r="H214" s="44"/>
      <c r="I214" s="44"/>
      <c r="J214" s="44"/>
      <c r="K214" s="44"/>
      <c r="L214" s="44"/>
      <c r="M214" s="44"/>
      <c r="N214" s="44"/>
      <c r="O214" s="44"/>
    </row>
    <row r="215" spans="1:15" ht="17.25" customHeight="1">
      <c r="A215" s="44"/>
      <c r="B215" s="44"/>
      <c r="C215" s="44"/>
      <c r="D215" s="44"/>
      <c r="E215" s="44"/>
      <c r="F215" s="44"/>
      <c r="G215" s="44"/>
      <c r="H215" s="44"/>
      <c r="I215" s="44"/>
      <c r="J215" s="44"/>
      <c r="K215" s="44"/>
      <c r="L215" s="44"/>
      <c r="M215" s="44"/>
      <c r="N215" s="44"/>
      <c r="O215" s="44"/>
    </row>
    <row r="216" spans="1:15" ht="17.25" customHeight="1">
      <c r="A216" s="44"/>
      <c r="B216" s="44"/>
      <c r="C216" s="44"/>
      <c r="D216" s="44"/>
      <c r="E216" s="44"/>
      <c r="F216" s="44"/>
      <c r="G216" s="44"/>
      <c r="H216" s="44"/>
      <c r="I216" s="44"/>
      <c r="J216" s="44"/>
      <c r="K216" s="44"/>
      <c r="L216" s="44"/>
      <c r="M216" s="44"/>
      <c r="N216" s="44"/>
      <c r="O216" s="44"/>
    </row>
    <row r="217" spans="1:15" ht="17.25" customHeight="1">
      <c r="A217" s="44"/>
      <c r="B217" s="44"/>
      <c r="C217" s="44"/>
      <c r="D217" s="44"/>
      <c r="E217" s="44"/>
      <c r="F217" s="44"/>
      <c r="G217" s="44"/>
      <c r="H217" s="44"/>
      <c r="I217" s="44"/>
      <c r="J217" s="44"/>
      <c r="K217" s="44"/>
      <c r="L217" s="44"/>
      <c r="M217" s="44"/>
      <c r="N217" s="44"/>
      <c r="O217" s="44"/>
    </row>
    <row r="218" spans="1:15" ht="17.25" customHeight="1">
      <c r="A218" s="44"/>
      <c r="B218" s="44"/>
      <c r="C218" s="44"/>
      <c r="D218" s="44"/>
      <c r="E218" s="44"/>
      <c r="F218" s="44"/>
      <c r="G218" s="44"/>
      <c r="H218" s="44"/>
      <c r="I218" s="44"/>
      <c r="J218" s="44"/>
      <c r="K218" s="44"/>
      <c r="L218" s="44"/>
      <c r="M218" s="44"/>
      <c r="N218" s="44"/>
      <c r="O218" s="44"/>
    </row>
    <row r="219" spans="1:15" ht="17.25" customHeight="1">
      <c r="A219" s="44"/>
      <c r="B219" s="44"/>
      <c r="C219" s="44"/>
      <c r="D219" s="44"/>
      <c r="E219" s="44"/>
      <c r="F219" s="44"/>
      <c r="G219" s="44"/>
      <c r="H219" s="44"/>
      <c r="I219" s="44"/>
      <c r="J219" s="44"/>
      <c r="K219" s="44"/>
      <c r="L219" s="44"/>
      <c r="M219" s="44"/>
      <c r="N219" s="44"/>
      <c r="O219" s="44"/>
    </row>
    <row r="220" spans="1:15" ht="17.25" customHeight="1">
      <c r="A220" s="44"/>
      <c r="B220" s="44"/>
      <c r="C220" s="44"/>
      <c r="D220" s="44"/>
      <c r="E220" s="44"/>
      <c r="F220" s="44"/>
      <c r="G220" s="44"/>
      <c r="H220" s="44"/>
      <c r="I220" s="44"/>
      <c r="J220" s="44"/>
      <c r="K220" s="44"/>
      <c r="L220" s="44"/>
      <c r="M220" s="44"/>
      <c r="N220" s="44"/>
      <c r="O220" s="44"/>
    </row>
    <row r="221" spans="1:15" ht="17.25" customHeight="1">
      <c r="A221" s="44"/>
      <c r="B221" s="44"/>
      <c r="C221" s="44"/>
      <c r="D221" s="44"/>
      <c r="E221" s="44"/>
      <c r="F221" s="44"/>
      <c r="G221" s="44"/>
      <c r="H221" s="44"/>
      <c r="I221" s="44"/>
      <c r="J221" s="44"/>
      <c r="K221" s="44"/>
      <c r="L221" s="44"/>
      <c r="M221" s="44"/>
      <c r="N221" s="44"/>
      <c r="O221" s="44"/>
    </row>
    <row r="222" spans="1:15" ht="17.25" customHeight="1">
      <c r="A222" s="44"/>
      <c r="B222" s="44"/>
      <c r="C222" s="44"/>
      <c r="D222" s="44"/>
      <c r="E222" s="44"/>
      <c r="F222" s="44"/>
      <c r="G222" s="44"/>
      <c r="H222" s="44"/>
      <c r="I222" s="44"/>
      <c r="J222" s="44"/>
      <c r="K222" s="44"/>
      <c r="L222" s="44"/>
      <c r="M222" s="44"/>
      <c r="N222" s="44"/>
      <c r="O222" s="44"/>
    </row>
    <row r="223" spans="1:15" ht="17.25" customHeight="1">
      <c r="A223" s="44"/>
      <c r="B223" s="44"/>
      <c r="C223" s="44"/>
      <c r="D223" s="44"/>
      <c r="E223" s="44"/>
      <c r="F223" s="44"/>
      <c r="G223" s="44"/>
      <c r="H223" s="44"/>
      <c r="I223" s="44"/>
      <c r="J223" s="44"/>
      <c r="K223" s="44"/>
      <c r="L223" s="44"/>
      <c r="M223" s="44"/>
      <c r="N223" s="44"/>
      <c r="O223" s="44"/>
    </row>
    <row r="224" spans="1:15" ht="17.25" customHeight="1">
      <c r="A224" s="44"/>
      <c r="B224" s="44"/>
      <c r="C224" s="44"/>
      <c r="D224" s="44"/>
      <c r="E224" s="44"/>
      <c r="F224" s="44"/>
      <c r="G224" s="44"/>
      <c r="H224" s="44"/>
      <c r="I224" s="44"/>
      <c r="J224" s="44"/>
      <c r="K224" s="44"/>
      <c r="L224" s="44"/>
      <c r="M224" s="44"/>
      <c r="N224" s="44"/>
      <c r="O224" s="44"/>
    </row>
    <row r="225" spans="1:15" ht="17.25" customHeight="1">
      <c r="A225" s="44"/>
      <c r="B225" s="44"/>
      <c r="C225" s="44"/>
      <c r="D225" s="44"/>
      <c r="E225" s="44"/>
      <c r="F225" s="44"/>
      <c r="G225" s="44"/>
      <c r="H225" s="44"/>
      <c r="I225" s="44"/>
      <c r="J225" s="44"/>
      <c r="K225" s="44"/>
      <c r="L225" s="44"/>
      <c r="M225" s="44"/>
      <c r="N225" s="44"/>
      <c r="O225" s="44"/>
    </row>
    <row r="226" spans="1:15" ht="17.25" customHeight="1">
      <c r="A226" s="44"/>
      <c r="B226" s="44"/>
      <c r="C226" s="44"/>
      <c r="D226" s="44"/>
      <c r="E226" s="44"/>
      <c r="F226" s="44"/>
      <c r="G226" s="44"/>
      <c r="H226" s="44"/>
      <c r="I226" s="44"/>
      <c r="J226" s="44"/>
      <c r="K226" s="44"/>
      <c r="L226" s="44"/>
      <c r="M226" s="44"/>
      <c r="N226" s="44"/>
      <c r="O226" s="44"/>
    </row>
    <row r="227" spans="1:15" ht="17.25" customHeight="1">
      <c r="A227" s="44"/>
      <c r="B227" s="44"/>
      <c r="C227" s="44"/>
      <c r="D227" s="44"/>
      <c r="E227" s="44"/>
      <c r="F227" s="44"/>
      <c r="G227" s="44"/>
      <c r="H227" s="44"/>
      <c r="I227" s="44"/>
      <c r="J227" s="44"/>
      <c r="K227" s="44"/>
      <c r="L227" s="44"/>
      <c r="M227" s="44"/>
      <c r="N227" s="44"/>
      <c r="O227" s="44"/>
    </row>
    <row r="228" spans="1:15" ht="17.25" customHeight="1">
      <c r="A228" s="44"/>
      <c r="B228" s="44"/>
      <c r="C228" s="44"/>
      <c r="D228" s="44"/>
      <c r="E228" s="44"/>
      <c r="F228" s="44"/>
      <c r="G228" s="44"/>
      <c r="H228" s="44"/>
      <c r="I228" s="44"/>
      <c r="J228" s="44"/>
      <c r="K228" s="44"/>
      <c r="L228" s="44"/>
      <c r="M228" s="44"/>
      <c r="N228" s="44"/>
      <c r="O228" s="44"/>
    </row>
    <row r="229" spans="1:15" ht="17.25" customHeight="1">
      <c r="A229" s="44"/>
      <c r="B229" s="44"/>
      <c r="C229" s="44"/>
      <c r="D229" s="44"/>
      <c r="E229" s="44"/>
      <c r="F229" s="44"/>
      <c r="G229" s="44"/>
      <c r="H229" s="44"/>
      <c r="I229" s="44"/>
      <c r="J229" s="44"/>
      <c r="K229" s="44"/>
      <c r="L229" s="44"/>
      <c r="M229" s="44"/>
      <c r="N229" s="44"/>
      <c r="O229" s="44"/>
    </row>
    <row r="230" spans="1:15" ht="17.25" customHeight="1">
      <c r="A230" s="44"/>
      <c r="B230" s="44"/>
      <c r="C230" s="44"/>
      <c r="D230" s="44"/>
      <c r="E230" s="44"/>
      <c r="F230" s="44"/>
      <c r="G230" s="44"/>
      <c r="H230" s="44"/>
      <c r="I230" s="44"/>
      <c r="J230" s="44"/>
      <c r="K230" s="44"/>
      <c r="L230" s="44"/>
      <c r="M230" s="44"/>
      <c r="N230" s="44"/>
      <c r="O230" s="44"/>
    </row>
    <row r="231" spans="1:15" ht="17.25" customHeight="1">
      <c r="A231" s="44"/>
      <c r="B231" s="44"/>
      <c r="C231" s="44"/>
      <c r="D231" s="44"/>
      <c r="E231" s="44"/>
      <c r="F231" s="44"/>
      <c r="G231" s="44"/>
      <c r="H231" s="44"/>
      <c r="I231" s="44"/>
      <c r="J231" s="44"/>
      <c r="K231" s="44"/>
      <c r="L231" s="44"/>
      <c r="M231" s="44"/>
      <c r="N231" s="44"/>
      <c r="O231" s="44"/>
    </row>
    <row r="232" spans="1:15" ht="17.25" customHeight="1">
      <c r="A232" s="44"/>
      <c r="B232" s="44"/>
      <c r="C232" s="44"/>
      <c r="D232" s="44"/>
      <c r="E232" s="44"/>
      <c r="F232" s="44"/>
      <c r="G232" s="44"/>
      <c r="H232" s="44"/>
      <c r="I232" s="44"/>
      <c r="J232" s="44"/>
      <c r="K232" s="44"/>
      <c r="L232" s="44"/>
      <c r="M232" s="44"/>
      <c r="N232" s="44"/>
      <c r="O232" s="44"/>
    </row>
    <row r="233" spans="1:15" ht="17.25" customHeight="1">
      <c r="A233" s="44"/>
      <c r="B233" s="44"/>
      <c r="C233" s="44"/>
      <c r="D233" s="44"/>
      <c r="E233" s="44"/>
      <c r="F233" s="44"/>
      <c r="G233" s="44"/>
      <c r="H233" s="44"/>
      <c r="I233" s="44"/>
      <c r="J233" s="44"/>
      <c r="K233" s="44"/>
      <c r="L233" s="44"/>
      <c r="M233" s="44"/>
      <c r="N233" s="44"/>
      <c r="O233" s="44"/>
    </row>
    <row r="234" spans="1:15" ht="17.25" customHeight="1">
      <c r="A234" s="44"/>
      <c r="B234" s="44"/>
      <c r="C234" s="44"/>
      <c r="D234" s="44"/>
      <c r="E234" s="44"/>
      <c r="F234" s="44"/>
      <c r="G234" s="44"/>
      <c r="H234" s="44"/>
      <c r="I234" s="44"/>
      <c r="J234" s="44"/>
      <c r="K234" s="44"/>
      <c r="L234" s="44"/>
      <c r="M234" s="44"/>
      <c r="N234" s="44"/>
      <c r="O234" s="44"/>
    </row>
    <row r="235" spans="1:15" ht="17.25" customHeight="1">
      <c r="A235" s="44"/>
      <c r="B235" s="44"/>
      <c r="C235" s="44"/>
      <c r="D235" s="44"/>
      <c r="E235" s="44"/>
      <c r="F235" s="44"/>
      <c r="G235" s="44"/>
      <c r="H235" s="44"/>
      <c r="I235" s="44"/>
      <c r="J235" s="44"/>
      <c r="K235" s="44"/>
      <c r="L235" s="44"/>
      <c r="M235" s="44"/>
      <c r="N235" s="44"/>
      <c r="O235" s="44"/>
    </row>
    <row r="236" spans="1:15" ht="17.25" customHeight="1">
      <c r="A236" s="44"/>
      <c r="B236" s="44"/>
      <c r="C236" s="44"/>
      <c r="D236" s="44"/>
      <c r="E236" s="44"/>
      <c r="F236" s="44"/>
      <c r="G236" s="44"/>
      <c r="H236" s="44"/>
      <c r="I236" s="44"/>
      <c r="J236" s="44"/>
      <c r="K236" s="44"/>
      <c r="L236" s="44"/>
      <c r="M236" s="44"/>
      <c r="N236" s="44"/>
      <c r="O236" s="44"/>
    </row>
    <row r="237" spans="1:15" ht="17.25" customHeight="1">
      <c r="A237" s="44"/>
      <c r="B237" s="44"/>
      <c r="C237" s="44"/>
      <c r="D237" s="44"/>
      <c r="E237" s="44"/>
      <c r="F237" s="44"/>
      <c r="G237" s="44"/>
      <c r="H237" s="44"/>
      <c r="I237" s="44"/>
      <c r="J237" s="44"/>
      <c r="K237" s="44"/>
      <c r="L237" s="44"/>
      <c r="M237" s="44"/>
      <c r="N237" s="44"/>
      <c r="O237" s="44"/>
    </row>
    <row r="238" spans="1:15" ht="17.25" customHeight="1">
      <c r="A238" s="44"/>
      <c r="B238" s="44"/>
      <c r="C238" s="44"/>
      <c r="D238" s="44"/>
      <c r="E238" s="44"/>
      <c r="F238" s="44"/>
      <c r="G238" s="44"/>
      <c r="H238" s="44"/>
      <c r="I238" s="44"/>
      <c r="J238" s="44"/>
      <c r="K238" s="44"/>
      <c r="L238" s="44"/>
      <c r="M238" s="44"/>
      <c r="N238" s="44"/>
      <c r="O238" s="44"/>
    </row>
    <row r="239" spans="1:15" ht="17.25" customHeight="1">
      <c r="A239" s="44"/>
      <c r="B239" s="44"/>
      <c r="C239" s="44"/>
      <c r="D239" s="44"/>
      <c r="E239" s="44"/>
      <c r="F239" s="44"/>
      <c r="G239" s="44"/>
      <c r="H239" s="44"/>
      <c r="I239" s="44"/>
      <c r="J239" s="44"/>
      <c r="K239" s="44"/>
      <c r="L239" s="44"/>
      <c r="M239" s="44"/>
      <c r="N239" s="44"/>
      <c r="O239" s="44"/>
    </row>
    <row r="240" spans="1:15" ht="17.25" customHeight="1">
      <c r="A240" s="44"/>
      <c r="B240" s="44"/>
      <c r="C240" s="44"/>
      <c r="D240" s="44"/>
      <c r="E240" s="44"/>
      <c r="F240" s="44"/>
      <c r="G240" s="44"/>
      <c r="H240" s="44"/>
      <c r="I240" s="44"/>
      <c r="J240" s="44"/>
      <c r="K240" s="44"/>
      <c r="L240" s="44"/>
      <c r="M240" s="44"/>
      <c r="N240" s="44"/>
      <c r="O240" s="44"/>
    </row>
    <row r="241" spans="1:15" ht="17.25" customHeight="1">
      <c r="A241" s="44"/>
      <c r="B241" s="44"/>
      <c r="C241" s="44"/>
      <c r="D241" s="44"/>
      <c r="E241" s="44"/>
      <c r="F241" s="44"/>
      <c r="G241" s="44"/>
      <c r="H241" s="44"/>
      <c r="I241" s="44"/>
      <c r="J241" s="44"/>
      <c r="K241" s="44"/>
      <c r="L241" s="44"/>
      <c r="M241" s="44"/>
      <c r="N241" s="44"/>
      <c r="O241" s="44"/>
    </row>
    <row r="242" spans="1:15" ht="17.25" customHeight="1">
      <c r="A242" s="44"/>
      <c r="B242" s="44"/>
      <c r="C242" s="44"/>
      <c r="D242" s="44"/>
      <c r="E242" s="44"/>
      <c r="F242" s="44"/>
      <c r="G242" s="44"/>
      <c r="H242" s="44"/>
      <c r="I242" s="44"/>
      <c r="J242" s="44"/>
      <c r="K242" s="44"/>
      <c r="L242" s="44"/>
      <c r="M242" s="44"/>
      <c r="N242" s="44"/>
      <c r="O242" s="44"/>
    </row>
    <row r="243" spans="1:15" ht="17.25" customHeight="1">
      <c r="A243" s="44"/>
      <c r="B243" s="44"/>
      <c r="C243" s="44"/>
      <c r="D243" s="44"/>
      <c r="E243" s="44"/>
      <c r="F243" s="44"/>
      <c r="G243" s="44"/>
      <c r="H243" s="44"/>
      <c r="I243" s="44"/>
      <c r="J243" s="44"/>
      <c r="K243" s="44"/>
      <c r="L243" s="44"/>
      <c r="M243" s="44"/>
      <c r="N243" s="44"/>
      <c r="O243" s="44"/>
    </row>
    <row r="244" spans="1:15" ht="17.25" customHeight="1">
      <c r="A244" s="44"/>
      <c r="B244" s="44"/>
      <c r="C244" s="44"/>
      <c r="D244" s="44"/>
      <c r="E244" s="44"/>
      <c r="F244" s="44"/>
      <c r="G244" s="44"/>
      <c r="H244" s="44"/>
      <c r="I244" s="44"/>
      <c r="J244" s="44"/>
      <c r="K244" s="44"/>
      <c r="L244" s="44"/>
      <c r="M244" s="44"/>
      <c r="N244" s="44"/>
      <c r="O244" s="44"/>
    </row>
    <row r="245" spans="1:15" ht="17.25" customHeight="1">
      <c r="A245" s="44"/>
      <c r="B245" s="44"/>
      <c r="C245" s="44"/>
      <c r="D245" s="44"/>
      <c r="E245" s="44"/>
      <c r="F245" s="44"/>
      <c r="G245" s="44"/>
      <c r="H245" s="44"/>
      <c r="I245" s="44"/>
      <c r="J245" s="44"/>
      <c r="K245" s="44"/>
      <c r="L245" s="44"/>
      <c r="M245" s="44"/>
      <c r="N245" s="44"/>
      <c r="O245" s="44"/>
    </row>
    <row r="246" spans="1:15" ht="17.25" customHeight="1">
      <c r="A246" s="44"/>
      <c r="B246" s="44"/>
      <c r="C246" s="44"/>
      <c r="D246" s="44"/>
      <c r="E246" s="44"/>
      <c r="F246" s="44"/>
      <c r="G246" s="44"/>
      <c r="H246" s="44"/>
      <c r="I246" s="44"/>
      <c r="J246" s="44"/>
      <c r="K246" s="44"/>
      <c r="L246" s="44"/>
      <c r="M246" s="44"/>
      <c r="N246" s="44"/>
      <c r="O246" s="44"/>
    </row>
    <row r="247" spans="1:15" ht="17.25" customHeight="1">
      <c r="A247" s="44"/>
      <c r="B247" s="44"/>
      <c r="C247" s="44"/>
      <c r="D247" s="44"/>
      <c r="E247" s="44"/>
      <c r="F247" s="44"/>
      <c r="G247" s="44"/>
      <c r="H247" s="44"/>
      <c r="I247" s="44"/>
      <c r="J247" s="44"/>
      <c r="K247" s="44"/>
      <c r="L247" s="44"/>
      <c r="M247" s="44"/>
      <c r="N247" s="44"/>
      <c r="O247" s="44"/>
    </row>
    <row r="248" spans="1:15" ht="17.25" customHeight="1">
      <c r="A248" s="44"/>
      <c r="B248" s="44"/>
      <c r="C248" s="44"/>
      <c r="D248" s="44"/>
      <c r="E248" s="44"/>
      <c r="F248" s="44"/>
      <c r="G248" s="44"/>
      <c r="H248" s="44"/>
      <c r="I248" s="44"/>
      <c r="J248" s="44"/>
      <c r="K248" s="44"/>
      <c r="L248" s="44"/>
      <c r="M248" s="44"/>
      <c r="N248" s="44"/>
      <c r="O248" s="44"/>
    </row>
    <row r="249" spans="1:15" ht="17.25" customHeight="1">
      <c r="A249" s="44"/>
      <c r="B249" s="44"/>
      <c r="C249" s="44"/>
      <c r="D249" s="44"/>
      <c r="E249" s="44"/>
      <c r="F249" s="44"/>
      <c r="G249" s="44"/>
      <c r="H249" s="44"/>
      <c r="I249" s="44"/>
      <c r="J249" s="44"/>
      <c r="K249" s="44"/>
      <c r="L249" s="44"/>
      <c r="M249" s="44"/>
      <c r="N249" s="44"/>
      <c r="O249" s="44"/>
    </row>
    <row r="250" spans="1:15" ht="17.25" customHeight="1">
      <c r="A250" s="44"/>
      <c r="B250" s="44"/>
      <c r="C250" s="44"/>
      <c r="D250" s="44"/>
      <c r="E250" s="44"/>
      <c r="F250" s="44"/>
      <c r="G250" s="44"/>
      <c r="H250" s="44"/>
      <c r="I250" s="44"/>
      <c r="J250" s="44"/>
      <c r="K250" s="44"/>
      <c r="L250" s="44"/>
      <c r="M250" s="44"/>
      <c r="N250" s="44"/>
      <c r="O250" s="44"/>
    </row>
    <row r="251" spans="1:15" ht="17.25" customHeight="1">
      <c r="A251" s="44"/>
      <c r="B251" s="44"/>
      <c r="C251" s="44"/>
      <c r="D251" s="44"/>
      <c r="E251" s="44"/>
      <c r="F251" s="44"/>
      <c r="G251" s="44"/>
      <c r="H251" s="44"/>
      <c r="I251" s="44"/>
      <c r="J251" s="44"/>
      <c r="K251" s="44"/>
      <c r="L251" s="44"/>
      <c r="M251" s="44"/>
      <c r="N251" s="44"/>
      <c r="O251" s="44"/>
    </row>
    <row r="252" spans="1:15" ht="17.25" customHeight="1">
      <c r="A252" s="44"/>
      <c r="B252" s="44"/>
      <c r="C252" s="44"/>
      <c r="D252" s="44"/>
      <c r="E252" s="44"/>
      <c r="F252" s="44"/>
      <c r="G252" s="44"/>
      <c r="H252" s="44"/>
      <c r="I252" s="44"/>
      <c r="J252" s="44"/>
      <c r="K252" s="44"/>
      <c r="L252" s="44"/>
      <c r="M252" s="44"/>
      <c r="N252" s="44"/>
      <c r="O252" s="44"/>
    </row>
    <row r="253" spans="1:15" ht="17.25" customHeight="1">
      <c r="A253" s="44"/>
      <c r="B253" s="44"/>
      <c r="C253" s="44"/>
      <c r="D253" s="44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4"/>
    </row>
    <row r="254" spans="1:15" ht="17.25" customHeight="1">
      <c r="A254" s="44"/>
      <c r="B254" s="44"/>
      <c r="C254" s="44"/>
      <c r="D254" s="44"/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O254" s="44"/>
    </row>
    <row r="255" spans="1:15" ht="17.25" customHeight="1">
      <c r="A255" s="44"/>
      <c r="B255" s="44"/>
      <c r="C255" s="44"/>
      <c r="D255" s="44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</row>
    <row r="256" spans="1:15" ht="17.25" customHeight="1">
      <c r="A256" s="44"/>
      <c r="B256" s="44"/>
      <c r="C256" s="44"/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</row>
    <row r="257" spans="1:15" ht="17.25" customHeight="1">
      <c r="A257" s="44"/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</row>
    <row r="258" spans="1:15" ht="17.25" customHeight="1">
      <c r="A258" s="44"/>
      <c r="B258" s="44"/>
      <c r="C258" s="44"/>
      <c r="D258" s="44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</row>
    <row r="259" spans="1:15" ht="17.25" customHeight="1">
      <c r="A259" s="44"/>
      <c r="B259" s="44"/>
      <c r="C259" s="44"/>
      <c r="D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</row>
    <row r="260" spans="1:15" ht="17.25" customHeight="1">
      <c r="A260" s="44"/>
      <c r="B260" s="44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</row>
    <row r="261" spans="1:15" ht="17.25" customHeight="1">
      <c r="A261" s="44"/>
      <c r="B261" s="44"/>
      <c r="C261" s="44"/>
      <c r="D261" s="44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</row>
    <row r="262" spans="1:15" ht="17.25" customHeight="1">
      <c r="A262" s="44"/>
      <c r="B262" s="44"/>
      <c r="C262" s="44"/>
      <c r="D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</row>
    <row r="263" spans="1:15" ht="17.25" customHeight="1">
      <c r="A263" s="44"/>
      <c r="B263" s="44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</row>
    <row r="264" spans="1:15" ht="17.25" customHeight="1">
      <c r="A264" s="44"/>
      <c r="B264" s="44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</row>
    <row r="265" spans="1:15" ht="17.25" customHeight="1">
      <c r="A265" s="44"/>
      <c r="B265" s="44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</row>
    <row r="266" spans="1:15" ht="17.25" customHeight="1">
      <c r="A266" s="44"/>
      <c r="B266" s="44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</row>
    <row r="267" spans="1:15" ht="17.25" customHeight="1">
      <c r="A267" s="44"/>
      <c r="B267" s="44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</row>
    <row r="268" spans="1:15" ht="17.25" customHeight="1">
      <c r="A268" s="44"/>
      <c r="B268" s="44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</row>
    <row r="269" spans="1:15" ht="17.25" customHeight="1">
      <c r="A269" s="44"/>
      <c r="B269" s="44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</row>
    <row r="270" spans="1:15" ht="17.25" customHeight="1">
      <c r="A270" s="44"/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</row>
    <row r="271" spans="1:15" ht="17.25" customHeight="1">
      <c r="A271" s="44"/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</row>
    <row r="272" spans="1:15" ht="17.25" customHeight="1">
      <c r="A272" s="44"/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</row>
    <row r="273" spans="1:15" ht="17.25" customHeight="1">
      <c r="A273" s="44"/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</row>
    <row r="274" spans="1:15" ht="17.25" customHeight="1">
      <c r="A274" s="44"/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</row>
    <row r="275" spans="1:15" ht="17.25" customHeight="1">
      <c r="A275" s="44"/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</row>
    <row r="276" spans="1:15" ht="17.25" customHeight="1">
      <c r="A276" s="44"/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</row>
    <row r="277" spans="1:15" ht="17.25" customHeight="1">
      <c r="A277" s="44"/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</row>
    <row r="278" spans="1:15" ht="17.25" customHeight="1">
      <c r="A278" s="44"/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</row>
    <row r="279" spans="1:15" ht="17.25" customHeight="1">
      <c r="A279" s="44"/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</row>
    <row r="280" spans="1:15" ht="17.25" customHeight="1">
      <c r="A280" s="44"/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</row>
    <row r="281" spans="1:15" ht="17.25" customHeight="1">
      <c r="A281" s="44"/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</row>
    <row r="282" spans="1:15" ht="17.25" customHeight="1">
      <c r="A282" s="44"/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</row>
    <row r="283" spans="1:15" ht="17.25" customHeight="1">
      <c r="A283" s="44"/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</row>
    <row r="284" spans="1:15" ht="17.25" customHeight="1">
      <c r="A284" s="44"/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</row>
    <row r="285" spans="1:15" ht="17.25" customHeight="1">
      <c r="A285" s="44"/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</row>
    <row r="286" spans="1:15" ht="17.25" customHeight="1">
      <c r="A286" s="44"/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</row>
    <row r="287" spans="1:15" ht="17.25" customHeight="1">
      <c r="A287" s="44"/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</row>
    <row r="288" spans="1:15" ht="17.25" customHeight="1">
      <c r="A288" s="44"/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</row>
    <row r="289" spans="1:15" ht="17.25" customHeight="1">
      <c r="A289" s="44"/>
      <c r="B289" s="44"/>
      <c r="C289" s="44"/>
      <c r="D289" s="44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</row>
    <row r="290" spans="1:15" ht="17.25" customHeight="1">
      <c r="A290" s="44"/>
      <c r="B290" s="44"/>
      <c r="C290" s="44"/>
      <c r="D290" s="44"/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44"/>
    </row>
    <row r="291" spans="1:15" ht="17.25" customHeight="1">
      <c r="A291" s="44"/>
      <c r="B291" s="44"/>
      <c r="C291" s="44"/>
      <c r="D291" s="44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</row>
    <row r="292" spans="1:15" ht="17.25" customHeight="1">
      <c r="A292" s="44"/>
      <c r="B292" s="44"/>
      <c r="C292" s="44"/>
      <c r="D292" s="44"/>
      <c r="E292" s="44"/>
      <c r="F292" s="44"/>
      <c r="G292" s="44"/>
      <c r="H292" s="44"/>
      <c r="I292" s="44"/>
      <c r="J292" s="44"/>
      <c r="K292" s="44"/>
      <c r="L292" s="44"/>
      <c r="M292" s="44"/>
      <c r="N292" s="44"/>
      <c r="O292" s="44"/>
    </row>
    <row r="293" spans="1:15" ht="17.25" customHeight="1">
      <c r="A293" s="44"/>
      <c r="B293" s="44"/>
      <c r="C293" s="44"/>
      <c r="D293" s="44"/>
      <c r="E293" s="44"/>
      <c r="F293" s="44"/>
      <c r="G293" s="44"/>
      <c r="H293" s="44"/>
      <c r="I293" s="44"/>
      <c r="J293" s="44"/>
      <c r="K293" s="44"/>
      <c r="L293" s="44"/>
      <c r="M293" s="44"/>
      <c r="N293" s="44"/>
      <c r="O293" s="44"/>
    </row>
    <row r="294" spans="1:15" ht="17.25" customHeight="1">
      <c r="A294" s="44"/>
      <c r="B294" s="44"/>
      <c r="C294" s="44"/>
      <c r="D294" s="44"/>
      <c r="E294" s="44"/>
      <c r="F294" s="44"/>
      <c r="G294" s="44"/>
      <c r="H294" s="44"/>
      <c r="I294" s="44"/>
      <c r="J294" s="44"/>
      <c r="K294" s="44"/>
      <c r="L294" s="44"/>
      <c r="M294" s="44"/>
      <c r="N294" s="44"/>
      <c r="O294" s="44"/>
    </row>
    <row r="295" spans="1:15" ht="17.25" customHeight="1">
      <c r="A295" s="44"/>
      <c r="B295" s="44"/>
      <c r="C295" s="44"/>
      <c r="D295" s="44"/>
      <c r="E295" s="44"/>
      <c r="F295" s="44"/>
      <c r="G295" s="44"/>
      <c r="H295" s="44"/>
      <c r="I295" s="44"/>
      <c r="J295" s="44"/>
      <c r="K295" s="44"/>
      <c r="L295" s="44"/>
      <c r="M295" s="44"/>
      <c r="N295" s="44"/>
      <c r="O295" s="44"/>
    </row>
    <row r="296" spans="1:15" ht="17.25" customHeight="1">
      <c r="A296" s="44"/>
      <c r="B296" s="44"/>
      <c r="C296" s="44"/>
      <c r="D296" s="44"/>
      <c r="E296" s="44"/>
      <c r="F296" s="44"/>
      <c r="G296" s="44"/>
      <c r="H296" s="44"/>
      <c r="I296" s="44"/>
      <c r="J296" s="44"/>
      <c r="K296" s="44"/>
      <c r="L296" s="44"/>
      <c r="M296" s="44"/>
      <c r="N296" s="44"/>
      <c r="O296" s="44"/>
    </row>
    <row r="297" spans="1:15" ht="17.25" customHeight="1">
      <c r="A297" s="44"/>
      <c r="B297" s="44"/>
      <c r="C297" s="44"/>
      <c r="D297" s="44"/>
      <c r="E297" s="44"/>
      <c r="F297" s="44"/>
      <c r="G297" s="44"/>
      <c r="H297" s="44"/>
      <c r="I297" s="44"/>
      <c r="J297" s="44"/>
      <c r="K297" s="44"/>
      <c r="L297" s="44"/>
      <c r="M297" s="44"/>
      <c r="N297" s="44"/>
      <c r="O297" s="44"/>
    </row>
    <row r="298" spans="1:15" ht="17.25" customHeight="1">
      <c r="A298" s="44"/>
      <c r="B298" s="44"/>
      <c r="C298" s="44"/>
      <c r="D298" s="44"/>
      <c r="E298" s="44"/>
      <c r="F298" s="44"/>
      <c r="G298" s="44"/>
      <c r="H298" s="44"/>
      <c r="I298" s="44"/>
      <c r="J298" s="44"/>
      <c r="K298" s="44"/>
      <c r="L298" s="44"/>
      <c r="M298" s="44"/>
      <c r="N298" s="44"/>
      <c r="O298" s="44"/>
    </row>
    <row r="299" spans="1:15" ht="17.25" customHeight="1">
      <c r="A299" s="44"/>
      <c r="B299" s="44"/>
      <c r="C299" s="44"/>
      <c r="D299" s="44"/>
      <c r="E299" s="44"/>
      <c r="F299" s="44"/>
      <c r="G299" s="44"/>
      <c r="H299" s="44"/>
      <c r="I299" s="44"/>
      <c r="J299" s="44"/>
      <c r="K299" s="44"/>
      <c r="L299" s="44"/>
      <c r="M299" s="44"/>
      <c r="N299" s="44"/>
      <c r="O299" s="44"/>
    </row>
    <row r="300" spans="1:15" ht="17.25" customHeight="1">
      <c r="A300" s="44"/>
      <c r="B300" s="44"/>
      <c r="C300" s="44"/>
      <c r="D300" s="44"/>
      <c r="E300" s="44"/>
      <c r="F300" s="44"/>
      <c r="G300" s="44"/>
      <c r="H300" s="44"/>
      <c r="I300" s="44"/>
      <c r="J300" s="44"/>
      <c r="K300" s="44"/>
      <c r="L300" s="44"/>
      <c r="M300" s="44"/>
      <c r="N300" s="44"/>
      <c r="O300" s="44"/>
    </row>
    <row r="301" spans="1:15" ht="17.25" customHeight="1">
      <c r="A301" s="44"/>
      <c r="B301" s="44"/>
      <c r="C301" s="44"/>
      <c r="D301" s="44"/>
      <c r="E301" s="44"/>
      <c r="F301" s="44"/>
      <c r="G301" s="44"/>
      <c r="H301" s="44"/>
      <c r="I301" s="44"/>
      <c r="J301" s="44"/>
      <c r="K301" s="44"/>
      <c r="L301" s="44"/>
      <c r="M301" s="44"/>
      <c r="N301" s="44"/>
      <c r="O301" s="44"/>
    </row>
    <row r="302" spans="1:15" ht="17.25" customHeight="1">
      <c r="A302" s="44"/>
      <c r="B302" s="44"/>
      <c r="C302" s="44"/>
      <c r="D302" s="44"/>
      <c r="E302" s="44"/>
      <c r="F302" s="44"/>
      <c r="G302" s="44"/>
      <c r="H302" s="44"/>
      <c r="I302" s="44"/>
      <c r="J302" s="44"/>
      <c r="K302" s="44"/>
      <c r="L302" s="44"/>
      <c r="M302" s="44"/>
      <c r="N302" s="44"/>
      <c r="O302" s="44"/>
    </row>
    <row r="303" spans="1:15" ht="17.25" customHeight="1">
      <c r="A303" s="44"/>
      <c r="B303" s="44"/>
      <c r="C303" s="44"/>
      <c r="D303" s="44"/>
      <c r="E303" s="44"/>
      <c r="F303" s="44"/>
      <c r="G303" s="44"/>
      <c r="H303" s="44"/>
      <c r="I303" s="44"/>
      <c r="J303" s="44"/>
      <c r="K303" s="44"/>
      <c r="L303" s="44"/>
      <c r="M303" s="44"/>
      <c r="N303" s="44"/>
      <c r="O303" s="44"/>
    </row>
    <row r="304" spans="1:15" ht="17.25" customHeight="1">
      <c r="A304" s="44"/>
      <c r="B304" s="44"/>
      <c r="C304" s="44"/>
      <c r="D304" s="44"/>
      <c r="E304" s="44"/>
      <c r="F304" s="44"/>
      <c r="G304" s="44"/>
      <c r="H304" s="44"/>
      <c r="I304" s="44"/>
      <c r="J304" s="44"/>
      <c r="K304" s="44"/>
      <c r="L304" s="44"/>
      <c r="M304" s="44"/>
      <c r="N304" s="44"/>
      <c r="O304" s="44"/>
    </row>
    <row r="305" spans="1:15" ht="17.25" customHeight="1">
      <c r="A305" s="44"/>
      <c r="B305" s="44"/>
      <c r="C305" s="44"/>
      <c r="D305" s="44"/>
      <c r="E305" s="44"/>
      <c r="F305" s="44"/>
      <c r="G305" s="44"/>
      <c r="H305" s="44"/>
      <c r="I305" s="44"/>
      <c r="J305" s="44"/>
      <c r="K305" s="44"/>
      <c r="L305" s="44"/>
      <c r="M305" s="44"/>
      <c r="N305" s="44"/>
      <c r="O305" s="44"/>
    </row>
    <row r="306" spans="1:15" ht="17.25" customHeight="1">
      <c r="A306" s="44"/>
      <c r="B306" s="44"/>
      <c r="C306" s="44"/>
      <c r="D306" s="44"/>
      <c r="E306" s="44"/>
      <c r="F306" s="44"/>
      <c r="G306" s="44"/>
      <c r="H306" s="44"/>
      <c r="I306" s="44"/>
      <c r="J306" s="44"/>
      <c r="K306" s="44"/>
      <c r="L306" s="44"/>
      <c r="M306" s="44"/>
      <c r="N306" s="44"/>
      <c r="O306" s="44"/>
    </row>
    <row r="307" spans="1:15" ht="17.25" customHeight="1">
      <c r="A307" s="44"/>
      <c r="B307" s="44"/>
      <c r="C307" s="44"/>
      <c r="D307" s="44"/>
      <c r="E307" s="44"/>
      <c r="F307" s="44"/>
      <c r="G307" s="44"/>
      <c r="H307" s="44"/>
      <c r="I307" s="44"/>
      <c r="J307" s="44"/>
      <c r="K307" s="44"/>
      <c r="L307" s="44"/>
      <c r="M307" s="44"/>
      <c r="N307" s="44"/>
      <c r="O307" s="44"/>
    </row>
    <row r="308" spans="1:15" ht="17.25" customHeight="1">
      <c r="A308" s="44"/>
      <c r="B308" s="44"/>
      <c r="C308" s="44"/>
      <c r="D308" s="44"/>
      <c r="E308" s="44"/>
      <c r="F308" s="44"/>
      <c r="G308" s="44"/>
      <c r="H308" s="44"/>
      <c r="I308" s="44"/>
      <c r="J308" s="44"/>
      <c r="K308" s="44"/>
      <c r="L308" s="44"/>
      <c r="M308" s="44"/>
      <c r="N308" s="44"/>
      <c r="O308" s="44"/>
    </row>
    <row r="309" spans="1:15" ht="17.25" customHeight="1">
      <c r="A309" s="44"/>
      <c r="B309" s="44"/>
      <c r="C309" s="44"/>
      <c r="D309" s="44"/>
      <c r="E309" s="44"/>
      <c r="F309" s="44"/>
      <c r="G309" s="44"/>
      <c r="H309" s="44"/>
      <c r="I309" s="44"/>
      <c r="J309" s="44"/>
      <c r="K309" s="44"/>
      <c r="L309" s="44"/>
      <c r="M309" s="44"/>
      <c r="N309" s="44"/>
      <c r="O309" s="44"/>
    </row>
    <row r="310" spans="1:15" ht="17.25" customHeight="1">
      <c r="A310" s="44"/>
      <c r="B310" s="44"/>
      <c r="C310" s="44"/>
      <c r="D310" s="44"/>
      <c r="E310" s="44"/>
      <c r="F310" s="44"/>
      <c r="G310" s="44"/>
      <c r="H310" s="44"/>
      <c r="I310" s="44"/>
      <c r="J310" s="44"/>
      <c r="K310" s="44"/>
      <c r="L310" s="44"/>
      <c r="M310" s="44"/>
      <c r="N310" s="44"/>
      <c r="O310" s="44"/>
    </row>
    <row r="311" spans="1:15" ht="17.25" customHeight="1">
      <c r="A311" s="44"/>
      <c r="B311" s="44"/>
      <c r="C311" s="44"/>
      <c r="D311" s="44"/>
      <c r="E311" s="44"/>
      <c r="F311" s="44"/>
      <c r="G311" s="44"/>
      <c r="H311" s="44"/>
      <c r="I311" s="44"/>
      <c r="J311" s="44"/>
      <c r="K311" s="44"/>
      <c r="L311" s="44"/>
      <c r="M311" s="44"/>
      <c r="N311" s="44"/>
      <c r="O311" s="44"/>
    </row>
    <row r="312" spans="1:15" ht="17.25" customHeight="1">
      <c r="A312" s="44"/>
      <c r="B312" s="44"/>
      <c r="C312" s="44"/>
      <c r="D312" s="44"/>
      <c r="E312" s="44"/>
      <c r="F312" s="44"/>
      <c r="G312" s="44"/>
      <c r="H312" s="44"/>
      <c r="I312" s="44"/>
      <c r="J312" s="44"/>
      <c r="K312" s="44"/>
      <c r="L312" s="44"/>
      <c r="M312" s="44"/>
      <c r="N312" s="44"/>
      <c r="O312" s="44"/>
    </row>
    <row r="313" spans="1:15" ht="17.25" customHeight="1">
      <c r="A313" s="44"/>
      <c r="B313" s="44"/>
      <c r="C313" s="44"/>
      <c r="D313" s="44"/>
      <c r="E313" s="44"/>
      <c r="F313" s="44"/>
      <c r="G313" s="44"/>
      <c r="H313" s="44"/>
      <c r="I313" s="44"/>
      <c r="J313" s="44"/>
      <c r="K313" s="44"/>
      <c r="L313" s="44"/>
      <c r="M313" s="44"/>
      <c r="N313" s="44"/>
      <c r="O313" s="44"/>
    </row>
    <row r="314" spans="1:15" ht="17.25" customHeight="1">
      <c r="A314" s="44"/>
      <c r="B314" s="44"/>
      <c r="C314" s="44"/>
      <c r="D314" s="44"/>
      <c r="E314" s="44"/>
      <c r="F314" s="44"/>
      <c r="G314" s="44"/>
      <c r="H314" s="44"/>
      <c r="I314" s="44"/>
      <c r="J314" s="44"/>
      <c r="K314" s="44"/>
      <c r="L314" s="44"/>
      <c r="M314" s="44"/>
      <c r="N314" s="44"/>
      <c r="O314" s="44"/>
    </row>
    <row r="315" spans="1:15" ht="17.25" customHeight="1">
      <c r="A315" s="44"/>
      <c r="B315" s="44"/>
      <c r="C315" s="44"/>
      <c r="D315" s="44"/>
      <c r="E315" s="44"/>
      <c r="F315" s="44"/>
      <c r="G315" s="44"/>
      <c r="H315" s="44"/>
      <c r="I315" s="44"/>
      <c r="J315" s="44"/>
      <c r="K315" s="44"/>
      <c r="L315" s="44"/>
      <c r="M315" s="44"/>
      <c r="N315" s="44"/>
      <c r="O315" s="44"/>
    </row>
    <row r="316" spans="1:15" ht="17.25" customHeight="1">
      <c r="A316" s="44"/>
      <c r="B316" s="44"/>
      <c r="C316" s="44"/>
      <c r="D316" s="44"/>
      <c r="E316" s="44"/>
      <c r="F316" s="44"/>
      <c r="G316" s="44"/>
      <c r="H316" s="44"/>
      <c r="I316" s="44"/>
      <c r="J316" s="44"/>
      <c r="K316" s="44"/>
      <c r="L316" s="44"/>
      <c r="M316" s="44"/>
      <c r="N316" s="44"/>
      <c r="O316" s="44"/>
    </row>
    <row r="317" spans="1:15" ht="17.25" customHeight="1">
      <c r="A317" s="44"/>
      <c r="B317" s="44"/>
      <c r="C317" s="44"/>
      <c r="D317" s="44"/>
      <c r="E317" s="44"/>
      <c r="F317" s="44"/>
      <c r="G317" s="44"/>
      <c r="H317" s="44"/>
      <c r="I317" s="44"/>
      <c r="J317" s="44"/>
      <c r="K317" s="44"/>
      <c r="L317" s="44"/>
      <c r="M317" s="44"/>
      <c r="N317" s="44"/>
      <c r="O317" s="44"/>
    </row>
    <row r="318" spans="1:15" ht="17.25" customHeight="1">
      <c r="A318" s="44"/>
      <c r="B318" s="44"/>
      <c r="C318" s="44"/>
      <c r="D318" s="44"/>
      <c r="E318" s="44"/>
      <c r="F318" s="44"/>
      <c r="G318" s="44"/>
      <c r="H318" s="44"/>
      <c r="I318" s="44"/>
      <c r="J318" s="44"/>
      <c r="K318" s="44"/>
      <c r="L318" s="44"/>
      <c r="M318" s="44"/>
      <c r="N318" s="44"/>
      <c r="O318" s="44"/>
    </row>
    <row r="319" spans="1:15" ht="17.25" customHeight="1">
      <c r="A319" s="44"/>
      <c r="B319" s="44"/>
      <c r="C319" s="44"/>
      <c r="D319" s="44"/>
      <c r="E319" s="44"/>
      <c r="F319" s="44"/>
      <c r="G319" s="44"/>
      <c r="H319" s="44"/>
      <c r="I319" s="44"/>
      <c r="J319" s="44"/>
      <c r="K319" s="44"/>
      <c r="L319" s="44"/>
      <c r="M319" s="44"/>
      <c r="N319" s="44"/>
      <c r="O319" s="44"/>
    </row>
    <row r="320" spans="1:15" ht="17.25" customHeight="1">
      <c r="A320" s="44"/>
      <c r="B320" s="44"/>
      <c r="C320" s="44"/>
      <c r="D320" s="44"/>
      <c r="E320" s="44"/>
      <c r="F320" s="44"/>
      <c r="G320" s="44"/>
      <c r="H320" s="44"/>
      <c r="I320" s="44"/>
      <c r="J320" s="44"/>
      <c r="K320" s="44"/>
      <c r="L320" s="44"/>
      <c r="M320" s="44"/>
      <c r="N320" s="44"/>
      <c r="O320" s="44"/>
    </row>
    <row r="321" spans="1:15" ht="17.25" customHeight="1">
      <c r="A321" s="44"/>
      <c r="B321" s="44"/>
      <c r="C321" s="44"/>
      <c r="D321" s="44"/>
      <c r="E321" s="44"/>
      <c r="F321" s="44"/>
      <c r="G321" s="44"/>
      <c r="H321" s="44"/>
      <c r="I321" s="44"/>
      <c r="J321" s="44"/>
      <c r="K321" s="44"/>
      <c r="L321" s="44"/>
      <c r="M321" s="44"/>
      <c r="N321" s="44"/>
      <c r="O321" s="44"/>
    </row>
    <row r="322" spans="1:15" ht="17.25" customHeight="1">
      <c r="A322" s="44"/>
      <c r="B322" s="44"/>
      <c r="C322" s="44"/>
      <c r="D322" s="44"/>
      <c r="E322" s="44"/>
      <c r="F322" s="44"/>
      <c r="G322" s="44"/>
      <c r="H322" s="44"/>
      <c r="I322" s="44"/>
      <c r="J322" s="44"/>
      <c r="K322" s="44"/>
      <c r="L322" s="44"/>
      <c r="M322" s="44"/>
      <c r="N322" s="44"/>
      <c r="O322" s="44"/>
    </row>
    <row r="323" spans="1:15" ht="17.25" customHeight="1">
      <c r="A323" s="44"/>
      <c r="B323" s="44"/>
      <c r="C323" s="44"/>
      <c r="D323" s="44"/>
      <c r="E323" s="44"/>
      <c r="F323" s="44"/>
      <c r="G323" s="44"/>
      <c r="H323" s="44"/>
      <c r="I323" s="44"/>
      <c r="J323" s="44"/>
      <c r="K323" s="44"/>
      <c r="L323" s="44"/>
      <c r="M323" s="44"/>
      <c r="N323" s="44"/>
      <c r="O323" s="44"/>
    </row>
    <row r="324" spans="1:15" ht="17.25" customHeight="1">
      <c r="A324" s="44"/>
      <c r="B324" s="44"/>
      <c r="C324" s="44"/>
      <c r="D324" s="44"/>
      <c r="E324" s="44"/>
      <c r="F324" s="44"/>
      <c r="G324" s="44"/>
      <c r="H324" s="44"/>
      <c r="I324" s="44"/>
      <c r="J324" s="44"/>
      <c r="K324" s="44"/>
      <c r="L324" s="44"/>
      <c r="M324" s="44"/>
      <c r="N324" s="44"/>
      <c r="O324" s="44"/>
    </row>
    <row r="325" spans="1:15" ht="17.25" customHeight="1">
      <c r="A325" s="44"/>
      <c r="B325" s="44"/>
      <c r="C325" s="44"/>
      <c r="D325" s="44"/>
      <c r="E325" s="44"/>
      <c r="F325" s="44"/>
      <c r="G325" s="44"/>
      <c r="H325" s="44"/>
      <c r="I325" s="44"/>
      <c r="J325" s="44"/>
      <c r="K325" s="44"/>
      <c r="L325" s="44"/>
      <c r="M325" s="44"/>
      <c r="N325" s="44"/>
      <c r="O325" s="44"/>
    </row>
    <row r="326" spans="1:15" ht="17.25" customHeight="1">
      <c r="A326" s="44"/>
      <c r="B326" s="44"/>
      <c r="C326" s="44"/>
      <c r="D326" s="44"/>
      <c r="E326" s="44"/>
      <c r="F326" s="44"/>
      <c r="G326" s="44"/>
      <c r="H326" s="44"/>
      <c r="I326" s="44"/>
      <c r="J326" s="44"/>
      <c r="K326" s="44"/>
      <c r="L326" s="44"/>
      <c r="M326" s="44"/>
      <c r="N326" s="44"/>
      <c r="O326" s="44"/>
    </row>
    <row r="327" spans="1:15" ht="17.25" customHeight="1">
      <c r="A327" s="44"/>
      <c r="B327" s="44"/>
      <c r="C327" s="44"/>
      <c r="D327" s="44"/>
      <c r="E327" s="44"/>
      <c r="F327" s="44"/>
      <c r="G327" s="44"/>
      <c r="H327" s="44"/>
      <c r="I327" s="44"/>
      <c r="J327" s="44"/>
      <c r="K327" s="44"/>
      <c r="L327" s="44"/>
      <c r="M327" s="44"/>
      <c r="N327" s="44"/>
      <c r="O327" s="44"/>
    </row>
    <row r="328" spans="1:15" ht="17.25" customHeight="1">
      <c r="A328" s="44"/>
      <c r="B328" s="44"/>
      <c r="C328" s="44"/>
      <c r="D328" s="44"/>
      <c r="E328" s="44"/>
      <c r="F328" s="44"/>
      <c r="G328" s="44"/>
      <c r="H328" s="44"/>
      <c r="I328" s="44"/>
      <c r="J328" s="44"/>
      <c r="K328" s="44"/>
      <c r="L328" s="44"/>
      <c r="M328" s="44"/>
      <c r="N328" s="44"/>
      <c r="O328" s="44"/>
    </row>
    <row r="329" spans="1:15" ht="17.25" customHeight="1">
      <c r="A329" s="44"/>
      <c r="B329" s="44"/>
      <c r="C329" s="44"/>
      <c r="D329" s="44"/>
      <c r="E329" s="44"/>
      <c r="F329" s="44"/>
      <c r="G329" s="44"/>
      <c r="H329" s="44"/>
      <c r="I329" s="44"/>
      <c r="J329" s="44"/>
      <c r="K329" s="44"/>
      <c r="L329" s="44"/>
      <c r="M329" s="44"/>
      <c r="N329" s="44"/>
      <c r="O329" s="44"/>
    </row>
    <row r="330" spans="1:15" ht="17.25" customHeight="1">
      <c r="A330" s="44"/>
      <c r="B330" s="44"/>
      <c r="C330" s="44"/>
      <c r="D330" s="44"/>
      <c r="E330" s="44"/>
      <c r="F330" s="44"/>
      <c r="G330" s="44"/>
      <c r="H330" s="44"/>
      <c r="I330" s="44"/>
      <c r="J330" s="44"/>
      <c r="K330" s="44"/>
      <c r="L330" s="44"/>
      <c r="M330" s="44"/>
      <c r="N330" s="44"/>
      <c r="O330" s="44"/>
    </row>
    <row r="331" spans="1:15" ht="17.25" customHeight="1">
      <c r="A331" s="44"/>
      <c r="B331" s="44"/>
      <c r="C331" s="44"/>
      <c r="D331" s="44"/>
      <c r="E331" s="44"/>
      <c r="F331" s="44"/>
      <c r="G331" s="44"/>
      <c r="H331" s="44"/>
      <c r="I331" s="44"/>
      <c r="J331" s="44"/>
      <c r="K331" s="44"/>
      <c r="L331" s="44"/>
      <c r="M331" s="44"/>
      <c r="N331" s="44"/>
      <c r="O331" s="44"/>
    </row>
    <row r="332" spans="1:15" ht="17.25" customHeight="1">
      <c r="A332" s="44"/>
      <c r="B332" s="44"/>
      <c r="C332" s="44"/>
      <c r="D332" s="44"/>
      <c r="E332" s="44"/>
      <c r="F332" s="44"/>
      <c r="G332" s="44"/>
      <c r="H332" s="44"/>
      <c r="I332" s="44"/>
      <c r="J332" s="44"/>
      <c r="K332" s="44"/>
      <c r="L332" s="44"/>
      <c r="M332" s="44"/>
      <c r="N332" s="44"/>
      <c r="O332" s="44"/>
    </row>
    <row r="333" spans="1:15" ht="17.25" customHeight="1">
      <c r="A333" s="44"/>
      <c r="B333" s="44"/>
      <c r="C333" s="44"/>
      <c r="D333" s="44"/>
      <c r="E333" s="44"/>
      <c r="F333" s="44"/>
      <c r="G333" s="44"/>
      <c r="H333" s="44"/>
      <c r="I333" s="44"/>
      <c r="J333" s="44"/>
      <c r="K333" s="44"/>
      <c r="L333" s="44"/>
      <c r="M333" s="44"/>
      <c r="N333" s="44"/>
      <c r="O333" s="44"/>
    </row>
    <row r="334" spans="1:15" ht="17.25" customHeight="1">
      <c r="A334" s="44"/>
      <c r="B334" s="44"/>
      <c r="C334" s="44"/>
      <c r="D334" s="44"/>
      <c r="E334" s="44"/>
      <c r="F334" s="44"/>
      <c r="G334" s="44"/>
      <c r="H334" s="44"/>
      <c r="I334" s="44"/>
      <c r="J334" s="44"/>
      <c r="K334" s="44"/>
      <c r="L334" s="44"/>
      <c r="M334" s="44"/>
      <c r="N334" s="44"/>
      <c r="O334" s="44"/>
    </row>
    <row r="335" spans="1:15" ht="17.25" customHeight="1">
      <c r="A335" s="44"/>
      <c r="B335" s="44"/>
      <c r="C335" s="44"/>
      <c r="D335" s="44"/>
      <c r="E335" s="44"/>
      <c r="F335" s="44"/>
      <c r="G335" s="44"/>
      <c r="H335" s="44"/>
      <c r="I335" s="44"/>
      <c r="J335" s="44"/>
      <c r="K335" s="44"/>
      <c r="L335" s="44"/>
      <c r="M335" s="44"/>
      <c r="N335" s="44"/>
      <c r="O335" s="44"/>
    </row>
    <row r="336" spans="1:15" ht="17.25" customHeight="1">
      <c r="A336" s="44"/>
      <c r="B336" s="44"/>
      <c r="C336" s="44"/>
      <c r="D336" s="44"/>
      <c r="E336" s="44"/>
      <c r="F336" s="44"/>
      <c r="G336" s="44"/>
      <c r="H336" s="44"/>
      <c r="I336" s="44"/>
      <c r="J336" s="44"/>
      <c r="K336" s="44"/>
      <c r="L336" s="44"/>
      <c r="M336" s="44"/>
      <c r="N336" s="44"/>
      <c r="O336" s="44"/>
    </row>
    <row r="337" spans="1:15" ht="17.25" customHeight="1">
      <c r="A337" s="44"/>
      <c r="B337" s="44"/>
      <c r="C337" s="44"/>
      <c r="D337" s="44"/>
      <c r="E337" s="44"/>
      <c r="F337" s="44"/>
      <c r="G337" s="44"/>
      <c r="H337" s="44"/>
      <c r="I337" s="44"/>
      <c r="J337" s="44"/>
      <c r="K337" s="44"/>
      <c r="L337" s="44"/>
      <c r="M337" s="44"/>
      <c r="N337" s="44"/>
      <c r="O337" s="44"/>
    </row>
    <row r="338" spans="1:15" ht="17.25" customHeight="1">
      <c r="A338" s="44"/>
      <c r="B338" s="44"/>
      <c r="C338" s="44"/>
      <c r="D338" s="44"/>
      <c r="E338" s="44"/>
      <c r="F338" s="44"/>
      <c r="G338" s="44"/>
      <c r="H338" s="44"/>
      <c r="I338" s="44"/>
      <c r="J338" s="44"/>
      <c r="K338" s="44"/>
      <c r="L338" s="44"/>
      <c r="M338" s="44"/>
      <c r="N338" s="44"/>
      <c r="O338" s="44"/>
    </row>
    <row r="339" spans="1:15" ht="17.25" customHeight="1">
      <c r="A339" s="44"/>
      <c r="B339" s="44"/>
      <c r="C339" s="44"/>
      <c r="D339" s="44"/>
      <c r="E339" s="44"/>
      <c r="F339" s="44"/>
      <c r="G339" s="44"/>
      <c r="H339" s="44"/>
      <c r="I339" s="44"/>
      <c r="J339" s="44"/>
      <c r="K339" s="44"/>
      <c r="L339" s="44"/>
      <c r="M339" s="44"/>
      <c r="N339" s="44"/>
      <c r="O339" s="44"/>
    </row>
    <row r="340" spans="1:15" ht="17.25" customHeight="1">
      <c r="A340" s="44"/>
      <c r="B340" s="44"/>
      <c r="C340" s="44"/>
      <c r="D340" s="44"/>
      <c r="E340" s="44"/>
      <c r="F340" s="44"/>
      <c r="G340" s="44"/>
      <c r="H340" s="44"/>
      <c r="I340" s="44"/>
      <c r="J340" s="44"/>
      <c r="K340" s="44"/>
      <c r="L340" s="44"/>
      <c r="M340" s="44"/>
      <c r="N340" s="44"/>
      <c r="O340" s="44"/>
    </row>
    <row r="341" spans="1:15" ht="17.25" customHeight="1">
      <c r="A341" s="44"/>
      <c r="B341" s="44"/>
      <c r="C341" s="44"/>
      <c r="D341" s="44"/>
      <c r="E341" s="44"/>
      <c r="F341" s="44"/>
      <c r="G341" s="44"/>
      <c r="H341" s="44"/>
      <c r="I341" s="44"/>
      <c r="J341" s="44"/>
      <c r="K341" s="44"/>
      <c r="L341" s="44"/>
      <c r="M341" s="44"/>
      <c r="N341" s="44"/>
      <c r="O341" s="44"/>
    </row>
    <row r="342" spans="1:15" ht="17.25" customHeight="1">
      <c r="A342" s="44"/>
      <c r="B342" s="44"/>
      <c r="C342" s="44"/>
      <c r="D342" s="44"/>
      <c r="E342" s="44"/>
      <c r="F342" s="44"/>
      <c r="G342" s="44"/>
      <c r="H342" s="44"/>
      <c r="I342" s="44"/>
      <c r="J342" s="44"/>
      <c r="K342" s="44"/>
      <c r="L342" s="44"/>
      <c r="M342" s="44"/>
      <c r="N342" s="44"/>
      <c r="O342" s="44"/>
    </row>
    <row r="343" spans="1:15" ht="17.25" customHeight="1">
      <c r="A343" s="44"/>
      <c r="B343" s="44"/>
      <c r="C343" s="44"/>
      <c r="D343" s="44"/>
      <c r="E343" s="44"/>
      <c r="F343" s="44"/>
      <c r="G343" s="44"/>
      <c r="H343" s="44"/>
      <c r="I343" s="44"/>
      <c r="J343" s="44"/>
      <c r="K343" s="44"/>
      <c r="L343" s="44"/>
      <c r="M343" s="44"/>
      <c r="N343" s="44"/>
      <c r="O343" s="44"/>
    </row>
    <row r="344" spans="1:15" ht="17.25" customHeight="1">
      <c r="A344" s="44"/>
      <c r="B344" s="44"/>
      <c r="C344" s="44"/>
      <c r="D344" s="44"/>
      <c r="E344" s="44"/>
      <c r="F344" s="44"/>
      <c r="G344" s="44"/>
      <c r="H344" s="44"/>
      <c r="I344" s="44"/>
      <c r="J344" s="44"/>
      <c r="K344" s="44"/>
      <c r="L344" s="44"/>
      <c r="M344" s="44"/>
      <c r="N344" s="44"/>
      <c r="O344" s="44"/>
    </row>
    <row r="345" spans="1:15" ht="17.25" customHeight="1">
      <c r="A345" s="44"/>
      <c r="B345" s="44"/>
      <c r="C345" s="44"/>
      <c r="D345" s="44"/>
      <c r="E345" s="44"/>
      <c r="F345" s="44"/>
      <c r="G345" s="44"/>
      <c r="H345" s="44"/>
      <c r="I345" s="44"/>
      <c r="J345" s="44"/>
      <c r="K345" s="44"/>
      <c r="L345" s="44"/>
      <c r="M345" s="44"/>
      <c r="N345" s="44"/>
      <c r="O345" s="44"/>
    </row>
    <row r="346" spans="1:15" ht="17.25" customHeight="1">
      <c r="A346" s="44"/>
      <c r="B346" s="44"/>
      <c r="C346" s="44"/>
      <c r="D346" s="44"/>
      <c r="E346" s="44"/>
      <c r="F346" s="44"/>
      <c r="G346" s="44"/>
      <c r="H346" s="44"/>
      <c r="I346" s="44"/>
      <c r="J346" s="44"/>
      <c r="K346" s="44"/>
      <c r="L346" s="44"/>
      <c r="M346" s="44"/>
      <c r="N346" s="44"/>
      <c r="O346" s="44"/>
    </row>
    <row r="347" spans="1:15" ht="17.25" customHeight="1">
      <c r="A347" s="44"/>
      <c r="B347" s="44"/>
      <c r="C347" s="44"/>
      <c r="D347" s="44"/>
      <c r="E347" s="44"/>
      <c r="F347" s="44"/>
      <c r="G347" s="44"/>
      <c r="H347" s="44"/>
      <c r="I347" s="44"/>
      <c r="J347" s="44"/>
      <c r="K347" s="44"/>
      <c r="L347" s="44"/>
      <c r="M347" s="44"/>
      <c r="N347" s="44"/>
      <c r="O347" s="44"/>
    </row>
    <row r="348" spans="1:15" ht="17.25" customHeight="1">
      <c r="A348" s="44"/>
      <c r="B348" s="44"/>
      <c r="C348" s="44"/>
      <c r="D348" s="44"/>
      <c r="E348" s="44"/>
      <c r="F348" s="44"/>
      <c r="G348" s="44"/>
      <c r="H348" s="44"/>
      <c r="I348" s="44"/>
      <c r="J348" s="44"/>
      <c r="K348" s="44"/>
      <c r="L348" s="44"/>
      <c r="M348" s="44"/>
      <c r="N348" s="44"/>
      <c r="O348" s="44"/>
    </row>
    <row r="349" spans="1:15" ht="17.25" customHeight="1">
      <c r="A349" s="44"/>
      <c r="B349" s="44"/>
      <c r="C349" s="44"/>
      <c r="D349" s="44"/>
      <c r="E349" s="44"/>
      <c r="F349" s="44"/>
      <c r="G349" s="44"/>
      <c r="H349" s="44"/>
      <c r="I349" s="44"/>
      <c r="J349" s="44"/>
      <c r="K349" s="44"/>
      <c r="L349" s="44"/>
      <c r="M349" s="44"/>
      <c r="N349" s="44"/>
      <c r="O349" s="44"/>
    </row>
    <row r="350" spans="1:15" ht="17.25" customHeight="1">
      <c r="A350" s="44"/>
      <c r="B350" s="44"/>
      <c r="C350" s="44"/>
      <c r="D350" s="44"/>
      <c r="E350" s="44"/>
      <c r="F350" s="44"/>
      <c r="G350" s="44"/>
      <c r="H350" s="44"/>
      <c r="I350" s="44"/>
      <c r="J350" s="44"/>
      <c r="K350" s="44"/>
      <c r="L350" s="44"/>
      <c r="M350" s="44"/>
      <c r="N350" s="44"/>
      <c r="O350" s="44"/>
    </row>
    <row r="351" spans="1:15" ht="17.25" customHeight="1">
      <c r="A351" s="44"/>
      <c r="B351" s="44"/>
      <c r="C351" s="44"/>
      <c r="D351" s="44"/>
      <c r="E351" s="44"/>
      <c r="F351" s="44"/>
      <c r="G351" s="44"/>
      <c r="H351" s="44"/>
      <c r="I351" s="44"/>
      <c r="J351" s="44"/>
      <c r="K351" s="44"/>
      <c r="L351" s="44"/>
      <c r="M351" s="44"/>
      <c r="N351" s="44"/>
      <c r="O351" s="44"/>
    </row>
    <row r="352" spans="1:15" ht="17.25" customHeight="1">
      <c r="A352" s="44"/>
      <c r="B352" s="44"/>
      <c r="C352" s="44"/>
      <c r="D352" s="44"/>
      <c r="E352" s="44"/>
      <c r="F352" s="44"/>
      <c r="G352" s="44"/>
      <c r="H352" s="44"/>
      <c r="I352" s="44"/>
      <c r="J352" s="44"/>
      <c r="K352" s="44"/>
      <c r="L352" s="44"/>
      <c r="M352" s="44"/>
      <c r="N352" s="44"/>
      <c r="O352" s="44"/>
    </row>
    <row r="353" spans="1:15" ht="17.25" customHeight="1">
      <c r="A353" s="44"/>
      <c r="B353" s="44"/>
      <c r="C353" s="44"/>
      <c r="D353" s="44"/>
      <c r="E353" s="44"/>
      <c r="F353" s="44"/>
      <c r="G353" s="44"/>
      <c r="H353" s="44"/>
      <c r="I353" s="44"/>
      <c r="J353" s="44"/>
      <c r="K353" s="44"/>
      <c r="L353" s="44"/>
      <c r="M353" s="44"/>
      <c r="N353" s="44"/>
      <c r="O353" s="44"/>
    </row>
    <row r="354" spans="1:15" ht="17.25" customHeight="1">
      <c r="A354" s="44"/>
      <c r="B354" s="44"/>
      <c r="C354" s="44"/>
      <c r="D354" s="44"/>
      <c r="E354" s="44"/>
      <c r="F354" s="44"/>
      <c r="G354" s="44"/>
      <c r="H354" s="44"/>
      <c r="I354" s="44"/>
      <c r="J354" s="44"/>
      <c r="K354" s="44"/>
      <c r="L354" s="44"/>
      <c r="M354" s="44"/>
      <c r="N354" s="44"/>
      <c r="O354" s="44"/>
    </row>
    <row r="355" spans="1:15" ht="17.25" customHeight="1">
      <c r="A355" s="44"/>
      <c r="B355" s="44"/>
      <c r="C355" s="44"/>
      <c r="D355" s="44"/>
      <c r="E355" s="44"/>
      <c r="F355" s="44"/>
      <c r="G355" s="44"/>
      <c r="H355" s="44"/>
      <c r="I355" s="44"/>
      <c r="J355" s="44"/>
      <c r="K355" s="44"/>
      <c r="L355" s="44"/>
      <c r="M355" s="44"/>
      <c r="N355" s="44"/>
      <c r="O355" s="44"/>
    </row>
    <row r="356" spans="1:15" ht="17.25" customHeight="1">
      <c r="A356" s="44"/>
      <c r="B356" s="44"/>
      <c r="C356" s="44"/>
      <c r="D356" s="44"/>
      <c r="E356" s="44"/>
      <c r="F356" s="44"/>
      <c r="G356" s="44"/>
      <c r="H356" s="44"/>
      <c r="I356" s="44"/>
      <c r="J356" s="44"/>
      <c r="K356" s="44"/>
      <c r="L356" s="44"/>
      <c r="M356" s="44"/>
      <c r="N356" s="44"/>
      <c r="O356" s="44"/>
    </row>
    <row r="357" spans="1:15" ht="17.25" customHeight="1">
      <c r="A357" s="44"/>
      <c r="B357" s="44"/>
      <c r="C357" s="44"/>
      <c r="D357" s="44"/>
      <c r="E357" s="44"/>
      <c r="F357" s="44"/>
      <c r="G357" s="44"/>
      <c r="H357" s="44"/>
      <c r="I357" s="44"/>
      <c r="J357" s="44"/>
      <c r="K357" s="44"/>
      <c r="L357" s="44"/>
      <c r="M357" s="44"/>
      <c r="N357" s="44"/>
      <c r="O357" s="44"/>
    </row>
    <row r="358" spans="1:15" ht="17.25" customHeight="1">
      <c r="A358" s="44"/>
      <c r="B358" s="44"/>
      <c r="C358" s="44"/>
      <c r="D358" s="44"/>
      <c r="E358" s="44"/>
      <c r="F358" s="44"/>
      <c r="G358" s="44"/>
      <c r="H358" s="44"/>
      <c r="I358" s="44"/>
      <c r="J358" s="44"/>
      <c r="K358" s="44"/>
      <c r="L358" s="44"/>
      <c r="M358" s="44"/>
      <c r="N358" s="44"/>
      <c r="O358" s="44"/>
    </row>
    <row r="359" spans="1:15" ht="17.25" customHeight="1">
      <c r="A359" s="44"/>
      <c r="B359" s="44"/>
      <c r="C359" s="44"/>
      <c r="D359" s="44"/>
      <c r="E359" s="44"/>
      <c r="F359" s="44"/>
      <c r="G359" s="44"/>
      <c r="H359" s="44"/>
      <c r="I359" s="44"/>
      <c r="J359" s="44"/>
      <c r="K359" s="44"/>
      <c r="L359" s="44"/>
      <c r="M359" s="44"/>
      <c r="N359" s="44"/>
      <c r="O359" s="44"/>
    </row>
    <row r="360" spans="1:15" ht="17.25" customHeight="1">
      <c r="A360" s="44"/>
      <c r="B360" s="44"/>
      <c r="C360" s="44"/>
      <c r="D360" s="44"/>
      <c r="E360" s="44"/>
      <c r="F360" s="44"/>
      <c r="G360" s="44"/>
      <c r="H360" s="44"/>
      <c r="I360" s="44"/>
      <c r="J360" s="44"/>
      <c r="K360" s="44"/>
      <c r="L360" s="44"/>
      <c r="M360" s="44"/>
      <c r="N360" s="44"/>
      <c r="O360" s="44"/>
    </row>
    <row r="361" spans="1:15" ht="17.25" customHeight="1">
      <c r="A361" s="44"/>
      <c r="B361" s="44"/>
      <c r="C361" s="44"/>
      <c r="D361" s="44"/>
      <c r="E361" s="44"/>
      <c r="F361" s="44"/>
      <c r="G361" s="44"/>
      <c r="H361" s="44"/>
      <c r="I361" s="44"/>
      <c r="J361" s="44"/>
      <c r="K361" s="44"/>
      <c r="L361" s="44"/>
      <c r="M361" s="44"/>
      <c r="N361" s="44"/>
      <c r="O361" s="44"/>
    </row>
    <row r="362" spans="1:15" ht="17.25" customHeight="1">
      <c r="A362" s="44"/>
      <c r="B362" s="44"/>
      <c r="C362" s="44"/>
      <c r="D362" s="44"/>
      <c r="E362" s="44"/>
      <c r="F362" s="44"/>
      <c r="G362" s="44"/>
      <c r="H362" s="44"/>
      <c r="I362" s="44"/>
      <c r="J362" s="44"/>
      <c r="K362" s="44"/>
      <c r="L362" s="44"/>
      <c r="M362" s="44"/>
      <c r="N362" s="44"/>
      <c r="O362" s="44"/>
    </row>
    <row r="363" spans="1:15" ht="17.25" customHeight="1">
      <c r="A363" s="44"/>
      <c r="B363" s="44"/>
      <c r="C363" s="44"/>
      <c r="D363" s="44"/>
      <c r="E363" s="44"/>
      <c r="F363" s="44"/>
      <c r="G363" s="44"/>
      <c r="H363" s="44"/>
      <c r="I363" s="44"/>
      <c r="J363" s="44"/>
      <c r="K363" s="44"/>
      <c r="L363" s="44"/>
      <c r="M363" s="44"/>
      <c r="N363" s="44"/>
      <c r="O363" s="44"/>
    </row>
    <row r="364" spans="1:15" ht="17.25" customHeight="1">
      <c r="A364" s="44"/>
      <c r="B364" s="44"/>
      <c r="C364" s="44"/>
      <c r="D364" s="44"/>
      <c r="E364" s="44"/>
      <c r="F364" s="44"/>
      <c r="G364" s="44"/>
      <c r="H364" s="44"/>
      <c r="I364" s="44"/>
      <c r="J364" s="44"/>
      <c r="K364" s="44"/>
      <c r="L364" s="44"/>
      <c r="M364" s="44"/>
      <c r="N364" s="44"/>
      <c r="O364" s="44"/>
    </row>
    <row r="365" spans="1:15" ht="17.25" customHeight="1">
      <c r="A365" s="44"/>
      <c r="B365" s="44"/>
      <c r="C365" s="44"/>
      <c r="D365" s="44"/>
      <c r="E365" s="44"/>
      <c r="F365" s="44"/>
      <c r="G365" s="44"/>
      <c r="H365" s="44"/>
      <c r="I365" s="44"/>
      <c r="J365" s="44"/>
      <c r="K365" s="44"/>
      <c r="L365" s="44"/>
      <c r="M365" s="44"/>
      <c r="N365" s="44"/>
      <c r="O365" s="44"/>
    </row>
    <row r="366" spans="1:15" ht="17.25" customHeight="1">
      <c r="A366" s="44"/>
      <c r="B366" s="44"/>
      <c r="C366" s="44"/>
      <c r="D366" s="44"/>
      <c r="E366" s="44"/>
      <c r="F366" s="44"/>
      <c r="G366" s="44"/>
      <c r="H366" s="44"/>
      <c r="I366" s="44"/>
      <c r="J366" s="44"/>
      <c r="K366" s="44"/>
      <c r="L366" s="44"/>
      <c r="M366" s="44"/>
      <c r="N366" s="44"/>
      <c r="O366" s="44"/>
    </row>
    <row r="367" spans="1:15" ht="17.25" customHeight="1">
      <c r="A367" s="44"/>
      <c r="B367" s="44"/>
      <c r="C367" s="44"/>
      <c r="D367" s="44"/>
      <c r="E367" s="44"/>
      <c r="F367" s="44"/>
      <c r="G367" s="44"/>
      <c r="H367" s="44"/>
      <c r="I367" s="44"/>
      <c r="J367" s="44"/>
      <c r="K367" s="44"/>
      <c r="L367" s="44"/>
      <c r="M367" s="44"/>
      <c r="N367" s="44"/>
      <c r="O367" s="44"/>
    </row>
    <row r="368" spans="1:15" ht="17.25" customHeight="1">
      <c r="A368" s="44"/>
      <c r="B368" s="44"/>
      <c r="C368" s="44"/>
      <c r="D368" s="44"/>
      <c r="E368" s="44"/>
      <c r="F368" s="44"/>
      <c r="G368" s="44"/>
      <c r="H368" s="44"/>
      <c r="I368" s="44"/>
      <c r="J368" s="44"/>
      <c r="K368" s="44"/>
      <c r="L368" s="44"/>
      <c r="M368" s="44"/>
      <c r="N368" s="44"/>
      <c r="O368" s="44"/>
    </row>
    <row r="369" spans="1:15" ht="17.25" customHeight="1">
      <c r="A369" s="44"/>
      <c r="B369" s="44"/>
      <c r="C369" s="44"/>
      <c r="D369" s="44"/>
      <c r="E369" s="44"/>
      <c r="F369" s="44"/>
      <c r="G369" s="44"/>
      <c r="H369" s="44"/>
      <c r="I369" s="44"/>
      <c r="J369" s="44"/>
      <c r="K369" s="44"/>
      <c r="L369" s="44"/>
      <c r="M369" s="44"/>
      <c r="N369" s="44"/>
      <c r="O369" s="44"/>
    </row>
    <row r="370" spans="1:15" ht="17.25" customHeight="1">
      <c r="A370" s="44"/>
      <c r="B370" s="44"/>
      <c r="C370" s="44"/>
      <c r="D370" s="44"/>
      <c r="E370" s="44"/>
      <c r="F370" s="44"/>
      <c r="G370" s="44"/>
      <c r="H370" s="44"/>
      <c r="I370" s="44"/>
      <c r="J370" s="44"/>
      <c r="K370" s="44"/>
      <c r="L370" s="44"/>
      <c r="M370" s="44"/>
      <c r="N370" s="44"/>
      <c r="O370" s="44"/>
    </row>
    <row r="371" spans="1:15" ht="17.25" customHeight="1">
      <c r="A371" s="44"/>
      <c r="B371" s="44"/>
      <c r="C371" s="44"/>
      <c r="D371" s="44"/>
      <c r="E371" s="44"/>
      <c r="F371" s="44"/>
      <c r="G371" s="44"/>
      <c r="H371" s="44"/>
      <c r="I371" s="44"/>
      <c r="J371" s="44"/>
      <c r="K371" s="44"/>
      <c r="L371" s="44"/>
      <c r="M371" s="44"/>
      <c r="N371" s="44"/>
      <c r="O371" s="44"/>
    </row>
    <row r="372" spans="1:15" ht="17.25" customHeight="1">
      <c r="A372" s="44"/>
      <c r="B372" s="44"/>
      <c r="C372" s="44"/>
      <c r="D372" s="44"/>
      <c r="E372" s="44"/>
      <c r="F372" s="44"/>
      <c r="G372" s="44"/>
      <c r="H372" s="44"/>
      <c r="I372" s="44"/>
      <c r="J372" s="44"/>
      <c r="K372" s="44"/>
      <c r="L372" s="44"/>
      <c r="M372" s="44"/>
      <c r="N372" s="44"/>
      <c r="O372" s="44"/>
    </row>
    <row r="373" spans="1:15" ht="17.25" customHeight="1">
      <c r="A373" s="44"/>
      <c r="B373" s="44"/>
      <c r="C373" s="44"/>
      <c r="D373" s="44"/>
      <c r="E373" s="44"/>
      <c r="F373" s="44"/>
      <c r="G373" s="44"/>
      <c r="H373" s="44"/>
      <c r="I373" s="44"/>
      <c r="J373" s="44"/>
      <c r="K373" s="44"/>
      <c r="L373" s="44"/>
      <c r="M373" s="44"/>
      <c r="N373" s="44"/>
      <c r="O373" s="44"/>
    </row>
    <row r="374" spans="1:15" ht="17.25" customHeight="1">
      <c r="A374" s="44"/>
      <c r="B374" s="44"/>
      <c r="C374" s="44"/>
      <c r="D374" s="44"/>
      <c r="E374" s="44"/>
      <c r="F374" s="44"/>
      <c r="G374" s="44"/>
      <c r="H374" s="44"/>
      <c r="I374" s="44"/>
      <c r="J374" s="44"/>
      <c r="K374" s="44"/>
      <c r="L374" s="44"/>
      <c r="M374" s="44"/>
      <c r="N374" s="44"/>
      <c r="O374" s="44"/>
    </row>
    <row r="375" spans="1:15" ht="17.25" customHeight="1">
      <c r="A375" s="44"/>
      <c r="B375" s="44"/>
      <c r="C375" s="44"/>
      <c r="D375" s="44"/>
      <c r="E375" s="44"/>
      <c r="F375" s="44"/>
      <c r="G375" s="44"/>
      <c r="H375" s="44"/>
      <c r="I375" s="44"/>
      <c r="J375" s="44"/>
      <c r="K375" s="44"/>
      <c r="L375" s="44"/>
      <c r="M375" s="44"/>
      <c r="N375" s="44"/>
      <c r="O375" s="44"/>
    </row>
    <row r="376" spans="1:15" ht="17.25" customHeight="1">
      <c r="A376" s="44"/>
      <c r="B376" s="44"/>
      <c r="C376" s="44"/>
      <c r="D376" s="44"/>
      <c r="E376" s="44"/>
      <c r="F376" s="44"/>
      <c r="G376" s="44"/>
      <c r="H376" s="44"/>
      <c r="I376" s="44"/>
      <c r="J376" s="44"/>
      <c r="K376" s="44"/>
      <c r="L376" s="44"/>
      <c r="M376" s="44"/>
      <c r="N376" s="44"/>
      <c r="O376" s="44"/>
    </row>
    <row r="377" spans="1:15" ht="17.25" customHeight="1">
      <c r="A377" s="44"/>
      <c r="B377" s="44"/>
      <c r="C377" s="44"/>
      <c r="D377" s="44"/>
      <c r="E377" s="44"/>
      <c r="F377" s="44"/>
      <c r="G377" s="44"/>
      <c r="H377" s="44"/>
      <c r="I377" s="44"/>
      <c r="J377" s="44"/>
      <c r="K377" s="44"/>
      <c r="L377" s="44"/>
      <c r="M377" s="44"/>
      <c r="N377" s="44"/>
      <c r="O377" s="44"/>
    </row>
    <row r="378" spans="1:15" ht="17.25" customHeight="1">
      <c r="A378" s="44"/>
      <c r="B378" s="44"/>
      <c r="C378" s="44"/>
      <c r="D378" s="44"/>
      <c r="E378" s="44"/>
      <c r="F378" s="44"/>
      <c r="G378" s="44"/>
      <c r="H378" s="44"/>
      <c r="I378" s="44"/>
      <c r="J378" s="44"/>
      <c r="K378" s="44"/>
      <c r="L378" s="44"/>
      <c r="M378" s="44"/>
      <c r="N378" s="44"/>
      <c r="O378" s="44"/>
    </row>
    <row r="379" spans="1:15" ht="17.25" customHeight="1">
      <c r="A379" s="44"/>
      <c r="B379" s="44"/>
      <c r="C379" s="44"/>
      <c r="D379" s="44"/>
      <c r="E379" s="44"/>
      <c r="F379" s="44"/>
      <c r="G379" s="44"/>
      <c r="H379" s="44"/>
      <c r="I379" s="44"/>
      <c r="J379" s="44"/>
      <c r="K379" s="44"/>
      <c r="L379" s="44"/>
      <c r="M379" s="44"/>
      <c r="N379" s="44"/>
      <c r="O379" s="44"/>
    </row>
    <row r="380" spans="1:15" ht="17.25" customHeight="1">
      <c r="A380" s="44"/>
      <c r="B380" s="44"/>
      <c r="C380" s="44"/>
      <c r="D380" s="44"/>
      <c r="E380" s="44"/>
      <c r="F380" s="44"/>
      <c r="G380" s="44"/>
      <c r="H380" s="44"/>
      <c r="I380" s="44"/>
      <c r="J380" s="44"/>
      <c r="K380" s="44"/>
      <c r="L380" s="44"/>
      <c r="M380" s="44"/>
      <c r="N380" s="44"/>
      <c r="O380" s="44"/>
    </row>
    <row r="381" spans="1:15" ht="17.25" customHeight="1">
      <c r="A381" s="44"/>
      <c r="B381" s="44"/>
      <c r="C381" s="44"/>
      <c r="D381" s="44"/>
      <c r="E381" s="44"/>
      <c r="F381" s="44"/>
      <c r="G381" s="44"/>
      <c r="H381" s="44"/>
      <c r="I381" s="44"/>
      <c r="J381" s="44"/>
      <c r="K381" s="44"/>
      <c r="L381" s="44"/>
      <c r="M381" s="44"/>
      <c r="N381" s="44"/>
      <c r="O381" s="44"/>
    </row>
    <row r="382" spans="1:15" ht="17.25" customHeight="1">
      <c r="A382" s="44"/>
      <c r="B382" s="44"/>
      <c r="C382" s="44"/>
      <c r="D382" s="44"/>
      <c r="E382" s="44"/>
      <c r="F382" s="44"/>
      <c r="G382" s="44"/>
      <c r="H382" s="44"/>
      <c r="I382" s="44"/>
      <c r="J382" s="44"/>
      <c r="K382" s="44"/>
      <c r="L382" s="44"/>
      <c r="M382" s="44"/>
      <c r="N382" s="44"/>
      <c r="O382" s="44"/>
    </row>
    <row r="383" spans="1:15" ht="17.25" customHeight="1">
      <c r="A383" s="44"/>
      <c r="B383" s="44"/>
      <c r="C383" s="44"/>
      <c r="D383" s="44"/>
      <c r="E383" s="44"/>
      <c r="F383" s="44"/>
      <c r="G383" s="44"/>
      <c r="H383" s="44"/>
      <c r="I383" s="44"/>
      <c r="J383" s="44"/>
      <c r="K383" s="44"/>
      <c r="L383" s="44"/>
      <c r="M383" s="44"/>
      <c r="N383" s="44"/>
      <c r="O383" s="44"/>
    </row>
    <row r="384" spans="1:15" ht="17.25" customHeight="1">
      <c r="A384" s="44"/>
      <c r="B384" s="44"/>
      <c r="C384" s="44"/>
      <c r="D384" s="44"/>
      <c r="E384" s="44"/>
      <c r="F384" s="44"/>
      <c r="G384" s="44"/>
      <c r="H384" s="44"/>
      <c r="I384" s="44"/>
      <c r="J384" s="44"/>
      <c r="K384" s="44"/>
      <c r="L384" s="44"/>
      <c r="M384" s="44"/>
      <c r="N384" s="44"/>
      <c r="O384" s="44"/>
    </row>
    <row r="385" spans="1:15" ht="17.25" customHeight="1">
      <c r="A385" s="44"/>
      <c r="B385" s="44"/>
      <c r="C385" s="44"/>
      <c r="D385" s="44"/>
      <c r="E385" s="44"/>
      <c r="F385" s="44"/>
      <c r="G385" s="44"/>
      <c r="H385" s="44"/>
      <c r="I385" s="44"/>
      <c r="J385" s="44"/>
      <c r="K385" s="44"/>
      <c r="L385" s="44"/>
      <c r="M385" s="44"/>
      <c r="N385" s="44"/>
      <c r="O385" s="44"/>
    </row>
    <row r="386" spans="1:15" ht="17.25" customHeight="1">
      <c r="A386" s="44"/>
      <c r="B386" s="44"/>
      <c r="C386" s="44"/>
      <c r="D386" s="44"/>
      <c r="E386" s="44"/>
      <c r="F386" s="44"/>
      <c r="G386" s="44"/>
      <c r="H386" s="44"/>
      <c r="I386" s="44"/>
      <c r="J386" s="44"/>
      <c r="K386" s="44"/>
      <c r="L386" s="44"/>
      <c r="M386" s="44"/>
      <c r="N386" s="44"/>
      <c r="O386" s="44"/>
    </row>
    <row r="387" spans="1:15" ht="17.25" customHeight="1">
      <c r="A387" s="44"/>
      <c r="B387" s="44"/>
      <c r="C387" s="44"/>
      <c r="D387" s="44"/>
      <c r="E387" s="44"/>
      <c r="F387" s="44"/>
      <c r="G387" s="44"/>
      <c r="H387" s="44"/>
      <c r="I387" s="44"/>
      <c r="J387" s="44"/>
      <c r="K387" s="44"/>
      <c r="L387" s="44"/>
      <c r="M387" s="44"/>
      <c r="N387" s="44"/>
      <c r="O387" s="44"/>
    </row>
    <row r="388" spans="1:15" ht="17.25" customHeight="1">
      <c r="A388" s="44"/>
      <c r="B388" s="44"/>
      <c r="C388" s="44"/>
      <c r="D388" s="44"/>
      <c r="E388" s="44"/>
      <c r="F388" s="44"/>
      <c r="G388" s="44"/>
      <c r="H388" s="44"/>
      <c r="I388" s="44"/>
      <c r="J388" s="44"/>
      <c r="K388" s="44"/>
      <c r="L388" s="44"/>
      <c r="M388" s="44"/>
      <c r="N388" s="44"/>
      <c r="O388" s="44"/>
    </row>
    <row r="389" spans="1:15" ht="17.25" customHeight="1">
      <c r="A389" s="44"/>
      <c r="B389" s="44"/>
      <c r="C389" s="44"/>
      <c r="D389" s="44"/>
      <c r="E389" s="44"/>
      <c r="F389" s="44"/>
      <c r="G389" s="44"/>
      <c r="H389" s="44"/>
      <c r="I389" s="44"/>
      <c r="J389" s="44"/>
      <c r="K389" s="44"/>
      <c r="L389" s="44"/>
      <c r="M389" s="44"/>
      <c r="N389" s="44"/>
      <c r="O389" s="44"/>
    </row>
    <row r="390" spans="1:15" ht="17.25" customHeight="1">
      <c r="A390" s="44"/>
      <c r="B390" s="44"/>
      <c r="C390" s="44"/>
      <c r="D390" s="44"/>
      <c r="E390" s="44"/>
      <c r="F390" s="44"/>
      <c r="G390" s="44"/>
      <c r="H390" s="44"/>
      <c r="I390" s="44"/>
      <c r="J390" s="44"/>
      <c r="K390" s="44"/>
      <c r="L390" s="44"/>
      <c r="M390" s="44"/>
      <c r="N390" s="44"/>
      <c r="O390" s="44"/>
    </row>
    <row r="391" spans="1:15" ht="17.25" customHeight="1">
      <c r="A391" s="44"/>
      <c r="B391" s="44"/>
      <c r="C391" s="44"/>
      <c r="D391" s="44"/>
      <c r="E391" s="44"/>
      <c r="F391" s="44"/>
      <c r="G391" s="44"/>
      <c r="H391" s="44"/>
      <c r="I391" s="44"/>
      <c r="J391" s="44"/>
      <c r="K391" s="44"/>
      <c r="L391" s="44"/>
      <c r="M391" s="44"/>
      <c r="N391" s="44"/>
      <c r="O391" s="44"/>
    </row>
    <row r="392" spans="1:15" ht="17.25" customHeight="1">
      <c r="A392" s="44"/>
      <c r="B392" s="44"/>
      <c r="C392" s="44"/>
      <c r="D392" s="44"/>
      <c r="E392" s="44"/>
      <c r="F392" s="44"/>
      <c r="G392" s="44"/>
      <c r="H392" s="44"/>
      <c r="I392" s="44"/>
      <c r="J392" s="44"/>
      <c r="K392" s="44"/>
      <c r="L392" s="44"/>
      <c r="M392" s="44"/>
      <c r="N392" s="44"/>
      <c r="O392" s="44"/>
    </row>
    <row r="393" spans="1:15" ht="17.25" customHeight="1">
      <c r="A393" s="44"/>
      <c r="B393" s="44"/>
      <c r="C393" s="44"/>
      <c r="D393" s="44"/>
      <c r="E393" s="44"/>
      <c r="F393" s="44"/>
      <c r="G393" s="44"/>
      <c r="H393" s="44"/>
      <c r="I393" s="44"/>
      <c r="J393" s="44"/>
      <c r="K393" s="44"/>
      <c r="L393" s="44"/>
      <c r="M393" s="44"/>
      <c r="N393" s="44"/>
      <c r="O393" s="44"/>
    </row>
    <row r="394" spans="1:15" ht="17.25" customHeight="1">
      <c r="A394" s="44"/>
      <c r="B394" s="44"/>
      <c r="C394" s="44"/>
      <c r="D394" s="44"/>
      <c r="E394" s="44"/>
      <c r="F394" s="44"/>
      <c r="G394" s="44"/>
      <c r="H394" s="44"/>
      <c r="I394" s="44"/>
      <c r="J394" s="44"/>
      <c r="K394" s="44"/>
      <c r="L394" s="44"/>
      <c r="M394" s="44"/>
      <c r="N394" s="44"/>
      <c r="O394" s="44"/>
    </row>
    <row r="395" spans="1:15" ht="17.25" customHeight="1">
      <c r="A395" s="44"/>
      <c r="B395" s="44"/>
      <c r="C395" s="44"/>
      <c r="D395" s="44"/>
      <c r="E395" s="44"/>
      <c r="F395" s="44"/>
      <c r="G395" s="44"/>
      <c r="H395" s="44"/>
      <c r="I395" s="44"/>
      <c r="J395" s="44"/>
      <c r="K395" s="44"/>
      <c r="L395" s="44"/>
      <c r="M395" s="44"/>
      <c r="N395" s="44"/>
      <c r="O395" s="44"/>
    </row>
    <row r="396" spans="1:15" ht="17.25" customHeight="1">
      <c r="A396" s="44"/>
      <c r="B396" s="44"/>
      <c r="C396" s="44"/>
      <c r="D396" s="44"/>
      <c r="E396" s="44"/>
      <c r="F396" s="44"/>
      <c r="G396" s="44"/>
      <c r="H396" s="44"/>
      <c r="I396" s="44"/>
      <c r="J396" s="44"/>
      <c r="K396" s="44"/>
      <c r="L396" s="44"/>
      <c r="M396" s="44"/>
      <c r="N396" s="44"/>
      <c r="O396" s="44"/>
    </row>
    <row r="397" spans="1:15" ht="17.25" customHeight="1">
      <c r="A397" s="44"/>
      <c r="B397" s="44"/>
      <c r="C397" s="44"/>
      <c r="D397" s="44"/>
      <c r="E397" s="44"/>
      <c r="F397" s="44"/>
      <c r="G397" s="44"/>
      <c r="H397" s="44"/>
      <c r="I397" s="44"/>
      <c r="J397" s="44"/>
      <c r="K397" s="44"/>
      <c r="L397" s="44"/>
      <c r="M397" s="44"/>
      <c r="N397" s="44"/>
      <c r="O397" s="44"/>
    </row>
    <row r="398" spans="1:15" ht="17.25" customHeight="1">
      <c r="A398" s="44"/>
      <c r="B398" s="44"/>
      <c r="C398" s="44"/>
      <c r="D398" s="44"/>
      <c r="E398" s="44"/>
      <c r="F398" s="44"/>
      <c r="G398" s="44"/>
      <c r="H398" s="44"/>
      <c r="I398" s="44"/>
      <c r="J398" s="44"/>
      <c r="K398" s="44"/>
      <c r="L398" s="44"/>
      <c r="M398" s="44"/>
      <c r="N398" s="44"/>
      <c r="O398" s="44"/>
    </row>
    <row r="399" spans="1:15" ht="17.25" customHeight="1">
      <c r="A399" s="44"/>
      <c r="B399" s="44"/>
      <c r="C399" s="44"/>
      <c r="D399" s="44"/>
      <c r="E399" s="44"/>
      <c r="F399" s="44"/>
      <c r="G399" s="44"/>
      <c r="H399" s="44"/>
      <c r="I399" s="44"/>
      <c r="J399" s="44"/>
      <c r="K399" s="44"/>
      <c r="L399" s="44"/>
      <c r="M399" s="44"/>
      <c r="N399" s="44"/>
      <c r="O399" s="44"/>
    </row>
    <row r="400" spans="1:15" ht="17.25" customHeight="1">
      <c r="A400" s="44"/>
      <c r="B400" s="44"/>
      <c r="C400" s="44"/>
      <c r="D400" s="44"/>
      <c r="E400" s="44"/>
      <c r="F400" s="44"/>
      <c r="G400" s="44"/>
      <c r="H400" s="44"/>
      <c r="I400" s="44"/>
      <c r="J400" s="44"/>
      <c r="K400" s="44"/>
      <c r="L400" s="44"/>
      <c r="M400" s="44"/>
      <c r="N400" s="44"/>
      <c r="O400" s="44"/>
    </row>
    <row r="401" spans="1:15" ht="17.25" customHeight="1">
      <c r="A401" s="44"/>
      <c r="B401" s="44"/>
      <c r="C401" s="44"/>
      <c r="D401" s="44"/>
      <c r="E401" s="44"/>
      <c r="F401" s="44"/>
      <c r="G401" s="44"/>
      <c r="H401" s="44"/>
      <c r="I401" s="44"/>
      <c r="J401" s="44"/>
      <c r="K401" s="44"/>
      <c r="L401" s="44"/>
      <c r="M401" s="44"/>
      <c r="N401" s="44"/>
      <c r="O401" s="44"/>
    </row>
    <row r="402" spans="1:15" ht="17.25" customHeight="1">
      <c r="A402" s="44"/>
      <c r="B402" s="44"/>
      <c r="C402" s="44"/>
      <c r="D402" s="44"/>
      <c r="E402" s="44"/>
      <c r="F402" s="44"/>
      <c r="G402" s="44"/>
      <c r="H402" s="44"/>
      <c r="I402" s="44"/>
      <c r="J402" s="44"/>
      <c r="K402" s="44"/>
      <c r="L402" s="44"/>
      <c r="M402" s="44"/>
      <c r="N402" s="44"/>
      <c r="O402" s="44"/>
    </row>
    <row r="403" spans="1:15" ht="17.25" customHeight="1">
      <c r="A403" s="44"/>
      <c r="B403" s="44"/>
      <c r="C403" s="44"/>
      <c r="D403" s="44"/>
      <c r="E403" s="44"/>
      <c r="F403" s="44"/>
      <c r="G403" s="44"/>
      <c r="H403" s="44"/>
      <c r="I403" s="44"/>
      <c r="J403" s="44"/>
      <c r="K403" s="44"/>
      <c r="L403" s="44"/>
      <c r="M403" s="44"/>
      <c r="N403" s="44"/>
      <c r="O403" s="44"/>
    </row>
    <row r="404" spans="1:15" ht="17.25" customHeight="1">
      <c r="A404" s="44"/>
      <c r="B404" s="44"/>
      <c r="C404" s="44"/>
      <c r="D404" s="44"/>
      <c r="E404" s="44"/>
      <c r="F404" s="44"/>
      <c r="G404" s="44"/>
      <c r="H404" s="44"/>
      <c r="I404" s="44"/>
      <c r="J404" s="44"/>
      <c r="K404" s="44"/>
      <c r="L404" s="44"/>
      <c r="M404" s="44"/>
      <c r="N404" s="44"/>
      <c r="O404" s="44"/>
    </row>
    <row r="405" spans="1:15" ht="17.25" customHeight="1">
      <c r="A405" s="44"/>
      <c r="B405" s="44"/>
      <c r="C405" s="44"/>
      <c r="D405" s="44"/>
      <c r="E405" s="44"/>
      <c r="F405" s="44"/>
      <c r="G405" s="44"/>
      <c r="H405" s="44"/>
      <c r="I405" s="44"/>
      <c r="J405" s="44"/>
      <c r="K405" s="44"/>
      <c r="L405" s="44"/>
      <c r="M405" s="44"/>
      <c r="N405" s="44"/>
      <c r="O405" s="44"/>
    </row>
    <row r="406" spans="1:15" ht="17.25" customHeight="1">
      <c r="A406" s="44"/>
      <c r="B406" s="44"/>
      <c r="C406" s="44"/>
      <c r="D406" s="44"/>
      <c r="E406" s="44"/>
      <c r="F406" s="44"/>
      <c r="G406" s="44"/>
      <c r="H406" s="44"/>
      <c r="I406" s="44"/>
      <c r="J406" s="44"/>
      <c r="K406" s="44"/>
      <c r="L406" s="44"/>
      <c r="M406" s="44"/>
      <c r="N406" s="44"/>
      <c r="O406" s="44"/>
    </row>
    <row r="407" spans="1:15" ht="17.25" customHeight="1">
      <c r="A407" s="44"/>
      <c r="B407" s="44"/>
      <c r="C407" s="44"/>
      <c r="D407" s="44"/>
      <c r="E407" s="44"/>
      <c r="F407" s="44"/>
      <c r="G407" s="44"/>
      <c r="H407" s="44"/>
      <c r="I407" s="44"/>
      <c r="J407" s="44"/>
      <c r="K407" s="44"/>
      <c r="L407" s="44"/>
      <c r="M407" s="44"/>
      <c r="N407" s="44"/>
      <c r="O407" s="44"/>
    </row>
    <row r="408" spans="1:15" ht="17.25" customHeight="1">
      <c r="A408" s="44"/>
      <c r="B408" s="44"/>
      <c r="C408" s="44"/>
      <c r="D408" s="44"/>
      <c r="E408" s="44"/>
      <c r="F408" s="44"/>
      <c r="G408" s="44"/>
      <c r="H408" s="44"/>
      <c r="I408" s="44"/>
      <c r="J408" s="44"/>
      <c r="K408" s="44"/>
      <c r="L408" s="44"/>
      <c r="M408" s="44"/>
      <c r="N408" s="44"/>
      <c r="O408" s="44"/>
    </row>
    <row r="409" spans="1:15" ht="17.25" customHeight="1">
      <c r="A409" s="44"/>
      <c r="B409" s="44"/>
      <c r="C409" s="44"/>
      <c r="D409" s="44"/>
      <c r="E409" s="44"/>
      <c r="F409" s="44"/>
      <c r="G409" s="44"/>
      <c r="H409" s="44"/>
      <c r="I409" s="44"/>
      <c r="J409" s="44"/>
      <c r="K409" s="44"/>
      <c r="L409" s="44"/>
      <c r="M409" s="44"/>
      <c r="N409" s="44"/>
      <c r="O409" s="44"/>
    </row>
    <row r="410" spans="1:15" ht="17.25" customHeight="1">
      <c r="A410" s="44"/>
      <c r="B410" s="44"/>
      <c r="C410" s="44"/>
      <c r="D410" s="44"/>
      <c r="E410" s="44"/>
      <c r="F410" s="44"/>
      <c r="G410" s="44"/>
      <c r="H410" s="44"/>
      <c r="I410" s="44"/>
      <c r="J410" s="44"/>
      <c r="K410" s="44"/>
      <c r="L410" s="44"/>
      <c r="M410" s="44"/>
      <c r="N410" s="44"/>
      <c r="O410" s="44"/>
    </row>
    <row r="411" spans="1:15" ht="17.25" customHeight="1">
      <c r="A411" s="44"/>
      <c r="B411" s="44"/>
      <c r="C411" s="44"/>
      <c r="D411" s="44"/>
      <c r="E411" s="44"/>
      <c r="F411" s="44"/>
      <c r="G411" s="44"/>
      <c r="H411" s="44"/>
      <c r="I411" s="44"/>
      <c r="J411" s="44"/>
      <c r="K411" s="44"/>
      <c r="L411" s="44"/>
      <c r="M411" s="44"/>
      <c r="N411" s="44"/>
      <c r="O411" s="44"/>
    </row>
    <row r="412" spans="1:15" ht="17.25" customHeight="1">
      <c r="A412" s="44"/>
      <c r="B412" s="44"/>
      <c r="C412" s="44"/>
      <c r="D412" s="44"/>
      <c r="E412" s="44"/>
      <c r="F412" s="44"/>
      <c r="G412" s="44"/>
      <c r="H412" s="44"/>
      <c r="I412" s="44"/>
      <c r="J412" s="44"/>
      <c r="K412" s="44"/>
      <c r="L412" s="44"/>
      <c r="M412" s="44"/>
      <c r="N412" s="44"/>
      <c r="O412" s="44"/>
    </row>
    <row r="413" spans="1:15" ht="17.25" customHeight="1">
      <c r="A413" s="44"/>
      <c r="B413" s="44"/>
      <c r="C413" s="44"/>
      <c r="D413" s="44"/>
      <c r="E413" s="44"/>
      <c r="F413" s="44"/>
      <c r="G413" s="44"/>
      <c r="H413" s="44"/>
      <c r="I413" s="44"/>
      <c r="J413" s="44"/>
      <c r="K413" s="44"/>
      <c r="L413" s="44"/>
      <c r="M413" s="44"/>
      <c r="N413" s="44"/>
      <c r="O413" s="44"/>
    </row>
    <row r="414" spans="1:15" ht="17.25" customHeight="1">
      <c r="A414" s="44"/>
      <c r="B414" s="44"/>
      <c r="C414" s="44"/>
      <c r="D414" s="44"/>
      <c r="E414" s="44"/>
      <c r="F414" s="44"/>
      <c r="G414" s="44"/>
      <c r="H414" s="44"/>
      <c r="I414" s="44"/>
      <c r="J414" s="44"/>
      <c r="K414" s="44"/>
      <c r="L414" s="44"/>
      <c r="M414" s="44"/>
      <c r="N414" s="44"/>
      <c r="O414" s="44"/>
    </row>
    <row r="415" spans="1:15" ht="17.25" customHeight="1">
      <c r="A415" s="44"/>
      <c r="B415" s="44"/>
      <c r="C415" s="44"/>
      <c r="D415" s="44"/>
      <c r="E415" s="44"/>
      <c r="F415" s="44"/>
      <c r="G415" s="44"/>
      <c r="H415" s="44"/>
      <c r="I415" s="44"/>
      <c r="J415" s="44"/>
      <c r="K415" s="44"/>
      <c r="L415" s="44"/>
      <c r="M415" s="44"/>
      <c r="N415" s="44"/>
      <c r="O415" s="44"/>
    </row>
    <row r="416" spans="1:15" ht="17.25" customHeight="1">
      <c r="A416" s="44"/>
      <c r="B416" s="44"/>
      <c r="C416" s="44"/>
      <c r="D416" s="44"/>
      <c r="E416" s="44"/>
      <c r="F416" s="44"/>
      <c r="G416" s="44"/>
      <c r="H416" s="44"/>
      <c r="I416" s="44"/>
      <c r="J416" s="44"/>
      <c r="K416" s="44"/>
      <c r="L416" s="44"/>
      <c r="M416" s="44"/>
      <c r="N416" s="44"/>
      <c r="O416" s="44"/>
    </row>
    <row r="417" spans="1:15" ht="17.25" customHeight="1">
      <c r="A417" s="44"/>
      <c r="B417" s="44"/>
      <c r="C417" s="44"/>
      <c r="D417" s="44"/>
      <c r="E417" s="44"/>
      <c r="F417" s="44"/>
      <c r="G417" s="44"/>
      <c r="H417" s="44"/>
      <c r="I417" s="44"/>
      <c r="J417" s="44"/>
      <c r="K417" s="44"/>
      <c r="L417" s="44"/>
      <c r="M417" s="44"/>
      <c r="N417" s="44"/>
      <c r="O417" s="44"/>
    </row>
    <row r="418" spans="1:15" ht="17.25" customHeight="1">
      <c r="A418" s="44"/>
      <c r="B418" s="44"/>
      <c r="C418" s="44"/>
      <c r="D418" s="44"/>
      <c r="E418" s="44"/>
      <c r="F418" s="44"/>
      <c r="G418" s="44"/>
      <c r="H418" s="44"/>
      <c r="I418" s="44"/>
      <c r="J418" s="44"/>
      <c r="K418" s="44"/>
      <c r="L418" s="44"/>
      <c r="M418" s="44"/>
      <c r="N418" s="44"/>
      <c r="O418" s="44"/>
    </row>
    <row r="419" spans="1:15" ht="17.25" customHeight="1">
      <c r="A419" s="44"/>
      <c r="B419" s="44"/>
      <c r="C419" s="44"/>
      <c r="D419" s="44"/>
      <c r="E419" s="44"/>
      <c r="F419" s="44"/>
      <c r="G419" s="44"/>
      <c r="H419" s="44"/>
      <c r="I419" s="44"/>
      <c r="J419" s="44"/>
      <c r="K419" s="44"/>
      <c r="L419" s="44"/>
      <c r="M419" s="44"/>
      <c r="N419" s="44"/>
      <c r="O419" s="44"/>
    </row>
    <row r="420" spans="1:15" ht="17.25" customHeight="1">
      <c r="A420" s="44"/>
      <c r="B420" s="44"/>
      <c r="C420" s="44"/>
      <c r="D420" s="44"/>
      <c r="E420" s="44"/>
      <c r="F420" s="44"/>
      <c r="G420" s="44"/>
      <c r="H420" s="44"/>
      <c r="I420" s="44"/>
      <c r="J420" s="44"/>
      <c r="K420" s="44"/>
      <c r="L420" s="44"/>
      <c r="M420" s="44"/>
      <c r="N420" s="44"/>
      <c r="O420" s="44"/>
    </row>
    <row r="421" spans="1:15" ht="17.25" customHeight="1">
      <c r="A421" s="44"/>
      <c r="B421" s="44"/>
      <c r="C421" s="44"/>
      <c r="D421" s="44"/>
      <c r="E421" s="44"/>
      <c r="F421" s="44"/>
      <c r="G421" s="44"/>
      <c r="H421" s="44"/>
      <c r="I421" s="44"/>
      <c r="J421" s="44"/>
      <c r="K421" s="44"/>
      <c r="L421" s="44"/>
      <c r="M421" s="44"/>
      <c r="N421" s="44"/>
      <c r="O421" s="44"/>
    </row>
    <row r="422" spans="1:15" ht="17.25" customHeight="1">
      <c r="A422" s="44"/>
      <c r="B422" s="44"/>
      <c r="C422" s="44"/>
      <c r="D422" s="44"/>
      <c r="E422" s="44"/>
      <c r="F422" s="44"/>
      <c r="G422" s="44"/>
      <c r="H422" s="44"/>
      <c r="I422" s="44"/>
      <c r="J422" s="44"/>
      <c r="K422" s="44"/>
      <c r="L422" s="44"/>
      <c r="M422" s="44"/>
      <c r="N422" s="44"/>
      <c r="O422" s="44"/>
    </row>
    <row r="423" spans="1:15" ht="17.25" customHeight="1">
      <c r="A423" s="44"/>
      <c r="B423" s="44"/>
      <c r="C423" s="44"/>
      <c r="D423" s="44"/>
      <c r="E423" s="44"/>
      <c r="F423" s="44"/>
      <c r="G423" s="44"/>
      <c r="H423" s="44"/>
      <c r="I423" s="44"/>
      <c r="J423" s="44"/>
      <c r="K423" s="44"/>
      <c r="L423" s="44"/>
      <c r="M423" s="44"/>
      <c r="N423" s="44"/>
      <c r="O423" s="44"/>
    </row>
    <row r="424" spans="1:15" ht="17.25" customHeight="1">
      <c r="A424" s="44"/>
      <c r="B424" s="44"/>
      <c r="C424" s="44"/>
      <c r="D424" s="44"/>
      <c r="E424" s="44"/>
      <c r="F424" s="44"/>
      <c r="G424" s="44"/>
      <c r="H424" s="44"/>
      <c r="I424" s="44"/>
      <c r="J424" s="44"/>
      <c r="K424" s="44"/>
      <c r="L424" s="44"/>
      <c r="M424" s="44"/>
      <c r="N424" s="44"/>
      <c r="O424" s="44"/>
    </row>
    <row r="425" spans="1:15" ht="17.25" customHeight="1">
      <c r="A425" s="44"/>
      <c r="B425" s="44"/>
      <c r="C425" s="44"/>
      <c r="D425" s="44"/>
      <c r="E425" s="44"/>
      <c r="F425" s="44"/>
      <c r="G425" s="44"/>
      <c r="H425" s="44"/>
      <c r="I425" s="44"/>
      <c r="J425" s="44"/>
      <c r="K425" s="44"/>
      <c r="L425" s="44"/>
      <c r="M425" s="44"/>
      <c r="N425" s="44"/>
      <c r="O425" s="44"/>
    </row>
    <row r="426" spans="1:15" ht="17.25" customHeight="1">
      <c r="A426" s="44"/>
      <c r="B426" s="44"/>
      <c r="C426" s="44"/>
      <c r="D426" s="44"/>
      <c r="E426" s="44"/>
      <c r="F426" s="44"/>
      <c r="G426" s="44"/>
      <c r="H426" s="44"/>
      <c r="I426" s="44"/>
      <c r="J426" s="44"/>
      <c r="K426" s="44"/>
      <c r="L426" s="44"/>
      <c r="M426" s="44"/>
      <c r="N426" s="44"/>
      <c r="O426" s="44"/>
    </row>
    <row r="427" spans="1:15" ht="17.25" customHeight="1">
      <c r="A427" s="44"/>
      <c r="B427" s="44"/>
      <c r="C427" s="44"/>
      <c r="D427" s="44"/>
      <c r="E427" s="44"/>
      <c r="F427" s="44"/>
      <c r="G427" s="44"/>
      <c r="H427" s="44"/>
      <c r="I427" s="44"/>
      <c r="J427" s="44"/>
      <c r="K427" s="44"/>
      <c r="L427" s="44"/>
      <c r="M427" s="44"/>
      <c r="N427" s="44"/>
      <c r="O427" s="44"/>
    </row>
    <row r="428" spans="1:15" ht="17.25" customHeight="1">
      <c r="A428" s="44"/>
      <c r="B428" s="44"/>
      <c r="C428" s="44"/>
      <c r="D428" s="44"/>
      <c r="E428" s="44"/>
      <c r="F428" s="44"/>
      <c r="G428" s="44"/>
      <c r="H428" s="44"/>
      <c r="I428" s="44"/>
      <c r="J428" s="44"/>
      <c r="K428" s="44"/>
      <c r="L428" s="44"/>
      <c r="M428" s="44"/>
      <c r="N428" s="44"/>
      <c r="O428" s="44"/>
    </row>
    <row r="429" spans="1:15" ht="17.25" customHeight="1">
      <c r="A429" s="44"/>
      <c r="B429" s="44"/>
      <c r="C429" s="44"/>
      <c r="D429" s="44"/>
      <c r="E429" s="44"/>
      <c r="F429" s="44"/>
      <c r="G429" s="44"/>
      <c r="H429" s="44"/>
      <c r="I429" s="44"/>
      <c r="J429" s="44"/>
      <c r="K429" s="44"/>
      <c r="L429" s="44"/>
      <c r="M429" s="44"/>
      <c r="N429" s="44"/>
      <c r="O429" s="44"/>
    </row>
    <row r="430" spans="1:15" ht="17.25" customHeight="1">
      <c r="A430" s="44"/>
      <c r="B430" s="44"/>
      <c r="C430" s="44"/>
      <c r="D430" s="44"/>
      <c r="E430" s="44"/>
      <c r="F430" s="44"/>
      <c r="G430" s="44"/>
      <c r="H430" s="44"/>
      <c r="I430" s="44"/>
      <c r="J430" s="44"/>
      <c r="K430" s="44"/>
      <c r="L430" s="44"/>
      <c r="M430" s="44"/>
      <c r="N430" s="44"/>
      <c r="O430" s="44"/>
    </row>
    <row r="431" spans="1:15" ht="17.25" customHeight="1">
      <c r="A431" s="44"/>
      <c r="B431" s="44"/>
      <c r="C431" s="44"/>
      <c r="D431" s="44"/>
      <c r="E431" s="44"/>
      <c r="F431" s="44"/>
      <c r="G431" s="44"/>
      <c r="H431" s="44"/>
      <c r="I431" s="44"/>
      <c r="J431" s="44"/>
      <c r="K431" s="44"/>
      <c r="L431" s="44"/>
      <c r="M431" s="44"/>
      <c r="N431" s="44"/>
      <c r="O431" s="44"/>
    </row>
    <row r="432" spans="1:15" ht="17.25" customHeight="1">
      <c r="A432" s="44"/>
      <c r="B432" s="44"/>
      <c r="C432" s="44"/>
      <c r="D432" s="44"/>
      <c r="E432" s="44"/>
      <c r="F432" s="44"/>
      <c r="G432" s="44"/>
      <c r="H432" s="44"/>
      <c r="I432" s="44"/>
      <c r="J432" s="44"/>
      <c r="K432" s="44"/>
      <c r="L432" s="44"/>
      <c r="M432" s="44"/>
      <c r="N432" s="44"/>
      <c r="O432" s="44"/>
    </row>
    <row r="433" spans="1:15" ht="17.25" customHeight="1">
      <c r="A433" s="44"/>
      <c r="B433" s="44"/>
      <c r="C433" s="44"/>
      <c r="D433" s="44"/>
      <c r="E433" s="44"/>
      <c r="F433" s="44"/>
      <c r="G433" s="44"/>
      <c r="H433" s="44"/>
      <c r="I433" s="44"/>
      <c r="J433" s="44"/>
      <c r="K433" s="44"/>
      <c r="L433" s="44"/>
      <c r="M433" s="44"/>
      <c r="N433" s="44"/>
      <c r="O433" s="44"/>
    </row>
    <row r="434" spans="1:15" ht="17.25" customHeight="1">
      <c r="A434" s="44"/>
      <c r="B434" s="44"/>
      <c r="C434" s="44"/>
      <c r="D434" s="44"/>
      <c r="E434" s="44"/>
      <c r="F434" s="44"/>
      <c r="G434" s="44"/>
      <c r="H434" s="44"/>
      <c r="I434" s="44"/>
      <c r="J434" s="44"/>
      <c r="K434" s="44"/>
      <c r="L434" s="44"/>
      <c r="M434" s="44"/>
      <c r="N434" s="44"/>
      <c r="O434" s="44"/>
    </row>
    <row r="435" spans="1:15" ht="17.25" customHeight="1">
      <c r="A435" s="44"/>
      <c r="B435" s="44"/>
      <c r="C435" s="44"/>
      <c r="D435" s="44"/>
      <c r="E435" s="44"/>
      <c r="F435" s="44"/>
      <c r="G435" s="44"/>
      <c r="H435" s="44"/>
      <c r="I435" s="44"/>
      <c r="J435" s="44"/>
      <c r="K435" s="44"/>
      <c r="L435" s="44"/>
      <c r="M435" s="44"/>
      <c r="N435" s="44"/>
      <c r="O435" s="44"/>
    </row>
    <row r="436" spans="1:15" ht="17.25" customHeight="1">
      <c r="A436" s="44"/>
      <c r="B436" s="44"/>
      <c r="C436" s="44"/>
      <c r="D436" s="44"/>
      <c r="E436" s="44"/>
      <c r="F436" s="44"/>
      <c r="G436" s="44"/>
      <c r="H436" s="44"/>
      <c r="I436" s="44"/>
      <c r="J436" s="44"/>
      <c r="K436" s="44"/>
      <c r="L436" s="44"/>
      <c r="M436" s="44"/>
      <c r="N436" s="44"/>
      <c r="O436" s="44"/>
    </row>
    <row r="437" spans="1:15" ht="17.25" customHeight="1">
      <c r="A437" s="44"/>
      <c r="B437" s="44"/>
      <c r="C437" s="44"/>
      <c r="D437" s="44"/>
      <c r="E437" s="44"/>
      <c r="F437" s="44"/>
      <c r="G437" s="44"/>
      <c r="H437" s="44"/>
      <c r="I437" s="44"/>
      <c r="J437" s="44"/>
      <c r="K437" s="44"/>
      <c r="L437" s="44"/>
      <c r="M437" s="44"/>
      <c r="N437" s="44"/>
      <c r="O437" s="44"/>
    </row>
    <row r="438" spans="1:15" ht="17.25" customHeight="1">
      <c r="A438" s="44"/>
      <c r="B438" s="44"/>
      <c r="C438" s="44"/>
      <c r="D438" s="44"/>
      <c r="E438" s="44"/>
      <c r="F438" s="44"/>
      <c r="G438" s="44"/>
      <c r="H438" s="44"/>
      <c r="I438" s="44"/>
      <c r="J438" s="44"/>
      <c r="K438" s="44"/>
      <c r="L438" s="44"/>
      <c r="M438" s="44"/>
      <c r="N438" s="44"/>
      <c r="O438" s="44"/>
    </row>
    <row r="439" spans="1:15" ht="17.25" customHeight="1">
      <c r="A439" s="44"/>
      <c r="B439" s="44"/>
      <c r="C439" s="44"/>
      <c r="D439" s="44"/>
      <c r="E439" s="44"/>
      <c r="F439" s="44"/>
      <c r="G439" s="44"/>
      <c r="H439" s="44"/>
      <c r="I439" s="44"/>
      <c r="J439" s="44"/>
      <c r="K439" s="44"/>
      <c r="L439" s="44"/>
      <c r="M439" s="44"/>
      <c r="N439" s="44"/>
      <c r="O439" s="44"/>
    </row>
    <row r="440" spans="1:15" ht="17.25" customHeight="1">
      <c r="A440" s="44"/>
      <c r="B440" s="44"/>
      <c r="C440" s="44"/>
      <c r="D440" s="44"/>
      <c r="E440" s="44"/>
      <c r="F440" s="44"/>
      <c r="G440" s="44"/>
      <c r="H440" s="44"/>
      <c r="I440" s="44"/>
      <c r="J440" s="44"/>
      <c r="K440" s="44"/>
      <c r="L440" s="44"/>
      <c r="M440" s="44"/>
      <c r="N440" s="44"/>
      <c r="O440" s="44"/>
    </row>
    <row r="441" spans="1:15" ht="17.25" customHeight="1">
      <c r="A441" s="44"/>
      <c r="B441" s="44"/>
      <c r="C441" s="44"/>
      <c r="D441" s="44"/>
      <c r="E441" s="44"/>
      <c r="F441" s="44"/>
      <c r="G441" s="44"/>
      <c r="H441" s="44"/>
      <c r="I441" s="44"/>
      <c r="J441" s="44"/>
      <c r="K441" s="44"/>
      <c r="L441" s="44"/>
      <c r="M441" s="44"/>
      <c r="N441" s="44"/>
      <c r="O441" s="44"/>
    </row>
    <row r="442" spans="1:15" ht="17.25" customHeight="1">
      <c r="A442" s="44"/>
      <c r="B442" s="44"/>
      <c r="C442" s="44"/>
      <c r="D442" s="44"/>
      <c r="E442" s="44"/>
      <c r="F442" s="44"/>
      <c r="G442" s="44"/>
      <c r="H442" s="44"/>
      <c r="I442" s="44"/>
      <c r="J442" s="44"/>
      <c r="K442" s="44"/>
      <c r="L442" s="44"/>
      <c r="M442" s="44"/>
      <c r="N442" s="44"/>
      <c r="O442" s="44"/>
    </row>
    <row r="443" spans="1:15" ht="17.25" customHeight="1">
      <c r="A443" s="44"/>
      <c r="B443" s="44"/>
      <c r="C443" s="44"/>
      <c r="D443" s="44"/>
      <c r="E443" s="44"/>
      <c r="F443" s="44"/>
      <c r="G443" s="44"/>
      <c r="H443" s="44"/>
      <c r="I443" s="44"/>
      <c r="J443" s="44"/>
      <c r="K443" s="44"/>
      <c r="L443" s="44"/>
      <c r="M443" s="44"/>
      <c r="N443" s="44"/>
      <c r="O443" s="44"/>
    </row>
    <row r="444" spans="1:15" ht="17.25" customHeight="1">
      <c r="A444" s="44"/>
      <c r="B444" s="44"/>
      <c r="C444" s="44"/>
      <c r="D444" s="44"/>
      <c r="E444" s="44"/>
      <c r="F444" s="44"/>
      <c r="G444" s="44"/>
      <c r="H444" s="44"/>
      <c r="I444" s="44"/>
      <c r="J444" s="44"/>
      <c r="K444" s="44"/>
      <c r="L444" s="44"/>
      <c r="M444" s="44"/>
      <c r="N444" s="44"/>
      <c r="O444" s="44"/>
    </row>
    <row r="445" spans="1:15" ht="17.25" customHeight="1">
      <c r="A445" s="44"/>
      <c r="B445" s="44"/>
      <c r="C445" s="44"/>
      <c r="D445" s="44"/>
      <c r="E445" s="44"/>
      <c r="F445" s="44"/>
      <c r="G445" s="44"/>
      <c r="H445" s="44"/>
      <c r="I445" s="44"/>
      <c r="J445" s="44"/>
      <c r="K445" s="44"/>
      <c r="L445" s="44"/>
      <c r="M445" s="44"/>
      <c r="N445" s="44"/>
      <c r="O445" s="44"/>
    </row>
    <row r="446" spans="1:15" ht="17.25" customHeight="1">
      <c r="A446" s="44"/>
      <c r="B446" s="44"/>
      <c r="C446" s="44"/>
      <c r="D446" s="44"/>
      <c r="E446" s="44"/>
      <c r="F446" s="44"/>
      <c r="G446" s="44"/>
      <c r="H446" s="44"/>
      <c r="I446" s="44"/>
      <c r="J446" s="44"/>
      <c r="K446" s="44"/>
      <c r="L446" s="44"/>
      <c r="M446" s="44"/>
      <c r="N446" s="44"/>
      <c r="O446" s="44"/>
    </row>
    <row r="447" spans="1:15" ht="17.25" customHeight="1">
      <c r="A447" s="44"/>
      <c r="B447" s="44"/>
      <c r="C447" s="44"/>
      <c r="D447" s="44"/>
      <c r="E447" s="44"/>
      <c r="F447" s="44"/>
      <c r="G447" s="44"/>
      <c r="H447" s="44"/>
      <c r="I447" s="44"/>
      <c r="J447" s="44"/>
      <c r="K447" s="44"/>
      <c r="L447" s="44"/>
      <c r="M447" s="44"/>
      <c r="N447" s="44"/>
      <c r="O447" s="44"/>
    </row>
    <row r="448" spans="1:15" ht="17.25" customHeight="1">
      <c r="A448" s="44"/>
      <c r="B448" s="44"/>
      <c r="C448" s="44"/>
      <c r="D448" s="44"/>
      <c r="E448" s="44"/>
      <c r="F448" s="44"/>
      <c r="G448" s="44"/>
      <c r="H448" s="44"/>
      <c r="I448" s="44"/>
      <c r="J448" s="44"/>
      <c r="K448" s="44"/>
      <c r="L448" s="44"/>
      <c r="M448" s="44"/>
      <c r="N448" s="44"/>
      <c r="O448" s="44"/>
    </row>
    <row r="449" spans="1:15" ht="17.25" customHeight="1">
      <c r="A449" s="44"/>
      <c r="B449" s="44"/>
      <c r="C449" s="44"/>
      <c r="D449" s="44"/>
      <c r="E449" s="44"/>
      <c r="F449" s="44"/>
      <c r="G449" s="44"/>
      <c r="H449" s="44"/>
      <c r="I449" s="44"/>
      <c r="J449" s="44"/>
      <c r="K449" s="44"/>
      <c r="L449" s="44"/>
      <c r="M449" s="44"/>
      <c r="N449" s="44"/>
      <c r="O449" s="44"/>
    </row>
    <row r="450" spans="1:15" ht="17.25" customHeight="1">
      <c r="A450" s="44"/>
      <c r="B450" s="44"/>
      <c r="C450" s="44"/>
      <c r="D450" s="44"/>
      <c r="E450" s="44"/>
      <c r="F450" s="44"/>
      <c r="G450" s="44"/>
      <c r="H450" s="44"/>
      <c r="I450" s="44"/>
      <c r="J450" s="44"/>
      <c r="K450" s="44"/>
      <c r="L450" s="44"/>
      <c r="M450" s="44"/>
      <c r="N450" s="44"/>
      <c r="O450" s="44"/>
    </row>
    <row r="451" spans="1:15" ht="17.25" customHeight="1">
      <c r="A451" s="44"/>
      <c r="B451" s="44"/>
      <c r="C451" s="44"/>
      <c r="D451" s="44"/>
      <c r="E451" s="44"/>
      <c r="F451" s="44"/>
      <c r="G451" s="44"/>
      <c r="H451" s="44"/>
      <c r="I451" s="44"/>
      <c r="J451" s="44"/>
      <c r="K451" s="44"/>
      <c r="L451" s="44"/>
      <c r="M451" s="44"/>
      <c r="N451" s="44"/>
      <c r="O451" s="44"/>
    </row>
    <row r="452" spans="1:15" ht="17.25" customHeight="1">
      <c r="A452" s="44"/>
      <c r="B452" s="44"/>
      <c r="C452" s="44"/>
      <c r="D452" s="44"/>
      <c r="E452" s="44"/>
      <c r="F452" s="44"/>
      <c r="G452" s="44"/>
      <c r="H452" s="44"/>
      <c r="I452" s="44"/>
      <c r="J452" s="44"/>
      <c r="K452" s="44"/>
      <c r="L452" s="44"/>
      <c r="M452" s="44"/>
      <c r="N452" s="44"/>
      <c r="O452" s="44"/>
    </row>
    <row r="453" spans="1:15" ht="17.25" customHeight="1">
      <c r="A453" s="44"/>
      <c r="B453" s="44"/>
      <c r="C453" s="44"/>
      <c r="D453" s="44"/>
      <c r="E453" s="44"/>
      <c r="F453" s="44"/>
      <c r="G453" s="44"/>
      <c r="H453" s="44"/>
      <c r="I453" s="44"/>
      <c r="J453" s="44"/>
      <c r="K453" s="44"/>
      <c r="L453" s="44"/>
      <c r="M453" s="44"/>
      <c r="N453" s="44"/>
      <c r="O453" s="44"/>
    </row>
    <row r="454" spans="1:15" ht="17.25" customHeight="1">
      <c r="A454" s="44"/>
      <c r="B454" s="44"/>
      <c r="C454" s="44"/>
      <c r="D454" s="44"/>
      <c r="E454" s="44"/>
      <c r="F454" s="44"/>
      <c r="G454" s="44"/>
      <c r="H454" s="44"/>
      <c r="I454" s="44"/>
      <c r="J454" s="44"/>
      <c r="K454" s="44"/>
      <c r="L454" s="44"/>
      <c r="M454" s="44"/>
      <c r="N454" s="44"/>
      <c r="O454" s="44"/>
    </row>
    <row r="455" spans="1:15" ht="17.25" customHeight="1">
      <c r="A455" s="44"/>
      <c r="B455" s="44"/>
      <c r="C455" s="44"/>
      <c r="D455" s="44"/>
      <c r="E455" s="44"/>
      <c r="F455" s="44"/>
      <c r="G455" s="44"/>
      <c r="H455" s="44"/>
      <c r="I455" s="44"/>
      <c r="J455" s="44"/>
      <c r="K455" s="44"/>
      <c r="L455" s="44"/>
      <c r="M455" s="44"/>
      <c r="N455" s="44"/>
      <c r="O455" s="44"/>
    </row>
    <row r="456" spans="1:15" ht="17.25" customHeight="1">
      <c r="A456" s="44"/>
      <c r="B456" s="44"/>
      <c r="C456" s="44"/>
      <c r="D456" s="44"/>
      <c r="E456" s="44"/>
      <c r="F456" s="44"/>
      <c r="G456" s="44"/>
      <c r="H456" s="44"/>
      <c r="I456" s="44"/>
      <c r="J456" s="44"/>
      <c r="K456" s="44"/>
      <c r="L456" s="44"/>
      <c r="M456" s="44"/>
      <c r="N456" s="44"/>
      <c r="O456" s="44"/>
    </row>
    <row r="457" spans="1:15" ht="17.25" customHeight="1">
      <c r="A457" s="44"/>
      <c r="B457" s="44"/>
      <c r="C457" s="44"/>
      <c r="D457" s="44"/>
      <c r="E457" s="44"/>
      <c r="F457" s="44"/>
      <c r="G457" s="44"/>
      <c r="H457" s="44"/>
      <c r="I457" s="44"/>
      <c r="J457" s="44"/>
      <c r="K457" s="44"/>
      <c r="L457" s="44"/>
      <c r="M457" s="44"/>
      <c r="N457" s="44"/>
      <c r="O457" s="44"/>
    </row>
    <row r="458" spans="1:15" ht="17.25" customHeight="1">
      <c r="A458" s="44"/>
      <c r="B458" s="44"/>
      <c r="C458" s="44"/>
      <c r="D458" s="44"/>
      <c r="E458" s="44"/>
      <c r="F458" s="44"/>
      <c r="G458" s="44"/>
      <c r="H458" s="44"/>
      <c r="I458" s="44"/>
      <c r="J458" s="44"/>
      <c r="K458" s="44"/>
      <c r="L458" s="44"/>
      <c r="M458" s="44"/>
      <c r="N458" s="44"/>
      <c r="O458" s="44"/>
    </row>
    <row r="459" spans="1:15" ht="17.25" customHeight="1">
      <c r="A459" s="44"/>
      <c r="B459" s="44"/>
      <c r="C459" s="44"/>
      <c r="D459" s="44"/>
      <c r="E459" s="44"/>
      <c r="F459" s="44"/>
      <c r="G459" s="44"/>
      <c r="H459" s="44"/>
      <c r="I459" s="44"/>
      <c r="J459" s="44"/>
      <c r="K459" s="44"/>
      <c r="L459" s="44"/>
      <c r="M459" s="44"/>
      <c r="N459" s="44"/>
      <c r="O459" s="44"/>
    </row>
    <row r="460" spans="1:15" ht="17.25" customHeight="1">
      <c r="A460" s="44"/>
      <c r="B460" s="44"/>
      <c r="C460" s="44"/>
      <c r="D460" s="44"/>
      <c r="E460" s="44"/>
      <c r="F460" s="44"/>
      <c r="G460" s="44"/>
      <c r="H460" s="44"/>
      <c r="I460" s="44"/>
      <c r="J460" s="44"/>
      <c r="K460" s="44"/>
      <c r="L460" s="44"/>
      <c r="M460" s="44"/>
      <c r="N460" s="44"/>
      <c r="O460" s="44"/>
    </row>
    <row r="461" spans="1:15" ht="17.25" customHeight="1">
      <c r="A461" s="44"/>
      <c r="B461" s="44"/>
      <c r="C461" s="44"/>
      <c r="D461" s="44"/>
      <c r="E461" s="44"/>
      <c r="F461" s="44"/>
      <c r="G461" s="44"/>
      <c r="H461" s="44"/>
      <c r="I461" s="44"/>
      <c r="J461" s="44"/>
      <c r="K461" s="44"/>
      <c r="L461" s="44"/>
      <c r="M461" s="44"/>
      <c r="N461" s="44"/>
      <c r="O461" s="44"/>
    </row>
    <row r="462" spans="1:15" ht="17.25" customHeight="1">
      <c r="A462" s="44"/>
      <c r="B462" s="44"/>
      <c r="C462" s="44"/>
      <c r="D462" s="44"/>
      <c r="E462" s="44"/>
      <c r="F462" s="44"/>
      <c r="G462" s="44"/>
      <c r="H462" s="44"/>
      <c r="I462" s="44"/>
      <c r="J462" s="44"/>
      <c r="K462" s="44"/>
      <c r="L462" s="44"/>
      <c r="M462" s="44"/>
      <c r="N462" s="44"/>
      <c r="O462" s="44"/>
    </row>
    <row r="463" spans="1:15" ht="17.25" customHeight="1">
      <c r="A463" s="44"/>
      <c r="B463" s="44"/>
      <c r="C463" s="44"/>
      <c r="D463" s="44"/>
      <c r="E463" s="44"/>
      <c r="F463" s="44"/>
      <c r="G463" s="44"/>
      <c r="H463" s="44"/>
      <c r="I463" s="44"/>
      <c r="J463" s="44"/>
      <c r="K463" s="44"/>
      <c r="L463" s="44"/>
      <c r="M463" s="44"/>
      <c r="N463" s="44"/>
      <c r="O463" s="44"/>
    </row>
    <row r="464" spans="1:15" ht="17.25" customHeight="1">
      <c r="A464" s="44"/>
      <c r="B464" s="44"/>
      <c r="C464" s="44"/>
      <c r="D464" s="44"/>
      <c r="E464" s="44"/>
      <c r="F464" s="44"/>
      <c r="G464" s="44"/>
      <c r="H464" s="44"/>
      <c r="I464" s="44"/>
      <c r="J464" s="44"/>
      <c r="K464" s="44"/>
      <c r="L464" s="44"/>
      <c r="M464" s="44"/>
      <c r="N464" s="44"/>
      <c r="O464" s="44"/>
    </row>
    <row r="465" spans="1:15" ht="17.25" customHeight="1">
      <c r="A465" s="44"/>
      <c r="B465" s="44"/>
      <c r="C465" s="44"/>
      <c r="D465" s="44"/>
      <c r="E465" s="44"/>
      <c r="F465" s="44"/>
      <c r="G465" s="44"/>
      <c r="H465" s="44"/>
      <c r="I465" s="44"/>
      <c r="J465" s="44"/>
      <c r="K465" s="44"/>
      <c r="L465" s="44"/>
      <c r="M465" s="44"/>
      <c r="N465" s="44"/>
      <c r="O465" s="44"/>
    </row>
    <row r="466" spans="1:15" ht="17.25" customHeight="1">
      <c r="A466" s="44"/>
      <c r="B466" s="44"/>
      <c r="C466" s="44"/>
      <c r="D466" s="44"/>
      <c r="E466" s="44"/>
      <c r="F466" s="44"/>
      <c r="G466" s="44"/>
      <c r="H466" s="44"/>
      <c r="I466" s="44"/>
      <c r="J466" s="44"/>
      <c r="K466" s="44"/>
      <c r="L466" s="44"/>
      <c r="M466" s="44"/>
      <c r="N466" s="44"/>
      <c r="O466" s="44"/>
    </row>
    <row r="467" spans="1:15" ht="17.25" customHeight="1">
      <c r="A467" s="44"/>
      <c r="B467" s="44"/>
      <c r="C467" s="44"/>
      <c r="D467" s="44"/>
      <c r="E467" s="44"/>
      <c r="F467" s="44"/>
      <c r="G467" s="44"/>
      <c r="H467" s="44"/>
      <c r="I467" s="44"/>
      <c r="J467" s="44"/>
      <c r="K467" s="44"/>
      <c r="L467" s="44"/>
      <c r="M467" s="44"/>
      <c r="N467" s="44"/>
      <c r="O467" s="44"/>
    </row>
    <row r="468" spans="1:15" ht="17.25" customHeight="1">
      <c r="A468" s="44"/>
      <c r="B468" s="44"/>
      <c r="C468" s="44"/>
      <c r="D468" s="44"/>
      <c r="E468" s="44"/>
      <c r="F468" s="44"/>
      <c r="G468" s="44"/>
      <c r="H468" s="44"/>
      <c r="I468" s="44"/>
      <c r="J468" s="44"/>
      <c r="K468" s="44"/>
      <c r="L468" s="44"/>
      <c r="M468" s="44"/>
      <c r="N468" s="44"/>
      <c r="O468" s="44"/>
    </row>
    <row r="469" spans="1:15" ht="17.25" customHeight="1">
      <c r="A469" s="44"/>
      <c r="B469" s="44"/>
      <c r="C469" s="44"/>
      <c r="D469" s="44"/>
      <c r="E469" s="44"/>
      <c r="F469" s="44"/>
      <c r="G469" s="44"/>
      <c r="H469" s="44"/>
      <c r="I469" s="44"/>
      <c r="J469" s="44"/>
      <c r="K469" s="44"/>
      <c r="L469" s="44"/>
      <c r="M469" s="44"/>
      <c r="N469" s="44"/>
      <c r="O469" s="44"/>
    </row>
    <row r="470" spans="1:15" ht="17.25" customHeight="1">
      <c r="A470" s="44"/>
      <c r="B470" s="44"/>
      <c r="C470" s="44"/>
      <c r="D470" s="44"/>
      <c r="E470" s="44"/>
      <c r="F470" s="44"/>
      <c r="G470" s="44"/>
      <c r="H470" s="44"/>
      <c r="I470" s="44"/>
      <c r="J470" s="44"/>
      <c r="K470" s="44"/>
      <c r="L470" s="44"/>
      <c r="M470" s="44"/>
      <c r="N470" s="44"/>
      <c r="O470" s="44"/>
    </row>
    <row r="471" spans="1:15" ht="17.25" customHeight="1">
      <c r="A471" s="44"/>
      <c r="B471" s="44"/>
      <c r="C471" s="44"/>
      <c r="D471" s="44"/>
      <c r="E471" s="44"/>
      <c r="F471" s="44"/>
      <c r="G471" s="44"/>
      <c r="H471" s="44"/>
      <c r="I471" s="44"/>
      <c r="J471" s="44"/>
      <c r="K471" s="44"/>
      <c r="L471" s="44"/>
      <c r="M471" s="44"/>
      <c r="N471" s="44"/>
      <c r="O471" s="44"/>
    </row>
    <row r="472" spans="1:15" ht="17.25" customHeight="1">
      <c r="A472" s="44"/>
      <c r="B472" s="44"/>
      <c r="C472" s="44"/>
      <c r="D472" s="44"/>
      <c r="E472" s="44"/>
      <c r="F472" s="44"/>
      <c r="G472" s="44"/>
      <c r="H472" s="44"/>
      <c r="I472" s="44"/>
      <c r="J472" s="44"/>
      <c r="K472" s="44"/>
      <c r="L472" s="44"/>
      <c r="M472" s="44"/>
      <c r="N472" s="44"/>
      <c r="O472" s="44"/>
    </row>
    <row r="473" spans="1:15" ht="17.25" customHeight="1">
      <c r="A473" s="44"/>
      <c r="B473" s="44"/>
      <c r="C473" s="44"/>
      <c r="D473" s="44"/>
      <c r="E473" s="44"/>
      <c r="F473" s="44"/>
      <c r="G473" s="44"/>
      <c r="H473" s="44"/>
      <c r="I473" s="44"/>
      <c r="J473" s="44"/>
      <c r="K473" s="44"/>
      <c r="L473" s="44"/>
      <c r="M473" s="44"/>
      <c r="N473" s="44"/>
      <c r="O473" s="44"/>
    </row>
    <row r="474" spans="1:15" ht="17.25" customHeight="1">
      <c r="A474" s="44"/>
      <c r="B474" s="44"/>
      <c r="C474" s="44"/>
      <c r="D474" s="44"/>
      <c r="E474" s="44"/>
      <c r="F474" s="44"/>
      <c r="G474" s="44"/>
      <c r="H474" s="44"/>
      <c r="I474" s="44"/>
      <c r="J474" s="44"/>
      <c r="K474" s="44"/>
      <c r="L474" s="44"/>
      <c r="M474" s="44"/>
      <c r="N474" s="44"/>
      <c r="O474" s="44"/>
    </row>
    <row r="475" spans="1:15" ht="17.25" customHeight="1">
      <c r="A475" s="44"/>
      <c r="B475" s="44"/>
      <c r="C475" s="44"/>
      <c r="D475" s="44"/>
      <c r="E475" s="44"/>
      <c r="F475" s="44"/>
      <c r="G475" s="44"/>
      <c r="H475" s="44"/>
      <c r="I475" s="44"/>
      <c r="J475" s="44"/>
      <c r="K475" s="44"/>
      <c r="L475" s="44"/>
      <c r="M475" s="44"/>
      <c r="N475" s="44"/>
      <c r="O475" s="44"/>
    </row>
    <row r="476" spans="1:15" ht="17.25" customHeight="1">
      <c r="A476" s="44"/>
      <c r="B476" s="44"/>
      <c r="C476" s="44"/>
      <c r="D476" s="44"/>
      <c r="E476" s="44"/>
      <c r="F476" s="44"/>
      <c r="G476" s="44"/>
      <c r="H476" s="44"/>
      <c r="I476" s="44"/>
      <c r="J476" s="44"/>
      <c r="K476" s="44"/>
      <c r="L476" s="44"/>
      <c r="M476" s="44"/>
      <c r="N476" s="44"/>
      <c r="O476" s="44"/>
    </row>
    <row r="477" spans="1:15" ht="17.25" customHeight="1">
      <c r="A477" s="44"/>
      <c r="B477" s="44"/>
      <c r="C477" s="44"/>
      <c r="D477" s="44"/>
      <c r="E477" s="44"/>
      <c r="F477" s="44"/>
      <c r="G477" s="44"/>
      <c r="H477" s="44"/>
      <c r="I477" s="44"/>
      <c r="J477" s="44"/>
      <c r="K477" s="44"/>
      <c r="L477" s="44"/>
      <c r="M477" s="44"/>
      <c r="N477" s="44"/>
      <c r="O477" s="44"/>
    </row>
    <row r="478" spans="1:15" ht="17.25" customHeight="1">
      <c r="A478" s="44"/>
      <c r="B478" s="44"/>
      <c r="C478" s="44"/>
      <c r="D478" s="44"/>
      <c r="E478" s="44"/>
      <c r="F478" s="44"/>
      <c r="G478" s="44"/>
      <c r="H478" s="44"/>
      <c r="I478" s="44"/>
      <c r="J478" s="44"/>
      <c r="K478" s="44"/>
      <c r="L478" s="44"/>
      <c r="M478" s="44"/>
      <c r="N478" s="44"/>
      <c r="O478" s="44"/>
    </row>
    <row r="479" spans="1:15" ht="17.25" customHeight="1">
      <c r="A479" s="44"/>
      <c r="B479" s="44"/>
      <c r="C479" s="44"/>
      <c r="D479" s="44"/>
      <c r="E479" s="44"/>
      <c r="F479" s="44"/>
      <c r="G479" s="44"/>
      <c r="H479" s="44"/>
      <c r="I479" s="44"/>
      <c r="J479" s="44"/>
      <c r="K479" s="44"/>
      <c r="L479" s="44"/>
      <c r="M479" s="44"/>
      <c r="N479" s="44"/>
      <c r="O479" s="44"/>
    </row>
    <row r="480" spans="1:15" ht="17.25" customHeight="1">
      <c r="A480" s="44"/>
      <c r="B480" s="44"/>
      <c r="C480" s="44"/>
      <c r="D480" s="44"/>
      <c r="E480" s="44"/>
      <c r="F480" s="44"/>
      <c r="G480" s="44"/>
      <c r="H480" s="44"/>
      <c r="I480" s="44"/>
      <c r="J480" s="44"/>
      <c r="K480" s="44"/>
      <c r="L480" s="44"/>
      <c r="M480" s="44"/>
      <c r="N480" s="44"/>
      <c r="O480" s="44"/>
    </row>
    <row r="481" spans="1:15" ht="17.25" customHeight="1">
      <c r="A481" s="44"/>
      <c r="B481" s="44"/>
      <c r="C481" s="44"/>
      <c r="D481" s="44"/>
      <c r="E481" s="44"/>
      <c r="F481" s="44"/>
      <c r="G481" s="44"/>
      <c r="H481" s="44"/>
      <c r="I481" s="44"/>
      <c r="J481" s="44"/>
      <c r="K481" s="44"/>
      <c r="L481" s="44"/>
      <c r="M481" s="44"/>
      <c r="N481" s="44"/>
      <c r="O481" s="44"/>
    </row>
    <row r="482" spans="1:15" ht="17.25" customHeight="1">
      <c r="A482" s="44"/>
      <c r="B482" s="44"/>
      <c r="C482" s="44"/>
      <c r="D482" s="44"/>
      <c r="E482" s="44"/>
      <c r="F482" s="44"/>
      <c r="G482" s="44"/>
      <c r="H482" s="44"/>
      <c r="I482" s="44"/>
      <c r="J482" s="44"/>
      <c r="K482" s="44"/>
      <c r="L482" s="44"/>
      <c r="M482" s="44"/>
      <c r="N482" s="44"/>
      <c r="O482" s="44"/>
    </row>
    <row r="483" spans="1:15" ht="17.25" customHeight="1">
      <c r="A483" s="44"/>
      <c r="B483" s="44"/>
      <c r="C483" s="44"/>
      <c r="D483" s="44"/>
      <c r="E483" s="44"/>
      <c r="F483" s="44"/>
      <c r="G483" s="44"/>
      <c r="H483" s="44"/>
      <c r="I483" s="44"/>
      <c r="J483" s="44"/>
      <c r="K483" s="44"/>
      <c r="L483" s="44"/>
      <c r="M483" s="44"/>
      <c r="N483" s="44"/>
      <c r="O483" s="44"/>
    </row>
    <row r="484" spans="1:15" ht="17.25" customHeight="1">
      <c r="A484" s="44"/>
      <c r="B484" s="44"/>
      <c r="C484" s="44"/>
      <c r="D484" s="44"/>
      <c r="E484" s="44"/>
      <c r="F484" s="44"/>
      <c r="G484" s="44"/>
      <c r="H484" s="44"/>
      <c r="I484" s="44"/>
      <c r="J484" s="44"/>
      <c r="K484" s="44"/>
      <c r="L484" s="44"/>
      <c r="M484" s="44"/>
      <c r="N484" s="44"/>
      <c r="O484" s="44"/>
    </row>
    <row r="485" spans="1:15" ht="17.25" customHeight="1">
      <c r="A485" s="44"/>
      <c r="B485" s="44"/>
      <c r="C485" s="44"/>
      <c r="D485" s="44"/>
      <c r="E485" s="44"/>
      <c r="F485" s="44"/>
      <c r="G485" s="44"/>
      <c r="H485" s="44"/>
      <c r="I485" s="44"/>
      <c r="J485" s="44"/>
      <c r="K485" s="44"/>
      <c r="L485" s="44"/>
      <c r="M485" s="44"/>
      <c r="N485" s="44"/>
      <c r="O485" s="44"/>
    </row>
    <row r="486" spans="1:15" ht="17.25" customHeight="1">
      <c r="A486" s="44"/>
      <c r="B486" s="44"/>
      <c r="C486" s="44"/>
      <c r="D486" s="44"/>
      <c r="E486" s="44"/>
      <c r="F486" s="44"/>
      <c r="G486" s="44"/>
      <c r="H486" s="44"/>
      <c r="I486" s="44"/>
      <c r="J486" s="44"/>
      <c r="K486" s="44"/>
      <c r="L486" s="44"/>
      <c r="M486" s="44"/>
      <c r="N486" s="44"/>
      <c r="O486" s="44"/>
    </row>
    <row r="487" spans="1:15" ht="17.25" customHeight="1">
      <c r="A487" s="44"/>
      <c r="B487" s="44"/>
      <c r="C487" s="44"/>
      <c r="D487" s="44"/>
      <c r="E487" s="44"/>
      <c r="F487" s="44"/>
      <c r="G487" s="44"/>
      <c r="H487" s="44"/>
      <c r="I487" s="44"/>
      <c r="J487" s="44"/>
      <c r="K487" s="44"/>
      <c r="L487" s="44"/>
      <c r="M487" s="44"/>
      <c r="N487" s="44"/>
      <c r="O487" s="44"/>
    </row>
    <row r="488" spans="1:15" ht="17.25" customHeight="1">
      <c r="A488" s="44"/>
      <c r="B488" s="44"/>
      <c r="C488" s="44"/>
      <c r="D488" s="44"/>
      <c r="E488" s="44"/>
      <c r="F488" s="44"/>
      <c r="G488" s="44"/>
      <c r="H488" s="44"/>
      <c r="I488" s="44"/>
      <c r="J488" s="44"/>
      <c r="K488" s="44"/>
      <c r="L488" s="44"/>
      <c r="M488" s="44"/>
      <c r="N488" s="44"/>
      <c r="O488" s="44"/>
    </row>
    <row r="489" spans="1:15" ht="17.25" customHeight="1">
      <c r="A489" s="44"/>
      <c r="B489" s="44"/>
      <c r="C489" s="44"/>
      <c r="D489" s="44"/>
      <c r="E489" s="44"/>
      <c r="F489" s="44"/>
      <c r="G489" s="44"/>
      <c r="H489" s="44"/>
      <c r="I489" s="44"/>
      <c r="J489" s="44"/>
      <c r="K489" s="44"/>
      <c r="L489" s="44"/>
      <c r="M489" s="44"/>
      <c r="N489" s="44"/>
      <c r="O489" s="44"/>
    </row>
    <row r="490" spans="1:15" ht="17.25" customHeight="1">
      <c r="A490" s="44"/>
      <c r="B490" s="44"/>
      <c r="C490" s="44"/>
      <c r="D490" s="44"/>
      <c r="E490" s="44"/>
      <c r="F490" s="44"/>
      <c r="G490" s="44"/>
      <c r="H490" s="44"/>
      <c r="I490" s="44"/>
      <c r="J490" s="44"/>
      <c r="K490" s="44"/>
      <c r="L490" s="44"/>
      <c r="M490" s="44"/>
      <c r="N490" s="44"/>
      <c r="O490" s="44"/>
    </row>
    <row r="491" spans="1:15" ht="17.25" customHeight="1">
      <c r="A491" s="44"/>
      <c r="B491" s="44"/>
      <c r="C491" s="44"/>
      <c r="D491" s="44"/>
      <c r="E491" s="44"/>
      <c r="F491" s="44"/>
      <c r="G491" s="44"/>
      <c r="H491" s="44"/>
      <c r="I491" s="44"/>
      <c r="J491" s="44"/>
      <c r="K491" s="44"/>
      <c r="L491" s="44"/>
      <c r="M491" s="44"/>
      <c r="N491" s="44"/>
      <c r="O491" s="44"/>
    </row>
    <row r="492" spans="1:15" ht="17.25" customHeight="1">
      <c r="A492" s="44"/>
      <c r="B492" s="44"/>
      <c r="C492" s="44"/>
      <c r="D492" s="44"/>
      <c r="E492" s="44"/>
      <c r="F492" s="44"/>
      <c r="G492" s="44"/>
      <c r="H492" s="44"/>
      <c r="I492" s="44"/>
      <c r="J492" s="44"/>
      <c r="K492" s="44"/>
      <c r="L492" s="44"/>
      <c r="M492" s="44"/>
      <c r="N492" s="44"/>
      <c r="O492" s="44"/>
    </row>
    <row r="493" spans="1:15" ht="17.25" customHeight="1">
      <c r="A493" s="44"/>
      <c r="B493" s="44"/>
      <c r="C493" s="44"/>
      <c r="D493" s="44"/>
      <c r="E493" s="44"/>
      <c r="F493" s="44"/>
      <c r="G493" s="44"/>
      <c r="H493" s="44"/>
      <c r="I493" s="44"/>
      <c r="J493" s="44"/>
      <c r="K493" s="44"/>
      <c r="L493" s="44"/>
      <c r="M493" s="44"/>
      <c r="N493" s="44"/>
      <c r="O493" s="44"/>
    </row>
    <row r="494" spans="1:15" ht="17.25" customHeight="1">
      <c r="A494" s="44"/>
      <c r="B494" s="44"/>
      <c r="C494" s="44"/>
      <c r="D494" s="44"/>
      <c r="E494" s="44"/>
      <c r="F494" s="44"/>
      <c r="G494" s="44"/>
      <c r="H494" s="44"/>
      <c r="I494" s="44"/>
      <c r="J494" s="44"/>
      <c r="K494" s="44"/>
      <c r="L494" s="44"/>
      <c r="M494" s="44"/>
      <c r="N494" s="44"/>
      <c r="O494" s="44"/>
    </row>
    <row r="495" spans="1:15" ht="17.25" customHeight="1">
      <c r="A495" s="44"/>
      <c r="B495" s="44"/>
      <c r="C495" s="44"/>
      <c r="D495" s="44"/>
      <c r="E495" s="44"/>
      <c r="F495" s="44"/>
      <c r="G495" s="44"/>
      <c r="H495" s="44"/>
      <c r="I495" s="44"/>
      <c r="J495" s="44"/>
      <c r="K495" s="44"/>
      <c r="L495" s="44"/>
      <c r="M495" s="44"/>
      <c r="N495" s="44"/>
      <c r="O495" s="44"/>
    </row>
    <row r="496" spans="1:15" ht="17.25" customHeight="1">
      <c r="A496" s="44"/>
      <c r="B496" s="44"/>
      <c r="C496" s="44"/>
      <c r="D496" s="44"/>
      <c r="E496" s="44"/>
      <c r="F496" s="44"/>
      <c r="G496" s="44"/>
      <c r="H496" s="44"/>
      <c r="I496" s="44"/>
      <c r="J496" s="44"/>
      <c r="K496" s="44"/>
      <c r="L496" s="44"/>
      <c r="M496" s="44"/>
      <c r="N496" s="44"/>
      <c r="O496" s="44"/>
    </row>
    <row r="497" spans="1:15" ht="17.25" customHeight="1">
      <c r="A497" s="44"/>
      <c r="B497" s="44"/>
      <c r="C497" s="44"/>
      <c r="D497" s="44"/>
      <c r="E497" s="44"/>
      <c r="F497" s="44"/>
      <c r="G497" s="44"/>
      <c r="H497" s="44"/>
      <c r="I497" s="44"/>
      <c r="J497" s="44"/>
      <c r="K497" s="44"/>
      <c r="L497" s="44"/>
      <c r="M497" s="44"/>
      <c r="N497" s="44"/>
      <c r="O497" s="44"/>
    </row>
    <row r="498" spans="1:15" ht="17.25" customHeight="1">
      <c r="A498" s="44"/>
      <c r="B498" s="44"/>
      <c r="C498" s="44"/>
      <c r="D498" s="44"/>
      <c r="E498" s="44"/>
      <c r="F498" s="44"/>
      <c r="G498" s="44"/>
      <c r="H498" s="44"/>
      <c r="I498" s="44"/>
      <c r="J498" s="44"/>
      <c r="K498" s="44"/>
      <c r="L498" s="44"/>
      <c r="M498" s="44"/>
      <c r="N498" s="44"/>
      <c r="O498" s="44"/>
    </row>
    <row r="499" spans="1:15" ht="17.25" customHeight="1">
      <c r="A499" s="44"/>
      <c r="B499" s="44"/>
      <c r="C499" s="44"/>
      <c r="D499" s="44"/>
      <c r="E499" s="44"/>
      <c r="F499" s="44"/>
      <c r="G499" s="44"/>
      <c r="H499" s="44"/>
      <c r="I499" s="44"/>
      <c r="J499" s="44"/>
      <c r="K499" s="44"/>
      <c r="L499" s="44"/>
      <c r="M499" s="44"/>
      <c r="N499" s="44"/>
      <c r="O499" s="44"/>
    </row>
    <row r="500" spans="1:15" ht="17.25" customHeight="1">
      <c r="A500" s="44"/>
      <c r="B500" s="44"/>
      <c r="C500" s="44"/>
      <c r="D500" s="44"/>
      <c r="E500" s="44"/>
      <c r="F500" s="44"/>
      <c r="G500" s="44"/>
      <c r="H500" s="44"/>
      <c r="I500" s="44"/>
      <c r="J500" s="44"/>
      <c r="K500" s="44"/>
      <c r="L500" s="44"/>
      <c r="M500" s="44"/>
      <c r="N500" s="44"/>
      <c r="O500" s="44"/>
    </row>
    <row r="501" spans="1:15" ht="17.25" customHeight="1">
      <c r="A501" s="44"/>
      <c r="B501" s="44"/>
      <c r="C501" s="44"/>
      <c r="D501" s="44"/>
      <c r="E501" s="44"/>
      <c r="F501" s="44"/>
      <c r="G501" s="44"/>
      <c r="H501" s="44"/>
      <c r="I501" s="44"/>
      <c r="J501" s="44"/>
      <c r="K501" s="44"/>
      <c r="L501" s="44"/>
      <c r="M501" s="44"/>
      <c r="N501" s="44"/>
      <c r="O501" s="44"/>
    </row>
    <row r="502" spans="1:15" ht="17.25" customHeight="1">
      <c r="A502" s="44"/>
      <c r="B502" s="44"/>
      <c r="C502" s="44"/>
      <c r="D502" s="44"/>
      <c r="E502" s="44"/>
      <c r="F502" s="44"/>
      <c r="G502" s="44"/>
      <c r="H502" s="44"/>
      <c r="I502" s="44"/>
      <c r="J502" s="44"/>
      <c r="K502" s="44"/>
      <c r="L502" s="44"/>
      <c r="M502" s="44"/>
      <c r="N502" s="44"/>
      <c r="O502" s="44"/>
    </row>
    <row r="503" spans="1:15" ht="17.25" customHeight="1">
      <c r="A503" s="44"/>
      <c r="B503" s="44"/>
      <c r="C503" s="44"/>
      <c r="D503" s="44"/>
      <c r="E503" s="44"/>
      <c r="F503" s="44"/>
      <c r="G503" s="44"/>
      <c r="H503" s="44"/>
      <c r="I503" s="44"/>
      <c r="J503" s="44"/>
      <c r="K503" s="44"/>
      <c r="L503" s="44"/>
      <c r="M503" s="44"/>
      <c r="N503" s="44"/>
      <c r="O503" s="44"/>
    </row>
    <row r="504" spans="1:15" ht="17.25" customHeight="1">
      <c r="A504" s="44"/>
      <c r="B504" s="44"/>
      <c r="C504" s="44"/>
      <c r="D504" s="44"/>
      <c r="E504" s="44"/>
      <c r="F504" s="44"/>
      <c r="G504" s="44"/>
      <c r="H504" s="44"/>
      <c r="I504" s="44"/>
      <c r="J504" s="44"/>
      <c r="K504" s="44"/>
      <c r="L504" s="44"/>
      <c r="M504" s="44"/>
      <c r="N504" s="44"/>
      <c r="O504" s="44"/>
    </row>
    <row r="505" spans="1:15" ht="17.25" customHeight="1">
      <c r="A505" s="44"/>
      <c r="B505" s="44"/>
      <c r="C505" s="44"/>
      <c r="D505" s="44"/>
      <c r="E505" s="44"/>
      <c r="F505" s="44"/>
      <c r="G505" s="44"/>
      <c r="H505" s="44"/>
      <c r="I505" s="44"/>
      <c r="J505" s="44"/>
      <c r="K505" s="44"/>
      <c r="L505" s="44"/>
      <c r="M505" s="44"/>
      <c r="N505" s="44"/>
      <c r="O505" s="44"/>
    </row>
    <row r="506" spans="1:15" ht="17.25" customHeight="1">
      <c r="A506" s="44"/>
      <c r="B506" s="44"/>
      <c r="C506" s="44"/>
      <c r="D506" s="44"/>
      <c r="E506" s="44"/>
      <c r="F506" s="44"/>
      <c r="G506" s="44"/>
      <c r="H506" s="44"/>
      <c r="I506" s="44"/>
      <c r="J506" s="44"/>
      <c r="K506" s="44"/>
      <c r="L506" s="44"/>
      <c r="M506" s="44"/>
      <c r="N506" s="44"/>
      <c r="O506" s="44"/>
    </row>
    <row r="507" spans="1:15" ht="17.25" customHeight="1">
      <c r="A507" s="44"/>
      <c r="B507" s="44"/>
      <c r="C507" s="44"/>
      <c r="D507" s="44"/>
      <c r="E507" s="44"/>
      <c r="F507" s="44"/>
      <c r="G507" s="44"/>
      <c r="H507" s="44"/>
      <c r="I507" s="44"/>
      <c r="J507" s="44"/>
      <c r="K507" s="44"/>
      <c r="L507" s="44"/>
      <c r="M507" s="44"/>
      <c r="N507" s="44"/>
      <c r="O507" s="44"/>
    </row>
    <row r="508" spans="1:15" ht="17.25" customHeight="1">
      <c r="A508" s="44"/>
      <c r="B508" s="44"/>
      <c r="C508" s="44"/>
      <c r="D508" s="44"/>
      <c r="E508" s="44"/>
      <c r="F508" s="44"/>
      <c r="G508" s="44"/>
      <c r="H508" s="44"/>
      <c r="I508" s="44"/>
      <c r="J508" s="44"/>
      <c r="K508" s="44"/>
      <c r="L508" s="44"/>
      <c r="M508" s="44"/>
      <c r="N508" s="44"/>
      <c r="O508" s="44"/>
    </row>
    <row r="509" spans="1:15" ht="17.25" customHeight="1">
      <c r="A509" s="44"/>
      <c r="B509" s="44"/>
      <c r="C509" s="44"/>
      <c r="D509" s="44"/>
      <c r="E509" s="44"/>
      <c r="F509" s="44"/>
      <c r="G509" s="44"/>
      <c r="H509" s="44"/>
      <c r="I509" s="44"/>
      <c r="J509" s="44"/>
      <c r="K509" s="44"/>
      <c r="L509" s="44"/>
      <c r="M509" s="44"/>
      <c r="N509" s="44"/>
      <c r="O509" s="44"/>
    </row>
    <row r="510" spans="1:15" ht="17.25" customHeight="1">
      <c r="A510" s="44"/>
      <c r="B510" s="44"/>
      <c r="C510" s="44"/>
      <c r="D510" s="44"/>
      <c r="E510" s="44"/>
      <c r="F510" s="44"/>
      <c r="G510" s="44"/>
      <c r="H510" s="44"/>
      <c r="I510" s="44"/>
      <c r="J510" s="44"/>
      <c r="K510" s="44"/>
      <c r="L510" s="44"/>
      <c r="M510" s="44"/>
      <c r="N510" s="44"/>
      <c r="O510" s="44"/>
    </row>
    <row r="511" spans="1:15" ht="17.25" customHeight="1">
      <c r="A511" s="44"/>
      <c r="B511" s="44"/>
      <c r="C511" s="44"/>
      <c r="D511" s="44"/>
      <c r="E511" s="44"/>
      <c r="F511" s="44"/>
      <c r="G511" s="44"/>
      <c r="H511" s="44"/>
      <c r="I511" s="44"/>
      <c r="J511" s="44"/>
      <c r="K511" s="44"/>
      <c r="L511" s="44"/>
      <c r="M511" s="44"/>
      <c r="N511" s="44"/>
      <c r="O511" s="44"/>
    </row>
    <row r="512" spans="1:15" ht="17.25" customHeight="1">
      <c r="A512" s="44"/>
      <c r="B512" s="44"/>
      <c r="C512" s="44"/>
      <c r="D512" s="44"/>
      <c r="E512" s="44"/>
      <c r="F512" s="44"/>
      <c r="G512" s="44"/>
      <c r="H512" s="44"/>
      <c r="I512" s="44"/>
      <c r="J512" s="44"/>
      <c r="K512" s="44"/>
      <c r="L512" s="44"/>
      <c r="M512" s="44"/>
      <c r="N512" s="44"/>
      <c r="O512" s="44"/>
    </row>
    <row r="513" spans="1:15" ht="17.25" customHeight="1">
      <c r="A513" s="44"/>
      <c r="B513" s="44"/>
      <c r="C513" s="44"/>
      <c r="D513" s="44"/>
      <c r="E513" s="44"/>
      <c r="F513" s="44"/>
      <c r="G513" s="44"/>
      <c r="H513" s="44"/>
      <c r="I513" s="44"/>
      <c r="J513" s="44"/>
      <c r="K513" s="44"/>
      <c r="L513" s="44"/>
      <c r="M513" s="44"/>
      <c r="N513" s="44"/>
      <c r="O513" s="44"/>
    </row>
    <row r="514" spans="1:15" ht="17.25" customHeight="1">
      <c r="A514" s="44"/>
      <c r="B514" s="44"/>
      <c r="C514" s="44"/>
      <c r="D514" s="44"/>
      <c r="E514" s="44"/>
      <c r="F514" s="44"/>
      <c r="G514" s="44"/>
      <c r="H514" s="44"/>
      <c r="I514" s="44"/>
      <c r="J514" s="44"/>
      <c r="K514" s="44"/>
      <c r="L514" s="44"/>
      <c r="M514" s="44"/>
      <c r="N514" s="44"/>
      <c r="O514" s="44"/>
    </row>
    <row r="515" spans="1:15" ht="17.25" customHeight="1">
      <c r="A515" s="44"/>
      <c r="B515" s="44"/>
      <c r="C515" s="44"/>
      <c r="D515" s="44"/>
      <c r="E515" s="44"/>
      <c r="F515" s="44"/>
      <c r="G515" s="44"/>
      <c r="H515" s="44"/>
      <c r="I515" s="44"/>
      <c r="J515" s="44"/>
      <c r="K515" s="44"/>
      <c r="L515" s="44"/>
      <c r="M515" s="44"/>
      <c r="N515" s="44"/>
      <c r="O515" s="44"/>
    </row>
    <row r="516" spans="1:15" ht="17.25" customHeight="1">
      <c r="A516" s="44"/>
      <c r="B516" s="44"/>
      <c r="C516" s="44"/>
      <c r="D516" s="44"/>
      <c r="E516" s="44"/>
      <c r="F516" s="44"/>
      <c r="G516" s="44"/>
      <c r="H516" s="44"/>
      <c r="I516" s="44"/>
      <c r="J516" s="44"/>
      <c r="K516" s="44"/>
      <c r="L516" s="44"/>
      <c r="M516" s="44"/>
      <c r="N516" s="44"/>
      <c r="O516" s="44"/>
    </row>
    <row r="517" spans="1:15" ht="17.25" customHeight="1">
      <c r="A517" s="44"/>
      <c r="B517" s="44"/>
      <c r="C517" s="44"/>
      <c r="D517" s="44"/>
      <c r="E517" s="44"/>
      <c r="F517" s="44"/>
      <c r="G517" s="44"/>
      <c r="H517" s="44"/>
      <c r="I517" s="44"/>
      <c r="J517" s="44"/>
      <c r="K517" s="44"/>
      <c r="L517" s="44"/>
      <c r="M517" s="44"/>
      <c r="N517" s="44"/>
      <c r="O517" s="44"/>
    </row>
    <row r="518" spans="1:15" ht="17.25" customHeight="1">
      <c r="A518" s="44"/>
      <c r="B518" s="44"/>
      <c r="C518" s="44"/>
      <c r="D518" s="44"/>
      <c r="E518" s="44"/>
      <c r="F518" s="44"/>
      <c r="G518" s="44"/>
      <c r="H518" s="44"/>
      <c r="I518" s="44"/>
      <c r="J518" s="44"/>
      <c r="K518" s="44"/>
      <c r="L518" s="44"/>
      <c r="M518" s="44"/>
      <c r="N518" s="44"/>
      <c r="O518" s="44"/>
    </row>
    <row r="519" spans="1:15" ht="17.25" customHeight="1">
      <c r="A519" s="44"/>
      <c r="B519" s="44"/>
      <c r="C519" s="44"/>
      <c r="D519" s="44"/>
      <c r="E519" s="44"/>
      <c r="F519" s="44"/>
      <c r="G519" s="44"/>
      <c r="H519" s="44"/>
      <c r="I519" s="44"/>
      <c r="J519" s="44"/>
      <c r="K519" s="44"/>
      <c r="L519" s="44"/>
      <c r="M519" s="44"/>
      <c r="N519" s="44"/>
      <c r="O519" s="44"/>
    </row>
    <row r="520" spans="1:15" ht="17.25" customHeight="1">
      <c r="A520" s="44"/>
      <c r="B520" s="44"/>
      <c r="C520" s="44"/>
      <c r="D520" s="44"/>
      <c r="E520" s="44"/>
      <c r="F520" s="44"/>
      <c r="G520" s="44"/>
      <c r="H520" s="44"/>
      <c r="I520" s="44"/>
      <c r="J520" s="44"/>
      <c r="K520" s="44"/>
      <c r="L520" s="44"/>
      <c r="M520" s="44"/>
      <c r="N520" s="44"/>
      <c r="O520" s="44"/>
    </row>
    <row r="521" spans="1:15" ht="17.25" customHeight="1">
      <c r="A521" s="44"/>
      <c r="B521" s="44"/>
      <c r="C521" s="44"/>
      <c r="D521" s="44"/>
      <c r="E521" s="44"/>
      <c r="F521" s="44"/>
      <c r="G521" s="44"/>
      <c r="H521" s="44"/>
      <c r="I521" s="44"/>
      <c r="J521" s="44"/>
      <c r="K521" s="44"/>
      <c r="L521" s="44"/>
      <c r="M521" s="44"/>
      <c r="N521" s="44"/>
      <c r="O521" s="44"/>
    </row>
    <row r="522" spans="1:15" ht="17.25" customHeight="1">
      <c r="A522" s="44"/>
      <c r="B522" s="44"/>
      <c r="C522" s="44"/>
      <c r="D522" s="44"/>
      <c r="E522" s="44"/>
      <c r="F522" s="44"/>
      <c r="G522" s="44"/>
      <c r="H522" s="44"/>
      <c r="I522" s="44"/>
      <c r="J522" s="44"/>
      <c r="K522" s="44"/>
      <c r="L522" s="44"/>
      <c r="M522" s="44"/>
      <c r="N522" s="44"/>
      <c r="O522" s="44"/>
    </row>
    <row r="523" spans="1:15" ht="17.25" customHeight="1">
      <c r="A523" s="44"/>
      <c r="B523" s="44"/>
      <c r="C523" s="44"/>
      <c r="D523" s="44"/>
      <c r="E523" s="44"/>
      <c r="F523" s="44"/>
      <c r="G523" s="44"/>
      <c r="H523" s="44"/>
      <c r="I523" s="44"/>
      <c r="J523" s="44"/>
      <c r="K523" s="44"/>
      <c r="L523" s="44"/>
      <c r="M523" s="44"/>
      <c r="N523" s="44"/>
      <c r="O523" s="44"/>
    </row>
    <row r="524" spans="1:15" ht="17.25" customHeight="1">
      <c r="A524" s="44"/>
      <c r="B524" s="44"/>
      <c r="C524" s="44"/>
      <c r="D524" s="44"/>
      <c r="E524" s="44"/>
      <c r="F524" s="44"/>
      <c r="G524" s="44"/>
      <c r="H524" s="44"/>
      <c r="I524" s="44"/>
      <c r="J524" s="44"/>
      <c r="K524" s="44"/>
      <c r="L524" s="44"/>
      <c r="M524" s="44"/>
      <c r="N524" s="44"/>
      <c r="O524" s="44"/>
    </row>
    <row r="525" spans="1:15" ht="17.25" customHeight="1">
      <c r="A525" s="44"/>
      <c r="B525" s="44"/>
      <c r="C525" s="44"/>
      <c r="D525" s="44"/>
      <c r="E525" s="44"/>
      <c r="F525" s="44"/>
      <c r="G525" s="44"/>
      <c r="H525" s="44"/>
      <c r="I525" s="44"/>
      <c r="J525" s="44"/>
      <c r="K525" s="44"/>
      <c r="L525" s="44"/>
      <c r="M525" s="44"/>
      <c r="N525" s="44"/>
      <c r="O525" s="44"/>
    </row>
    <row r="526" spans="1:15" ht="17.25" customHeight="1">
      <c r="A526" s="44"/>
      <c r="B526" s="44"/>
      <c r="C526" s="44"/>
      <c r="D526" s="44"/>
      <c r="E526" s="44"/>
      <c r="F526" s="44"/>
      <c r="G526" s="44"/>
      <c r="H526" s="44"/>
      <c r="I526" s="44"/>
      <c r="J526" s="44"/>
      <c r="K526" s="44"/>
      <c r="L526" s="44"/>
      <c r="M526" s="44"/>
      <c r="N526" s="44"/>
      <c r="O526" s="44"/>
    </row>
    <row r="527" spans="1:15" ht="17.25" customHeight="1">
      <c r="A527" s="44"/>
      <c r="B527" s="44"/>
      <c r="C527" s="44"/>
      <c r="D527" s="44"/>
      <c r="E527" s="44"/>
      <c r="F527" s="44"/>
      <c r="G527" s="44"/>
      <c r="H527" s="44"/>
      <c r="I527" s="44"/>
      <c r="J527" s="44"/>
      <c r="K527" s="44"/>
      <c r="L527" s="44"/>
      <c r="M527" s="44"/>
      <c r="N527" s="44"/>
      <c r="O527" s="44"/>
    </row>
    <row r="528" spans="1:15" ht="17.25" customHeight="1">
      <c r="A528" s="44"/>
      <c r="B528" s="44"/>
      <c r="C528" s="44"/>
      <c r="D528" s="44"/>
      <c r="E528" s="44"/>
      <c r="F528" s="44"/>
      <c r="G528" s="44"/>
      <c r="H528" s="44"/>
      <c r="I528" s="44"/>
      <c r="J528" s="44"/>
      <c r="K528" s="44"/>
      <c r="L528" s="44"/>
      <c r="M528" s="44"/>
      <c r="N528" s="44"/>
      <c r="O528" s="44"/>
    </row>
    <row r="529" spans="1:15" ht="17.25" customHeight="1">
      <c r="A529" s="44"/>
      <c r="B529" s="44"/>
      <c r="C529" s="44"/>
      <c r="D529" s="44"/>
      <c r="E529" s="44"/>
      <c r="F529" s="44"/>
      <c r="G529" s="44"/>
      <c r="H529" s="44"/>
      <c r="I529" s="44"/>
      <c r="J529" s="44"/>
      <c r="K529" s="44"/>
      <c r="L529" s="44"/>
      <c r="M529" s="44"/>
      <c r="N529" s="44"/>
      <c r="O529" s="44"/>
    </row>
    <row r="530" spans="1:15" ht="17.25" customHeight="1">
      <c r="A530" s="44"/>
      <c r="B530" s="44"/>
      <c r="C530" s="44"/>
      <c r="D530" s="44"/>
      <c r="E530" s="44"/>
      <c r="F530" s="44"/>
      <c r="G530" s="44"/>
      <c r="H530" s="44"/>
      <c r="I530" s="44"/>
      <c r="J530" s="44"/>
      <c r="K530" s="44"/>
      <c r="L530" s="44"/>
      <c r="M530" s="44"/>
      <c r="N530" s="44"/>
      <c r="O530" s="44"/>
    </row>
    <row r="531" spans="1:15" ht="17.25" customHeight="1">
      <c r="A531" s="44"/>
      <c r="B531" s="44"/>
      <c r="C531" s="44"/>
      <c r="D531" s="44"/>
      <c r="E531" s="44"/>
      <c r="F531" s="44"/>
      <c r="G531" s="44"/>
      <c r="H531" s="44"/>
      <c r="I531" s="44"/>
      <c r="J531" s="44"/>
      <c r="K531" s="44"/>
      <c r="L531" s="44"/>
      <c r="M531" s="44"/>
      <c r="N531" s="44"/>
      <c r="O531" s="44"/>
    </row>
    <row r="532" spans="1:15" ht="17.25" customHeight="1">
      <c r="A532" s="44"/>
      <c r="B532" s="44"/>
      <c r="C532" s="44"/>
      <c r="D532" s="44"/>
      <c r="E532" s="44"/>
      <c r="F532" s="44"/>
      <c r="G532" s="44"/>
      <c r="H532" s="44"/>
      <c r="I532" s="44"/>
      <c r="J532" s="44"/>
      <c r="K532" s="44"/>
      <c r="L532" s="44"/>
      <c r="M532" s="44"/>
      <c r="N532" s="44"/>
      <c r="O532" s="44"/>
    </row>
    <row r="533" spans="1:15" ht="17.25" customHeight="1">
      <c r="A533" s="44"/>
      <c r="B533" s="44"/>
      <c r="C533" s="44"/>
      <c r="D533" s="44"/>
      <c r="E533" s="44"/>
      <c r="F533" s="44"/>
      <c r="G533" s="44"/>
      <c r="H533" s="44"/>
      <c r="I533" s="44"/>
      <c r="J533" s="44"/>
      <c r="K533" s="44"/>
      <c r="L533" s="44"/>
      <c r="M533" s="44"/>
      <c r="N533" s="44"/>
      <c r="O533" s="44"/>
    </row>
    <row r="534" spans="1:15" ht="17.25" customHeight="1">
      <c r="A534" s="44"/>
      <c r="B534" s="44"/>
      <c r="C534" s="44"/>
      <c r="D534" s="44"/>
      <c r="E534" s="44"/>
      <c r="F534" s="44"/>
      <c r="G534" s="44"/>
      <c r="H534" s="44"/>
      <c r="I534" s="44"/>
      <c r="J534" s="44"/>
      <c r="K534" s="44"/>
      <c r="L534" s="44"/>
      <c r="M534" s="44"/>
      <c r="N534" s="44"/>
      <c r="O534" s="44"/>
    </row>
    <row r="535" spans="1:15" ht="17.25" customHeight="1">
      <c r="A535" s="44"/>
      <c r="B535" s="44"/>
      <c r="C535" s="44"/>
      <c r="D535" s="44"/>
      <c r="E535" s="44"/>
      <c r="F535" s="44"/>
      <c r="G535" s="44"/>
      <c r="H535" s="44"/>
      <c r="I535" s="44"/>
      <c r="J535" s="44"/>
      <c r="K535" s="44"/>
      <c r="L535" s="44"/>
      <c r="M535" s="44"/>
      <c r="N535" s="44"/>
      <c r="O535" s="44"/>
    </row>
    <row r="536" spans="1:15" ht="17.25" customHeight="1">
      <c r="A536" s="44"/>
      <c r="B536" s="44"/>
      <c r="C536" s="44"/>
      <c r="D536" s="44"/>
      <c r="E536" s="44"/>
      <c r="F536" s="44"/>
      <c r="G536" s="44"/>
      <c r="H536" s="44"/>
      <c r="I536" s="44"/>
      <c r="J536" s="44"/>
      <c r="K536" s="44"/>
      <c r="L536" s="44"/>
      <c r="M536" s="44"/>
      <c r="N536" s="44"/>
      <c r="O536" s="44"/>
    </row>
    <row r="537" spans="1:15" ht="17.25" customHeight="1">
      <c r="A537" s="44"/>
      <c r="B537" s="44"/>
      <c r="C537" s="44"/>
      <c r="D537" s="44"/>
      <c r="E537" s="44"/>
      <c r="F537" s="44"/>
      <c r="G537" s="44"/>
      <c r="H537" s="44"/>
      <c r="I537" s="44"/>
      <c r="J537" s="44"/>
      <c r="K537" s="44"/>
      <c r="L537" s="44"/>
      <c r="M537" s="44"/>
      <c r="N537" s="44"/>
      <c r="O537" s="44"/>
    </row>
    <row r="538" spans="1:15" ht="17.25" customHeight="1">
      <c r="A538" s="44"/>
      <c r="B538" s="44"/>
      <c r="C538" s="44"/>
      <c r="D538" s="44"/>
      <c r="E538" s="44"/>
      <c r="F538" s="44"/>
      <c r="G538" s="44"/>
      <c r="H538" s="44"/>
      <c r="I538" s="44"/>
      <c r="J538" s="44"/>
      <c r="K538" s="44"/>
      <c r="L538" s="44"/>
      <c r="M538" s="44"/>
      <c r="N538" s="44"/>
      <c r="O538" s="44"/>
    </row>
    <row r="539" spans="1:15" ht="17.25" customHeight="1">
      <c r="A539" s="44"/>
      <c r="B539" s="44"/>
      <c r="C539" s="44"/>
      <c r="D539" s="44"/>
      <c r="E539" s="44"/>
      <c r="F539" s="44"/>
      <c r="G539" s="44"/>
      <c r="H539" s="44"/>
      <c r="I539" s="44"/>
      <c r="J539" s="44"/>
      <c r="K539" s="44"/>
      <c r="L539" s="44"/>
      <c r="M539" s="44"/>
      <c r="N539" s="44"/>
      <c r="O539" s="44"/>
    </row>
    <row r="540" spans="1:15" ht="17.25" customHeight="1">
      <c r="A540" s="44"/>
      <c r="B540" s="44"/>
      <c r="C540" s="44"/>
      <c r="D540" s="44"/>
      <c r="E540" s="44"/>
      <c r="F540" s="44"/>
      <c r="G540" s="44"/>
      <c r="H540" s="44"/>
      <c r="I540" s="44"/>
      <c r="J540" s="44"/>
      <c r="K540" s="44"/>
      <c r="L540" s="44"/>
      <c r="M540" s="44"/>
      <c r="N540" s="44"/>
      <c r="O540" s="44"/>
    </row>
    <row r="541" spans="1:15" ht="17.25" customHeight="1">
      <c r="A541" s="44"/>
      <c r="B541" s="44"/>
      <c r="C541" s="44"/>
      <c r="D541" s="44"/>
      <c r="E541" s="44"/>
      <c r="F541" s="44"/>
      <c r="G541" s="44"/>
      <c r="H541" s="44"/>
      <c r="I541" s="44"/>
      <c r="J541" s="44"/>
      <c r="K541" s="44"/>
      <c r="L541" s="44"/>
      <c r="M541" s="44"/>
      <c r="N541" s="44"/>
      <c r="O541" s="44"/>
    </row>
    <row r="542" spans="1:15" ht="17.25" customHeight="1">
      <c r="A542" s="44"/>
      <c r="B542" s="44"/>
      <c r="C542" s="44"/>
      <c r="D542" s="44"/>
      <c r="E542" s="44"/>
      <c r="F542" s="44"/>
      <c r="G542" s="44"/>
      <c r="H542" s="44"/>
      <c r="I542" s="44"/>
      <c r="J542" s="44"/>
      <c r="K542" s="44"/>
      <c r="L542" s="44"/>
      <c r="M542" s="44"/>
      <c r="N542" s="44"/>
      <c r="O542" s="44"/>
    </row>
    <row r="543" spans="1:15" ht="17.25" customHeight="1">
      <c r="A543" s="44"/>
      <c r="B543" s="44"/>
      <c r="C543" s="44"/>
      <c r="D543" s="44"/>
      <c r="E543" s="44"/>
      <c r="F543" s="44"/>
      <c r="G543" s="44"/>
      <c r="H543" s="44"/>
      <c r="I543" s="44"/>
      <c r="J543" s="44"/>
      <c r="K543" s="44"/>
      <c r="L543" s="44"/>
      <c r="M543" s="44"/>
      <c r="N543" s="44"/>
      <c r="O543" s="44"/>
    </row>
    <row r="544" spans="1:15" ht="17.25" customHeight="1">
      <c r="A544" s="44"/>
      <c r="B544" s="44"/>
      <c r="C544" s="44"/>
      <c r="D544" s="44"/>
      <c r="E544" s="44"/>
      <c r="F544" s="44"/>
      <c r="G544" s="44"/>
      <c r="H544" s="44"/>
      <c r="I544" s="44"/>
      <c r="J544" s="44"/>
      <c r="K544" s="44"/>
      <c r="L544" s="44"/>
      <c r="M544" s="44"/>
      <c r="N544" s="44"/>
      <c r="O544" s="44"/>
    </row>
    <row r="545" spans="1:15" ht="17.25" customHeight="1">
      <c r="A545" s="44"/>
      <c r="B545" s="44"/>
      <c r="C545" s="44"/>
      <c r="D545" s="44"/>
      <c r="E545" s="44"/>
      <c r="F545" s="44"/>
      <c r="G545" s="44"/>
      <c r="H545" s="44"/>
      <c r="I545" s="44"/>
      <c r="J545" s="44"/>
      <c r="K545" s="44"/>
      <c r="L545" s="44"/>
      <c r="M545" s="44"/>
      <c r="N545" s="44"/>
      <c r="O545" s="44"/>
    </row>
    <row r="546" spans="1:15" ht="17.25" customHeight="1">
      <c r="A546" s="44"/>
      <c r="B546" s="44"/>
      <c r="C546" s="44"/>
      <c r="D546" s="44"/>
      <c r="E546" s="44"/>
      <c r="F546" s="44"/>
      <c r="G546" s="44"/>
      <c r="H546" s="44"/>
      <c r="I546" s="44"/>
      <c r="J546" s="44"/>
      <c r="K546" s="44"/>
      <c r="L546" s="44"/>
      <c r="M546" s="44"/>
      <c r="N546" s="44"/>
      <c r="O546" s="44"/>
    </row>
    <row r="547" spans="1:15" ht="17.25" customHeight="1">
      <c r="A547" s="44"/>
      <c r="B547" s="44"/>
      <c r="C547" s="44"/>
      <c r="D547" s="44"/>
      <c r="E547" s="44"/>
      <c r="F547" s="44"/>
      <c r="G547" s="44"/>
      <c r="H547" s="44"/>
      <c r="I547" s="44"/>
      <c r="J547" s="44"/>
      <c r="K547" s="44"/>
      <c r="L547" s="44"/>
      <c r="M547" s="44"/>
      <c r="N547" s="44"/>
      <c r="O547" s="44"/>
    </row>
    <row r="548" spans="1:15" ht="17.25" customHeight="1">
      <c r="A548" s="44"/>
      <c r="B548" s="44"/>
      <c r="C548" s="44"/>
      <c r="D548" s="44"/>
      <c r="E548" s="44"/>
      <c r="F548" s="44"/>
      <c r="G548" s="44"/>
      <c r="H548" s="44"/>
      <c r="I548" s="44"/>
      <c r="J548" s="44"/>
      <c r="K548" s="44"/>
      <c r="L548" s="44"/>
      <c r="M548" s="44"/>
      <c r="N548" s="44"/>
      <c r="O548" s="44"/>
    </row>
    <row r="549" spans="1:15" ht="17.25" customHeight="1">
      <c r="A549" s="44"/>
      <c r="B549" s="44"/>
      <c r="C549" s="44"/>
      <c r="D549" s="44"/>
      <c r="E549" s="44"/>
      <c r="F549" s="44"/>
      <c r="G549" s="44"/>
      <c r="H549" s="44"/>
      <c r="I549" s="44"/>
      <c r="J549" s="44"/>
      <c r="K549" s="44"/>
      <c r="L549" s="44"/>
      <c r="M549" s="44"/>
      <c r="N549" s="44"/>
      <c r="O549" s="44"/>
    </row>
    <row r="550" spans="1:15" ht="17.25" customHeight="1">
      <c r="A550" s="44"/>
      <c r="B550" s="44"/>
      <c r="C550" s="44"/>
      <c r="D550" s="44"/>
      <c r="E550" s="44"/>
      <c r="F550" s="44"/>
      <c r="G550" s="44"/>
      <c r="H550" s="44"/>
      <c r="I550" s="44"/>
      <c r="J550" s="44"/>
      <c r="K550" s="44"/>
      <c r="L550" s="44"/>
      <c r="M550" s="44"/>
      <c r="N550" s="44"/>
      <c r="O550" s="44"/>
    </row>
    <row r="551" spans="1:15" ht="17.25" customHeight="1">
      <c r="A551" s="44"/>
      <c r="B551" s="44"/>
      <c r="C551" s="44"/>
      <c r="D551" s="44"/>
      <c r="E551" s="44"/>
      <c r="F551" s="44"/>
      <c r="G551" s="44"/>
      <c r="H551" s="44"/>
      <c r="I551" s="44"/>
      <c r="J551" s="44"/>
      <c r="K551" s="44"/>
      <c r="L551" s="44"/>
      <c r="M551" s="44"/>
      <c r="N551" s="44"/>
      <c r="O551" s="44"/>
    </row>
    <row r="552" spans="1:15" ht="17.25" customHeight="1">
      <c r="A552" s="44"/>
      <c r="B552" s="44"/>
      <c r="C552" s="44"/>
      <c r="D552" s="44"/>
      <c r="E552" s="44"/>
      <c r="F552" s="44"/>
      <c r="G552" s="44"/>
      <c r="H552" s="44"/>
      <c r="I552" s="44"/>
      <c r="J552" s="44"/>
      <c r="K552" s="44"/>
      <c r="L552" s="44"/>
      <c r="M552" s="44"/>
      <c r="N552" s="44"/>
      <c r="O552" s="44"/>
    </row>
    <row r="553" spans="1:15" ht="17.25" customHeight="1">
      <c r="A553" s="44"/>
      <c r="B553" s="44"/>
      <c r="C553" s="44"/>
      <c r="D553" s="44"/>
      <c r="E553" s="44"/>
      <c r="F553" s="44"/>
      <c r="G553" s="44"/>
      <c r="H553" s="44"/>
      <c r="I553" s="44"/>
      <c r="J553" s="44"/>
      <c r="K553" s="44"/>
      <c r="L553" s="44"/>
      <c r="M553" s="44"/>
      <c r="N553" s="44"/>
      <c r="O553" s="44"/>
    </row>
    <row r="554" spans="1:15" ht="17.25" customHeight="1">
      <c r="A554" s="44"/>
      <c r="B554" s="44"/>
      <c r="C554" s="44"/>
      <c r="D554" s="44"/>
      <c r="E554" s="44"/>
      <c r="F554" s="44"/>
      <c r="G554" s="44"/>
      <c r="H554" s="44"/>
      <c r="I554" s="44"/>
      <c r="J554" s="44"/>
      <c r="K554" s="44"/>
      <c r="L554" s="44"/>
      <c r="M554" s="44"/>
      <c r="N554" s="44"/>
      <c r="O554" s="44"/>
    </row>
    <row r="555" spans="1:15" ht="17.25" customHeight="1">
      <c r="A555" s="44"/>
      <c r="B555" s="44"/>
      <c r="C555" s="44"/>
      <c r="D555" s="44"/>
      <c r="E555" s="44"/>
      <c r="F555" s="44"/>
      <c r="G555" s="44"/>
      <c r="H555" s="44"/>
      <c r="I555" s="44"/>
      <c r="J555" s="44"/>
      <c r="K555" s="44"/>
      <c r="L555" s="44"/>
      <c r="M555" s="44"/>
      <c r="N555" s="44"/>
      <c r="O555" s="44"/>
    </row>
    <row r="556" spans="1:15" ht="17.25" customHeight="1">
      <c r="A556" s="44"/>
      <c r="B556" s="44"/>
      <c r="C556" s="44"/>
      <c r="D556" s="44"/>
      <c r="E556" s="44"/>
      <c r="F556" s="44"/>
      <c r="G556" s="44"/>
      <c r="H556" s="44"/>
      <c r="I556" s="44"/>
      <c r="J556" s="44"/>
      <c r="K556" s="44"/>
      <c r="L556" s="44"/>
      <c r="M556" s="44"/>
      <c r="N556" s="44"/>
      <c r="O556" s="44"/>
    </row>
    <row r="557" spans="1:15" ht="17.25" customHeight="1">
      <c r="A557" s="44"/>
      <c r="B557" s="44"/>
      <c r="C557" s="44"/>
      <c r="D557" s="44"/>
      <c r="E557" s="44"/>
      <c r="F557" s="44"/>
      <c r="G557" s="44"/>
      <c r="H557" s="44"/>
      <c r="I557" s="44"/>
      <c r="J557" s="44"/>
      <c r="K557" s="44"/>
      <c r="L557" s="44"/>
      <c r="M557" s="44"/>
      <c r="N557" s="44"/>
      <c r="O557" s="44"/>
    </row>
    <row r="558" spans="1:15" ht="17.25" customHeight="1">
      <c r="A558" s="44"/>
      <c r="B558" s="44"/>
      <c r="C558" s="44"/>
      <c r="D558" s="44"/>
      <c r="E558" s="44"/>
      <c r="F558" s="44"/>
      <c r="G558" s="44"/>
      <c r="H558" s="44"/>
      <c r="I558" s="44"/>
      <c r="J558" s="44"/>
      <c r="K558" s="44"/>
      <c r="L558" s="44"/>
      <c r="M558" s="44"/>
      <c r="N558" s="44"/>
      <c r="O558" s="44"/>
    </row>
    <row r="559" spans="1:15" ht="17.25" customHeight="1">
      <c r="A559" s="44"/>
      <c r="B559" s="44"/>
      <c r="C559" s="44"/>
      <c r="D559" s="44"/>
      <c r="E559" s="44"/>
      <c r="F559" s="44"/>
      <c r="G559" s="44"/>
      <c r="H559" s="44"/>
      <c r="I559" s="44"/>
      <c r="J559" s="44"/>
      <c r="K559" s="44"/>
      <c r="L559" s="44"/>
      <c r="M559" s="44"/>
      <c r="N559" s="44"/>
      <c r="O559" s="44"/>
    </row>
    <row r="560" spans="1:15" ht="17.25" customHeight="1">
      <c r="A560" s="44"/>
      <c r="B560" s="44"/>
      <c r="C560" s="44"/>
      <c r="D560" s="44"/>
      <c r="E560" s="44"/>
      <c r="F560" s="44"/>
      <c r="G560" s="44"/>
      <c r="H560" s="44"/>
      <c r="I560" s="44"/>
      <c r="J560" s="44"/>
      <c r="K560" s="44"/>
      <c r="L560" s="44"/>
      <c r="M560" s="44"/>
      <c r="N560" s="44"/>
      <c r="O560" s="44"/>
    </row>
    <row r="561" spans="1:15" ht="17.25" customHeight="1">
      <c r="A561" s="44"/>
      <c r="B561" s="44"/>
      <c r="C561" s="44"/>
      <c r="D561" s="44"/>
      <c r="E561" s="44"/>
      <c r="F561" s="44"/>
      <c r="G561" s="44"/>
      <c r="H561" s="44"/>
      <c r="I561" s="44"/>
      <c r="J561" s="44"/>
      <c r="K561" s="44"/>
      <c r="L561" s="44"/>
      <c r="M561" s="44"/>
      <c r="N561" s="44"/>
      <c r="O561" s="44"/>
    </row>
    <row r="562" spans="1:15" ht="17.25" customHeight="1">
      <c r="A562" s="44"/>
      <c r="B562" s="44"/>
      <c r="C562" s="44"/>
      <c r="D562" s="44"/>
      <c r="E562" s="44"/>
      <c r="F562" s="44"/>
      <c r="G562" s="44"/>
      <c r="H562" s="44"/>
      <c r="I562" s="44"/>
      <c r="J562" s="44"/>
      <c r="K562" s="44"/>
      <c r="L562" s="44"/>
      <c r="M562" s="44"/>
      <c r="N562" s="44"/>
      <c r="O562" s="44"/>
    </row>
    <row r="563" spans="1:15" ht="17.25" customHeight="1">
      <c r="A563" s="44"/>
      <c r="B563" s="44"/>
      <c r="C563" s="44"/>
      <c r="D563" s="44"/>
      <c r="E563" s="44"/>
      <c r="F563" s="44"/>
      <c r="G563" s="44"/>
      <c r="H563" s="44"/>
      <c r="I563" s="44"/>
      <c r="J563" s="44"/>
      <c r="K563" s="44"/>
      <c r="L563" s="44"/>
      <c r="M563" s="44"/>
      <c r="N563" s="44"/>
      <c r="O563" s="44"/>
    </row>
    <row r="564" spans="1:15" ht="17.25" customHeight="1">
      <c r="A564" s="44"/>
      <c r="B564" s="44"/>
      <c r="C564" s="44"/>
      <c r="D564" s="44"/>
      <c r="E564" s="44"/>
      <c r="F564" s="44"/>
      <c r="G564" s="44"/>
      <c r="H564" s="44"/>
      <c r="I564" s="44"/>
      <c r="J564" s="44"/>
      <c r="K564" s="44"/>
      <c r="L564" s="44"/>
      <c r="M564" s="44"/>
      <c r="N564" s="44"/>
      <c r="O564" s="44"/>
    </row>
    <row r="565" spans="1:15" ht="17.25" customHeight="1">
      <c r="A565" s="44"/>
      <c r="B565" s="44"/>
      <c r="C565" s="44"/>
      <c r="D565" s="44"/>
      <c r="E565" s="44"/>
      <c r="F565" s="44"/>
      <c r="G565" s="44"/>
      <c r="H565" s="44"/>
      <c r="I565" s="44"/>
      <c r="J565" s="44"/>
      <c r="K565" s="44"/>
      <c r="L565" s="44"/>
      <c r="M565" s="44"/>
      <c r="N565" s="44"/>
      <c r="O565" s="44"/>
    </row>
    <row r="566" spans="1:15" ht="17.25" customHeight="1">
      <c r="A566" s="44"/>
      <c r="B566" s="44"/>
      <c r="C566" s="44"/>
      <c r="D566" s="44"/>
      <c r="E566" s="44"/>
      <c r="F566" s="44"/>
      <c r="G566" s="44"/>
      <c r="H566" s="44"/>
      <c r="I566" s="44"/>
      <c r="J566" s="44"/>
      <c r="K566" s="44"/>
      <c r="L566" s="44"/>
      <c r="M566" s="44"/>
      <c r="N566" s="44"/>
      <c r="O566" s="44"/>
    </row>
    <row r="567" spans="1:15" ht="17.25" customHeight="1">
      <c r="A567" s="44"/>
      <c r="B567" s="44"/>
      <c r="C567" s="44"/>
      <c r="D567" s="44"/>
      <c r="E567" s="44"/>
      <c r="F567" s="44"/>
      <c r="G567" s="44"/>
      <c r="H567" s="44"/>
      <c r="I567" s="44"/>
      <c r="J567" s="44"/>
      <c r="K567" s="44"/>
      <c r="L567" s="44"/>
      <c r="M567" s="44"/>
      <c r="N567" s="44"/>
      <c r="O567" s="44"/>
    </row>
    <row r="568" spans="1:15" ht="17.25" customHeight="1">
      <c r="A568" s="44"/>
      <c r="B568" s="44"/>
      <c r="C568" s="44"/>
      <c r="D568" s="44"/>
      <c r="E568" s="44"/>
      <c r="F568" s="44"/>
      <c r="G568" s="44"/>
      <c r="H568" s="44"/>
      <c r="I568" s="44"/>
      <c r="J568" s="44"/>
      <c r="K568" s="44"/>
      <c r="L568" s="44"/>
      <c r="M568" s="44"/>
      <c r="N568" s="44"/>
      <c r="O568" s="44"/>
    </row>
    <row r="569" spans="1:15" ht="17.25" customHeight="1">
      <c r="A569" s="44"/>
      <c r="B569" s="44"/>
      <c r="C569" s="44"/>
      <c r="D569" s="44"/>
      <c r="E569" s="44"/>
      <c r="F569" s="44"/>
      <c r="G569" s="44"/>
      <c r="H569" s="44"/>
      <c r="I569" s="44"/>
      <c r="J569" s="44"/>
      <c r="K569" s="44"/>
      <c r="L569" s="44"/>
      <c r="M569" s="44"/>
      <c r="N569" s="44"/>
      <c r="O569" s="44"/>
    </row>
    <row r="570" spans="1:15" ht="17.25" customHeight="1">
      <c r="A570" s="44"/>
      <c r="B570" s="44"/>
      <c r="C570" s="44"/>
      <c r="D570" s="44"/>
      <c r="E570" s="44"/>
      <c r="F570" s="44"/>
      <c r="G570" s="44"/>
      <c r="H570" s="44"/>
      <c r="I570" s="44"/>
      <c r="J570" s="44"/>
      <c r="K570" s="44"/>
      <c r="L570" s="44"/>
      <c r="M570" s="44"/>
      <c r="N570" s="44"/>
      <c r="O570" s="44"/>
    </row>
    <row r="571" spans="1:15" ht="17.25" customHeight="1">
      <c r="A571" s="44"/>
      <c r="B571" s="44"/>
      <c r="C571" s="44"/>
      <c r="D571" s="44"/>
      <c r="E571" s="44"/>
      <c r="F571" s="44"/>
      <c r="G571" s="44"/>
      <c r="H571" s="44"/>
      <c r="I571" s="44"/>
      <c r="J571" s="44"/>
      <c r="K571" s="44"/>
      <c r="L571" s="44"/>
      <c r="M571" s="44"/>
      <c r="N571" s="44"/>
      <c r="O571" s="44"/>
    </row>
    <row r="572" spans="1:15" ht="17.25" customHeight="1">
      <c r="A572" s="44"/>
      <c r="B572" s="44"/>
      <c r="C572" s="44"/>
      <c r="D572" s="44"/>
      <c r="E572" s="44"/>
      <c r="F572" s="44"/>
      <c r="G572" s="44"/>
      <c r="H572" s="44"/>
      <c r="I572" s="44"/>
      <c r="J572" s="44"/>
      <c r="K572" s="44"/>
      <c r="L572" s="44"/>
      <c r="M572" s="44"/>
      <c r="N572" s="44"/>
      <c r="O572" s="44"/>
    </row>
    <row r="573" spans="1:15" ht="17.25" customHeight="1">
      <c r="A573" s="44"/>
      <c r="B573" s="44"/>
      <c r="C573" s="44"/>
      <c r="D573" s="44"/>
      <c r="E573" s="44"/>
      <c r="F573" s="44"/>
      <c r="G573" s="44"/>
      <c r="H573" s="44"/>
      <c r="I573" s="44"/>
      <c r="J573" s="44"/>
      <c r="K573" s="44"/>
      <c r="L573" s="44"/>
      <c r="M573" s="44"/>
      <c r="N573" s="44"/>
      <c r="O573" s="44"/>
    </row>
    <row r="574" spans="1:15" ht="17.25" customHeight="1">
      <c r="A574" s="44"/>
      <c r="B574" s="44"/>
      <c r="C574" s="44"/>
      <c r="D574" s="44"/>
      <c r="E574" s="44"/>
      <c r="F574" s="44"/>
      <c r="G574" s="44"/>
      <c r="H574" s="44"/>
      <c r="I574" s="44"/>
      <c r="J574" s="44"/>
      <c r="K574" s="44"/>
      <c r="L574" s="44"/>
      <c r="M574" s="44"/>
      <c r="N574" s="44"/>
      <c r="O574" s="44"/>
    </row>
    <row r="575" spans="1:15" ht="17.25" customHeight="1">
      <c r="A575" s="44"/>
      <c r="B575" s="44"/>
      <c r="C575" s="44"/>
      <c r="D575" s="44"/>
      <c r="E575" s="44"/>
      <c r="F575" s="44"/>
      <c r="G575" s="44"/>
      <c r="H575" s="44"/>
      <c r="I575" s="44"/>
      <c r="J575" s="44"/>
      <c r="K575" s="44"/>
      <c r="L575" s="44"/>
      <c r="M575" s="44"/>
      <c r="N575" s="44"/>
      <c r="O575" s="44"/>
    </row>
    <row r="576" spans="1:15" ht="17.25" customHeight="1">
      <c r="A576" s="44"/>
      <c r="B576" s="44"/>
      <c r="C576" s="44"/>
      <c r="D576" s="44"/>
      <c r="E576" s="44"/>
      <c r="F576" s="44"/>
      <c r="G576" s="44"/>
      <c r="H576" s="44"/>
      <c r="I576" s="44"/>
      <c r="J576" s="44"/>
      <c r="K576" s="44"/>
      <c r="L576" s="44"/>
      <c r="M576" s="44"/>
      <c r="N576" s="44"/>
      <c r="O576" s="44"/>
    </row>
    <row r="577" spans="1:15" ht="17.25" customHeight="1">
      <c r="A577" s="44"/>
      <c r="B577" s="44"/>
      <c r="C577" s="44"/>
      <c r="D577" s="44"/>
      <c r="E577" s="44"/>
      <c r="F577" s="44"/>
      <c r="G577" s="44"/>
      <c r="H577" s="44"/>
      <c r="I577" s="44"/>
      <c r="J577" s="44"/>
      <c r="K577" s="44"/>
      <c r="L577" s="44"/>
      <c r="M577" s="44"/>
      <c r="N577" s="44"/>
      <c r="O577" s="44"/>
    </row>
    <row r="578" spans="1:15" ht="17.25" customHeight="1">
      <c r="A578" s="44"/>
      <c r="B578" s="44"/>
      <c r="C578" s="44"/>
      <c r="D578" s="44"/>
      <c r="E578" s="44"/>
      <c r="F578" s="44"/>
      <c r="G578" s="44"/>
      <c r="H578" s="44"/>
      <c r="I578" s="44"/>
      <c r="J578" s="44"/>
      <c r="K578" s="44"/>
      <c r="L578" s="44"/>
      <c r="M578" s="44"/>
      <c r="N578" s="44"/>
      <c r="O578" s="44"/>
    </row>
    <row r="579" spans="1:15" ht="17.25" customHeight="1">
      <c r="A579" s="44"/>
      <c r="B579" s="44"/>
      <c r="C579" s="44"/>
      <c r="D579" s="44"/>
      <c r="E579" s="44"/>
      <c r="F579" s="44"/>
      <c r="G579" s="44"/>
      <c r="H579" s="44"/>
      <c r="I579" s="44"/>
      <c r="J579" s="44"/>
      <c r="K579" s="44"/>
      <c r="L579" s="44"/>
      <c r="M579" s="44"/>
      <c r="N579" s="44"/>
      <c r="O579" s="44"/>
    </row>
    <row r="580" spans="1:15" ht="17.25" customHeight="1">
      <c r="A580" s="44"/>
      <c r="B580" s="44"/>
      <c r="C580" s="44"/>
      <c r="D580" s="44"/>
      <c r="E580" s="44"/>
      <c r="F580" s="44"/>
      <c r="G580" s="44"/>
      <c r="H580" s="44"/>
      <c r="I580" s="44"/>
      <c r="J580" s="44"/>
      <c r="K580" s="44"/>
      <c r="L580" s="44"/>
      <c r="M580" s="44"/>
      <c r="N580" s="44"/>
      <c r="O580" s="44"/>
    </row>
    <row r="581" spans="1:15" ht="17.25" customHeight="1">
      <c r="A581" s="44"/>
      <c r="B581" s="44"/>
      <c r="C581" s="44"/>
      <c r="D581" s="44"/>
      <c r="E581" s="44"/>
      <c r="F581" s="44"/>
      <c r="G581" s="44"/>
      <c r="H581" s="44"/>
      <c r="I581" s="44"/>
      <c r="J581" s="44"/>
      <c r="K581" s="44"/>
      <c r="L581" s="44"/>
      <c r="M581" s="44"/>
      <c r="N581" s="44"/>
      <c r="O581" s="44"/>
    </row>
    <row r="582" spans="1:15" ht="17.25" customHeight="1">
      <c r="A582" s="44"/>
      <c r="B582" s="44"/>
      <c r="C582" s="44"/>
      <c r="D582" s="44"/>
      <c r="E582" s="44"/>
      <c r="F582" s="44"/>
      <c r="G582" s="44"/>
      <c r="H582" s="44"/>
      <c r="I582" s="44"/>
      <c r="J582" s="44"/>
      <c r="K582" s="44"/>
      <c r="L582" s="44"/>
      <c r="M582" s="44"/>
      <c r="N582" s="44"/>
      <c r="O582" s="44"/>
    </row>
    <row r="583" spans="1:15" ht="17.25" customHeight="1">
      <c r="A583" s="44"/>
      <c r="B583" s="44"/>
      <c r="C583" s="44"/>
      <c r="D583" s="44"/>
      <c r="E583" s="44"/>
      <c r="F583" s="44"/>
      <c r="G583" s="44"/>
      <c r="H583" s="44"/>
      <c r="I583" s="44"/>
      <c r="J583" s="44"/>
      <c r="K583" s="44"/>
      <c r="L583" s="44"/>
      <c r="M583" s="44"/>
      <c r="N583" s="44"/>
      <c r="O583" s="44"/>
    </row>
    <row r="584" spans="1:15" ht="17.25" customHeight="1">
      <c r="A584" s="44"/>
      <c r="B584" s="44"/>
      <c r="C584" s="44"/>
      <c r="D584" s="44"/>
      <c r="E584" s="44"/>
      <c r="F584" s="44"/>
      <c r="G584" s="44"/>
      <c r="H584" s="44"/>
      <c r="I584" s="44"/>
      <c r="J584" s="44"/>
      <c r="K584" s="44"/>
      <c r="L584" s="44"/>
      <c r="M584" s="44"/>
      <c r="N584" s="44"/>
      <c r="O584" s="44"/>
    </row>
    <row r="585" spans="1:15" ht="17.25" customHeight="1">
      <c r="A585" s="44"/>
      <c r="B585" s="44"/>
      <c r="C585" s="44"/>
      <c r="D585" s="44"/>
      <c r="E585" s="44"/>
      <c r="F585" s="44"/>
      <c r="G585" s="44"/>
      <c r="H585" s="44"/>
      <c r="I585" s="44"/>
      <c r="J585" s="44"/>
      <c r="K585" s="44"/>
      <c r="L585" s="44"/>
      <c r="M585" s="44"/>
      <c r="N585" s="44"/>
      <c r="O585" s="44"/>
    </row>
    <row r="586" spans="1:15" ht="17.25" customHeight="1">
      <c r="A586" s="44"/>
      <c r="B586" s="44"/>
      <c r="C586" s="44"/>
      <c r="D586" s="44"/>
      <c r="E586" s="44"/>
      <c r="F586" s="44"/>
      <c r="G586" s="44"/>
      <c r="H586" s="44"/>
      <c r="I586" s="44"/>
      <c r="J586" s="44"/>
      <c r="K586" s="44"/>
      <c r="L586" s="44"/>
      <c r="M586" s="44"/>
      <c r="N586" s="44"/>
      <c r="O586" s="44"/>
    </row>
    <row r="587" spans="1:15" ht="17.25" customHeight="1">
      <c r="A587" s="44"/>
      <c r="B587" s="44"/>
      <c r="C587" s="44"/>
      <c r="D587" s="44"/>
      <c r="E587" s="44"/>
      <c r="F587" s="44"/>
      <c r="G587" s="44"/>
      <c r="H587" s="44"/>
      <c r="I587" s="44"/>
      <c r="J587" s="44"/>
      <c r="K587" s="44"/>
      <c r="L587" s="44"/>
      <c r="M587" s="44"/>
      <c r="N587" s="44"/>
      <c r="O587" s="44"/>
    </row>
    <row r="588" spans="1:15" ht="17.25" customHeight="1">
      <c r="A588" s="44"/>
      <c r="B588" s="44"/>
      <c r="C588" s="44"/>
      <c r="D588" s="44"/>
      <c r="E588" s="44"/>
      <c r="F588" s="44"/>
      <c r="G588" s="44"/>
      <c r="H588" s="44"/>
      <c r="I588" s="44"/>
      <c r="J588" s="44"/>
      <c r="K588" s="44"/>
      <c r="L588" s="44"/>
      <c r="M588" s="44"/>
      <c r="N588" s="44"/>
      <c r="O588" s="44"/>
    </row>
    <row r="589" spans="1:15" ht="17.25" customHeight="1">
      <c r="A589" s="44"/>
      <c r="B589" s="44"/>
      <c r="C589" s="44"/>
      <c r="D589" s="44"/>
      <c r="E589" s="44"/>
      <c r="F589" s="44"/>
      <c r="G589" s="44"/>
      <c r="H589" s="44"/>
      <c r="I589" s="44"/>
      <c r="J589" s="44"/>
      <c r="K589" s="44"/>
      <c r="L589" s="44"/>
      <c r="M589" s="44"/>
      <c r="N589" s="44"/>
      <c r="O589" s="44"/>
    </row>
    <row r="590" spans="1:15" ht="17.25" customHeight="1">
      <c r="A590" s="44"/>
      <c r="B590" s="44"/>
      <c r="C590" s="44"/>
      <c r="D590" s="44"/>
      <c r="E590" s="44"/>
      <c r="F590" s="44"/>
      <c r="G590" s="44"/>
      <c r="H590" s="44"/>
      <c r="I590" s="44"/>
      <c r="J590" s="44"/>
      <c r="K590" s="44"/>
      <c r="L590" s="44"/>
      <c r="M590" s="44"/>
      <c r="N590" s="44"/>
      <c r="O590" s="44"/>
    </row>
    <row r="591" spans="1:15" ht="17.25" customHeight="1">
      <c r="A591" s="44"/>
      <c r="B591" s="44"/>
      <c r="C591" s="44"/>
      <c r="D591" s="44"/>
      <c r="E591" s="44"/>
      <c r="F591" s="44"/>
      <c r="G591" s="44"/>
      <c r="H591" s="44"/>
      <c r="I591" s="44"/>
      <c r="J591" s="44"/>
      <c r="K591" s="44"/>
      <c r="L591" s="44"/>
      <c r="M591" s="44"/>
      <c r="N591" s="44"/>
      <c r="O591" s="44"/>
    </row>
    <row r="592" spans="1:15" ht="17.25" customHeight="1">
      <c r="A592" s="44"/>
      <c r="B592" s="44"/>
      <c r="C592" s="44"/>
      <c r="D592" s="44"/>
      <c r="E592" s="44"/>
      <c r="F592" s="44"/>
      <c r="G592" s="44"/>
      <c r="H592" s="44"/>
      <c r="I592" s="44"/>
      <c r="J592" s="44"/>
      <c r="K592" s="44"/>
      <c r="L592" s="44"/>
      <c r="M592" s="44"/>
      <c r="N592" s="44"/>
      <c r="O592" s="44"/>
    </row>
    <row r="593" spans="1:15" ht="17.25" customHeight="1">
      <c r="A593" s="44"/>
      <c r="B593" s="44"/>
      <c r="C593" s="44"/>
      <c r="D593" s="44"/>
      <c r="E593" s="44"/>
      <c r="F593" s="44"/>
      <c r="G593" s="44"/>
      <c r="H593" s="44"/>
      <c r="I593" s="44"/>
      <c r="J593" s="44"/>
      <c r="K593" s="44"/>
      <c r="L593" s="44"/>
      <c r="M593" s="44"/>
      <c r="N593" s="44"/>
      <c r="O593" s="44"/>
    </row>
    <row r="594" spans="1:15" ht="17.25" customHeight="1">
      <c r="A594" s="44"/>
      <c r="B594" s="44"/>
      <c r="C594" s="44"/>
      <c r="D594" s="44"/>
      <c r="E594" s="44"/>
      <c r="F594" s="44"/>
      <c r="G594" s="44"/>
      <c r="H594" s="44"/>
      <c r="I594" s="44"/>
      <c r="J594" s="44"/>
      <c r="K594" s="44"/>
      <c r="L594" s="44"/>
      <c r="M594" s="44"/>
      <c r="N594" s="44"/>
      <c r="O594" s="44"/>
    </row>
    <row r="595" spans="1:15" ht="17.25" customHeight="1">
      <c r="A595" s="44"/>
      <c r="B595" s="44"/>
      <c r="C595" s="44"/>
      <c r="D595" s="44"/>
      <c r="E595" s="44"/>
      <c r="F595" s="44"/>
      <c r="G595" s="44"/>
      <c r="H595" s="44"/>
      <c r="I595" s="44"/>
      <c r="J595" s="44"/>
      <c r="K595" s="44"/>
      <c r="L595" s="44"/>
      <c r="M595" s="44"/>
      <c r="N595" s="44"/>
      <c r="O595" s="44"/>
    </row>
    <row r="596" spans="1:15" ht="17.25" customHeight="1">
      <c r="A596" s="44"/>
      <c r="B596" s="44"/>
      <c r="C596" s="44"/>
      <c r="D596" s="44"/>
      <c r="E596" s="44"/>
      <c r="F596" s="44"/>
      <c r="G596" s="44"/>
      <c r="H596" s="44"/>
      <c r="I596" s="44"/>
      <c r="J596" s="44"/>
      <c r="K596" s="44"/>
      <c r="L596" s="44"/>
      <c r="M596" s="44"/>
      <c r="N596" s="44"/>
      <c r="O596" s="44"/>
    </row>
    <row r="597" spans="1:15" ht="17.25" customHeight="1">
      <c r="A597" s="44"/>
      <c r="B597" s="44"/>
      <c r="C597" s="44"/>
      <c r="D597" s="44"/>
      <c r="E597" s="44"/>
      <c r="F597" s="44"/>
      <c r="G597" s="44"/>
      <c r="H597" s="44"/>
      <c r="I597" s="44"/>
      <c r="J597" s="44"/>
      <c r="K597" s="44"/>
      <c r="L597" s="44"/>
      <c r="M597" s="44"/>
      <c r="N597" s="44"/>
      <c r="O597" s="44"/>
    </row>
    <row r="598" spans="1:15" ht="17.25" customHeight="1">
      <c r="A598" s="44"/>
      <c r="B598" s="44"/>
      <c r="C598" s="44"/>
      <c r="D598" s="44"/>
      <c r="E598" s="44"/>
      <c r="F598" s="44"/>
      <c r="G598" s="44"/>
      <c r="H598" s="44"/>
      <c r="I598" s="44"/>
      <c r="J598" s="44"/>
      <c r="K598" s="44"/>
      <c r="L598" s="44"/>
      <c r="M598" s="44"/>
      <c r="N598" s="44"/>
      <c r="O598" s="44"/>
    </row>
    <row r="599" spans="1:15" ht="17.25" customHeight="1">
      <c r="A599" s="44"/>
      <c r="B599" s="44"/>
      <c r="C599" s="44"/>
      <c r="D599" s="44"/>
      <c r="E599" s="44"/>
      <c r="F599" s="44"/>
      <c r="G599" s="44"/>
      <c r="H599" s="44"/>
      <c r="I599" s="44"/>
      <c r="J599" s="44"/>
      <c r="K599" s="44"/>
      <c r="L599" s="44"/>
      <c r="M599" s="44"/>
      <c r="N599" s="44"/>
      <c r="O599" s="44"/>
    </row>
    <row r="600" spans="1:15" ht="17.25" customHeight="1">
      <c r="A600" s="44"/>
      <c r="B600" s="44"/>
      <c r="C600" s="44"/>
      <c r="D600" s="44"/>
      <c r="E600" s="44"/>
      <c r="F600" s="44"/>
      <c r="G600" s="44"/>
      <c r="H600" s="44"/>
      <c r="I600" s="44"/>
      <c r="J600" s="44"/>
      <c r="K600" s="44"/>
      <c r="L600" s="44"/>
      <c r="M600" s="44"/>
      <c r="N600" s="44"/>
      <c r="O600" s="44"/>
    </row>
    <row r="601" spans="1:15" ht="17.25" customHeight="1">
      <c r="A601" s="44"/>
      <c r="B601" s="44"/>
      <c r="C601" s="44"/>
      <c r="D601" s="44"/>
      <c r="E601" s="44"/>
      <c r="F601" s="44"/>
      <c r="G601" s="44"/>
      <c r="H601" s="44"/>
      <c r="I601" s="44"/>
      <c r="J601" s="44"/>
      <c r="K601" s="44"/>
      <c r="L601" s="44"/>
      <c r="M601" s="44"/>
      <c r="N601" s="44"/>
      <c r="O601" s="44"/>
    </row>
    <row r="602" spans="1:15" ht="17.25" customHeight="1">
      <c r="A602" s="44"/>
      <c r="B602" s="44"/>
      <c r="C602" s="44"/>
      <c r="D602" s="44"/>
      <c r="E602" s="44"/>
      <c r="F602" s="44"/>
      <c r="G602" s="44"/>
      <c r="H602" s="44"/>
      <c r="I602" s="44"/>
      <c r="J602" s="44"/>
      <c r="K602" s="44"/>
      <c r="L602" s="44"/>
      <c r="M602" s="44"/>
      <c r="N602" s="44"/>
      <c r="O602" s="44"/>
    </row>
    <row r="603" spans="1:15" ht="17.25" customHeight="1">
      <c r="A603" s="44"/>
      <c r="B603" s="44"/>
      <c r="C603" s="44"/>
      <c r="D603" s="44"/>
      <c r="E603" s="44"/>
      <c r="F603" s="44"/>
      <c r="G603" s="44"/>
      <c r="H603" s="44"/>
      <c r="I603" s="44"/>
      <c r="J603" s="44"/>
      <c r="K603" s="44"/>
      <c r="L603" s="44"/>
      <c r="M603" s="44"/>
      <c r="N603" s="44"/>
      <c r="O603" s="44"/>
    </row>
    <row r="604" spans="1:15" ht="17.25" customHeight="1">
      <c r="A604" s="44"/>
      <c r="B604" s="44"/>
      <c r="C604" s="44"/>
      <c r="D604" s="44"/>
      <c r="E604" s="44"/>
      <c r="F604" s="44"/>
      <c r="G604" s="44"/>
      <c r="H604" s="44"/>
      <c r="I604" s="44"/>
      <c r="J604" s="44"/>
      <c r="K604" s="44"/>
      <c r="L604" s="44"/>
      <c r="M604" s="44"/>
      <c r="N604" s="44"/>
      <c r="O604" s="44"/>
    </row>
    <row r="605" spans="1:15" ht="17.25" customHeight="1">
      <c r="A605" s="44"/>
      <c r="B605" s="44"/>
      <c r="C605" s="44"/>
      <c r="D605" s="44"/>
      <c r="E605" s="44"/>
      <c r="F605" s="44"/>
      <c r="G605" s="44"/>
      <c r="H605" s="44"/>
      <c r="I605" s="44"/>
      <c r="J605" s="44"/>
      <c r="K605" s="44"/>
      <c r="L605" s="44"/>
      <c r="M605" s="44"/>
      <c r="N605" s="44"/>
      <c r="O605" s="44"/>
    </row>
    <row r="606" spans="1:15" ht="17.25" customHeight="1">
      <c r="A606" s="44"/>
      <c r="B606" s="44"/>
      <c r="C606" s="44"/>
      <c r="D606" s="44"/>
      <c r="E606" s="44"/>
      <c r="F606" s="44"/>
      <c r="G606" s="44"/>
      <c r="H606" s="44"/>
      <c r="I606" s="44"/>
      <c r="J606" s="44"/>
      <c r="K606" s="44"/>
      <c r="L606" s="44"/>
      <c r="M606" s="44"/>
      <c r="N606" s="44"/>
      <c r="O606" s="44"/>
    </row>
    <row r="607" spans="1:15" ht="17.25" customHeight="1">
      <c r="A607" s="44"/>
      <c r="B607" s="44"/>
      <c r="C607" s="44"/>
      <c r="D607" s="44"/>
      <c r="E607" s="44"/>
      <c r="F607" s="44"/>
      <c r="G607" s="44"/>
      <c r="H607" s="44"/>
      <c r="I607" s="44"/>
      <c r="J607" s="44"/>
      <c r="K607" s="44"/>
      <c r="L607" s="44"/>
      <c r="M607" s="44"/>
      <c r="N607" s="44"/>
      <c r="O607" s="44"/>
    </row>
    <row r="608" spans="1:15" ht="17.25" customHeight="1">
      <c r="A608" s="44"/>
      <c r="B608" s="44"/>
      <c r="C608" s="44"/>
      <c r="D608" s="44"/>
      <c r="E608" s="44"/>
      <c r="F608" s="44"/>
      <c r="G608" s="44"/>
      <c r="H608" s="44"/>
      <c r="I608" s="44"/>
      <c r="J608" s="44"/>
      <c r="K608" s="44"/>
      <c r="L608" s="44"/>
      <c r="M608" s="44"/>
      <c r="N608" s="44"/>
      <c r="O608" s="44"/>
    </row>
    <row r="609" spans="1:15" ht="17.25" customHeight="1">
      <c r="A609" s="44"/>
      <c r="B609" s="44"/>
      <c r="C609" s="44"/>
      <c r="D609" s="44"/>
      <c r="E609" s="44"/>
      <c r="F609" s="44"/>
      <c r="G609" s="44"/>
      <c r="H609" s="44"/>
      <c r="I609" s="44"/>
      <c r="J609" s="44"/>
      <c r="K609" s="44"/>
      <c r="L609" s="44"/>
      <c r="M609" s="44"/>
      <c r="N609" s="44"/>
      <c r="O609" s="44"/>
    </row>
    <row r="610" spans="1:15" ht="17.25" customHeight="1">
      <c r="A610" s="44"/>
      <c r="B610" s="44"/>
      <c r="C610" s="44"/>
      <c r="D610" s="44"/>
      <c r="E610" s="44"/>
      <c r="F610" s="44"/>
      <c r="G610" s="44"/>
      <c r="H610" s="44"/>
      <c r="I610" s="44"/>
      <c r="J610" s="44"/>
      <c r="K610" s="44"/>
      <c r="L610" s="44"/>
      <c r="M610" s="44"/>
      <c r="N610" s="44"/>
      <c r="O610" s="44"/>
    </row>
    <row r="611" spans="1:15" ht="17.25" customHeight="1">
      <c r="A611" s="44"/>
      <c r="B611" s="44"/>
      <c r="C611" s="44"/>
      <c r="D611" s="44"/>
      <c r="E611" s="44"/>
      <c r="F611" s="44"/>
      <c r="G611" s="44"/>
      <c r="H611" s="44"/>
      <c r="I611" s="44"/>
      <c r="J611" s="44"/>
      <c r="K611" s="44"/>
      <c r="L611" s="44"/>
      <c r="M611" s="44"/>
      <c r="N611" s="44"/>
      <c r="O611" s="44"/>
    </row>
    <row r="612" spans="1:15" ht="17.25" customHeight="1">
      <c r="A612" s="44"/>
      <c r="B612" s="44"/>
      <c r="C612" s="44"/>
      <c r="D612" s="44"/>
      <c r="E612" s="44"/>
      <c r="F612" s="44"/>
      <c r="G612" s="44"/>
      <c r="H612" s="44"/>
      <c r="I612" s="44"/>
      <c r="J612" s="44"/>
      <c r="K612" s="44"/>
      <c r="L612" s="44"/>
      <c r="M612" s="44"/>
      <c r="N612" s="44"/>
      <c r="O612" s="44"/>
    </row>
    <row r="613" spans="1:15" ht="17.25" customHeight="1">
      <c r="A613" s="44"/>
      <c r="B613" s="44"/>
      <c r="C613" s="44"/>
      <c r="D613" s="44"/>
      <c r="E613" s="44"/>
      <c r="F613" s="44"/>
      <c r="G613" s="44"/>
      <c r="H613" s="44"/>
      <c r="I613" s="44"/>
      <c r="J613" s="44"/>
      <c r="K613" s="44"/>
      <c r="L613" s="44"/>
      <c r="M613" s="44"/>
      <c r="N613" s="44"/>
      <c r="O613" s="44"/>
    </row>
    <row r="614" spans="1:15" ht="17.25" customHeight="1">
      <c r="A614" s="44"/>
      <c r="B614" s="44"/>
      <c r="C614" s="44"/>
      <c r="D614" s="44"/>
      <c r="E614" s="44"/>
      <c r="F614" s="44"/>
      <c r="G614" s="44"/>
      <c r="H614" s="44"/>
      <c r="I614" s="44"/>
      <c r="J614" s="44"/>
      <c r="K614" s="44"/>
      <c r="L614" s="44"/>
      <c r="M614" s="44"/>
      <c r="N614" s="44"/>
      <c r="O614" s="44"/>
    </row>
    <row r="615" spans="1:15" ht="17.25" customHeight="1">
      <c r="A615" s="44"/>
      <c r="B615" s="44"/>
      <c r="C615" s="44"/>
      <c r="D615" s="44"/>
      <c r="E615" s="44"/>
      <c r="F615" s="44"/>
      <c r="G615" s="44"/>
      <c r="H615" s="44"/>
      <c r="I615" s="44"/>
      <c r="J615" s="44"/>
      <c r="K615" s="44"/>
      <c r="L615" s="44"/>
      <c r="M615" s="44"/>
      <c r="N615" s="44"/>
      <c r="O615" s="44"/>
    </row>
    <row r="616" spans="1:15" ht="17.25" customHeight="1">
      <c r="A616" s="44"/>
      <c r="B616" s="44"/>
      <c r="C616" s="44"/>
      <c r="D616" s="44"/>
      <c r="E616" s="44"/>
      <c r="F616" s="44"/>
      <c r="G616" s="44"/>
      <c r="H616" s="44"/>
      <c r="I616" s="44"/>
      <c r="J616" s="44"/>
      <c r="K616" s="44"/>
      <c r="L616" s="44"/>
      <c r="M616" s="44"/>
      <c r="N616" s="44"/>
      <c r="O616" s="44"/>
    </row>
    <row r="617" spans="1:15" ht="17.25" customHeight="1">
      <c r="A617" s="44"/>
      <c r="B617" s="44"/>
      <c r="C617" s="44"/>
      <c r="D617" s="44"/>
      <c r="E617" s="44"/>
      <c r="F617" s="44"/>
      <c r="G617" s="44"/>
      <c r="H617" s="44"/>
      <c r="I617" s="44"/>
      <c r="J617" s="44"/>
      <c r="K617" s="44"/>
      <c r="L617" s="44"/>
      <c r="M617" s="44"/>
      <c r="N617" s="44"/>
      <c r="O617" s="44"/>
    </row>
    <row r="618" spans="1:15" ht="17.25" customHeight="1">
      <c r="A618" s="44"/>
      <c r="B618" s="44"/>
      <c r="C618" s="44"/>
      <c r="D618" s="44"/>
      <c r="E618" s="44"/>
      <c r="F618" s="44"/>
      <c r="G618" s="44"/>
      <c r="H618" s="44"/>
      <c r="I618" s="44"/>
      <c r="J618" s="44"/>
      <c r="K618" s="44"/>
      <c r="L618" s="44"/>
      <c r="M618" s="44"/>
      <c r="N618" s="44"/>
      <c r="O618" s="44"/>
    </row>
    <row r="619" spans="1:15" ht="17.25" customHeight="1">
      <c r="A619" s="44"/>
      <c r="B619" s="44"/>
      <c r="C619" s="44"/>
      <c r="D619" s="44"/>
      <c r="E619" s="44"/>
      <c r="F619" s="44"/>
      <c r="G619" s="44"/>
      <c r="H619" s="44"/>
      <c r="I619" s="44"/>
      <c r="J619" s="44"/>
      <c r="K619" s="44"/>
      <c r="L619" s="44"/>
      <c r="M619" s="44"/>
      <c r="N619" s="44"/>
      <c r="O619" s="44"/>
    </row>
    <row r="620" spans="1:15" ht="17.25" customHeight="1">
      <c r="A620" s="44"/>
      <c r="B620" s="44"/>
      <c r="C620" s="44"/>
      <c r="D620" s="44"/>
      <c r="E620" s="44"/>
      <c r="F620" s="44"/>
      <c r="G620" s="44"/>
      <c r="H620" s="44"/>
      <c r="I620" s="44"/>
      <c r="J620" s="44"/>
      <c r="K620" s="44"/>
      <c r="L620" s="44"/>
      <c r="M620" s="44"/>
      <c r="N620" s="44"/>
      <c r="O620" s="44"/>
    </row>
    <row r="621" spans="1:15" ht="17.25" customHeight="1">
      <c r="A621" s="44"/>
      <c r="B621" s="44"/>
      <c r="C621" s="44"/>
      <c r="D621" s="44"/>
      <c r="E621" s="44"/>
      <c r="F621" s="44"/>
      <c r="G621" s="44"/>
      <c r="H621" s="44"/>
      <c r="I621" s="44"/>
      <c r="J621" s="44"/>
      <c r="K621" s="44"/>
      <c r="L621" s="44"/>
      <c r="M621" s="44"/>
      <c r="N621" s="44"/>
      <c r="O621" s="44"/>
    </row>
    <row r="622" spans="1:15" ht="17.25" customHeight="1">
      <c r="A622" s="44"/>
      <c r="B622" s="44"/>
      <c r="C622" s="44"/>
      <c r="D622" s="44"/>
      <c r="E622" s="44"/>
      <c r="F622" s="44"/>
      <c r="G622" s="44"/>
      <c r="H622" s="44"/>
      <c r="I622" s="44"/>
      <c r="J622" s="44"/>
      <c r="K622" s="44"/>
      <c r="L622" s="44"/>
      <c r="M622" s="44"/>
      <c r="N622" s="44"/>
      <c r="O622" s="44"/>
    </row>
    <row r="623" spans="1:15" ht="17.25" customHeight="1">
      <c r="A623" s="44"/>
      <c r="B623" s="44"/>
      <c r="C623" s="44"/>
      <c r="D623" s="44"/>
      <c r="E623" s="44"/>
      <c r="F623" s="44"/>
      <c r="G623" s="44"/>
      <c r="H623" s="44"/>
      <c r="I623" s="44"/>
      <c r="J623" s="44"/>
      <c r="K623" s="44"/>
      <c r="L623" s="44"/>
      <c r="M623" s="44"/>
      <c r="N623" s="44"/>
      <c r="O623" s="44"/>
    </row>
    <row r="624" spans="1:15" ht="17.25" customHeight="1">
      <c r="A624" s="44"/>
      <c r="B624" s="44"/>
      <c r="C624" s="44"/>
      <c r="D624" s="44"/>
      <c r="E624" s="44"/>
      <c r="F624" s="44"/>
      <c r="G624" s="44"/>
      <c r="H624" s="44"/>
      <c r="I624" s="44"/>
      <c r="J624" s="44"/>
      <c r="K624" s="44"/>
      <c r="L624" s="44"/>
      <c r="M624" s="44"/>
      <c r="N624" s="44"/>
      <c r="O624" s="44"/>
    </row>
    <row r="625" spans="1:15" ht="17.25" customHeight="1">
      <c r="A625" s="44"/>
      <c r="B625" s="44"/>
      <c r="C625" s="44"/>
      <c r="D625" s="44"/>
      <c r="E625" s="44"/>
      <c r="F625" s="44"/>
      <c r="G625" s="44"/>
      <c r="H625" s="44"/>
      <c r="I625" s="44"/>
      <c r="J625" s="44"/>
      <c r="K625" s="44"/>
      <c r="L625" s="44"/>
      <c r="M625" s="44"/>
      <c r="N625" s="44"/>
      <c r="O625" s="44"/>
    </row>
    <row r="626" spans="1:15" ht="17.25" customHeight="1">
      <c r="A626" s="44"/>
      <c r="B626" s="44"/>
      <c r="C626" s="44"/>
      <c r="D626" s="44"/>
      <c r="E626" s="44"/>
      <c r="F626" s="44"/>
      <c r="G626" s="44"/>
      <c r="H626" s="44"/>
      <c r="I626" s="44"/>
      <c r="J626" s="44"/>
      <c r="K626" s="44"/>
      <c r="L626" s="44"/>
      <c r="M626" s="44"/>
      <c r="N626" s="44"/>
      <c r="O626" s="44"/>
    </row>
    <row r="627" spans="1:15" ht="17.25" customHeight="1">
      <c r="A627" s="44"/>
      <c r="B627" s="44"/>
      <c r="C627" s="44"/>
      <c r="D627" s="44"/>
      <c r="E627" s="44"/>
      <c r="F627" s="44"/>
      <c r="G627" s="44"/>
      <c r="H627" s="44"/>
      <c r="I627" s="44"/>
      <c r="J627" s="44"/>
      <c r="K627" s="44"/>
      <c r="L627" s="44"/>
      <c r="M627" s="44"/>
      <c r="N627" s="44"/>
      <c r="O627" s="44"/>
    </row>
    <row r="628" spans="1:15" ht="17.25" customHeight="1">
      <c r="A628" s="44"/>
      <c r="B628" s="44"/>
      <c r="C628" s="44"/>
      <c r="D628" s="44"/>
      <c r="E628" s="44"/>
      <c r="F628" s="44"/>
      <c r="G628" s="44"/>
      <c r="H628" s="44"/>
      <c r="I628" s="44"/>
      <c r="J628" s="44"/>
      <c r="K628" s="44"/>
      <c r="L628" s="44"/>
      <c r="M628" s="44"/>
      <c r="N628" s="44"/>
      <c r="O628" s="44"/>
    </row>
    <row r="629" spans="1:15" ht="17.25" customHeight="1">
      <c r="A629" s="44"/>
      <c r="B629" s="44"/>
      <c r="C629" s="44"/>
      <c r="D629" s="44"/>
      <c r="E629" s="44"/>
      <c r="F629" s="44"/>
      <c r="G629" s="44"/>
      <c r="H629" s="44"/>
      <c r="I629" s="44"/>
      <c r="J629" s="44"/>
      <c r="K629" s="44"/>
      <c r="L629" s="44"/>
      <c r="M629" s="44"/>
      <c r="N629" s="44"/>
      <c r="O629" s="44"/>
    </row>
    <row r="630" spans="1:15" ht="17.25" customHeight="1">
      <c r="A630" s="44"/>
      <c r="B630" s="44"/>
      <c r="C630" s="44"/>
      <c r="D630" s="44"/>
      <c r="E630" s="44"/>
      <c r="F630" s="44"/>
      <c r="G630" s="44"/>
      <c r="H630" s="44"/>
      <c r="I630" s="44"/>
      <c r="J630" s="44"/>
      <c r="K630" s="44"/>
      <c r="L630" s="44"/>
      <c r="M630" s="44"/>
      <c r="N630" s="44"/>
      <c r="O630" s="44"/>
    </row>
    <row r="631" spans="1:15" ht="17.25" customHeight="1">
      <c r="A631" s="44"/>
      <c r="B631" s="44"/>
      <c r="C631" s="44"/>
      <c r="D631" s="44"/>
      <c r="E631" s="44"/>
      <c r="F631" s="44"/>
      <c r="G631" s="44"/>
      <c r="H631" s="44"/>
      <c r="I631" s="44"/>
      <c r="J631" s="44"/>
      <c r="K631" s="44"/>
      <c r="L631" s="44"/>
      <c r="M631" s="44"/>
      <c r="N631" s="44"/>
      <c r="O631" s="44"/>
    </row>
    <row r="632" spans="1:15" ht="17.25" customHeight="1">
      <c r="A632" s="44"/>
      <c r="B632" s="44"/>
      <c r="C632" s="44"/>
      <c r="D632" s="44"/>
      <c r="E632" s="44"/>
      <c r="F632" s="44"/>
      <c r="G632" s="44"/>
      <c r="H632" s="44"/>
      <c r="I632" s="44"/>
      <c r="J632" s="44"/>
      <c r="K632" s="44"/>
      <c r="L632" s="44"/>
      <c r="M632" s="44"/>
      <c r="N632" s="44"/>
      <c r="O632" s="44"/>
    </row>
    <row r="633" spans="1:15" ht="17.25" customHeight="1">
      <c r="A633" s="44"/>
      <c r="B633" s="44"/>
      <c r="C633" s="44"/>
      <c r="D633" s="44"/>
      <c r="E633" s="44"/>
      <c r="F633" s="44"/>
      <c r="G633" s="44"/>
      <c r="H633" s="44"/>
      <c r="I633" s="44"/>
      <c r="J633" s="44"/>
      <c r="K633" s="44"/>
      <c r="L633" s="44"/>
      <c r="M633" s="44"/>
      <c r="N633" s="44"/>
      <c r="O633" s="44"/>
    </row>
    <row r="634" spans="1:15" ht="17.25" customHeight="1">
      <c r="A634" s="44"/>
      <c r="B634" s="44"/>
      <c r="C634" s="44"/>
      <c r="D634" s="44"/>
      <c r="E634" s="44"/>
      <c r="F634" s="44"/>
      <c r="G634" s="44"/>
      <c r="H634" s="44"/>
      <c r="I634" s="44"/>
      <c r="J634" s="44"/>
      <c r="K634" s="44"/>
      <c r="L634" s="44"/>
      <c r="M634" s="44"/>
      <c r="N634" s="44"/>
      <c r="O634" s="44"/>
    </row>
    <row r="635" spans="1:15" ht="17.25" customHeight="1">
      <c r="A635" s="44"/>
      <c r="B635" s="44"/>
      <c r="C635" s="44"/>
      <c r="D635" s="44"/>
      <c r="E635" s="44"/>
      <c r="F635" s="44"/>
      <c r="G635" s="44"/>
      <c r="H635" s="44"/>
      <c r="I635" s="44"/>
      <c r="J635" s="44"/>
      <c r="K635" s="44"/>
      <c r="L635" s="44"/>
      <c r="M635" s="44"/>
      <c r="N635" s="44"/>
      <c r="O635" s="44"/>
    </row>
    <row r="636" spans="1:15" ht="17.25" customHeight="1">
      <c r="A636" s="44"/>
      <c r="B636" s="44"/>
      <c r="C636" s="44"/>
      <c r="D636" s="44"/>
      <c r="E636" s="44"/>
      <c r="F636" s="44"/>
      <c r="G636" s="44"/>
      <c r="H636" s="44"/>
      <c r="I636" s="44"/>
      <c r="J636" s="44"/>
      <c r="K636" s="44"/>
      <c r="L636" s="44"/>
      <c r="M636" s="44"/>
      <c r="N636" s="44"/>
      <c r="O636" s="44"/>
    </row>
    <row r="637" spans="1:15" ht="17.25" customHeight="1">
      <c r="A637" s="44"/>
      <c r="B637" s="44"/>
      <c r="C637" s="44"/>
      <c r="D637" s="44"/>
      <c r="E637" s="44"/>
      <c r="F637" s="44"/>
      <c r="G637" s="44"/>
      <c r="H637" s="44"/>
      <c r="I637" s="44"/>
      <c r="J637" s="44"/>
      <c r="K637" s="44"/>
      <c r="L637" s="44"/>
      <c r="M637" s="44"/>
      <c r="N637" s="44"/>
      <c r="O637" s="44"/>
    </row>
    <row r="638" spans="1:15" ht="17.25" customHeight="1">
      <c r="A638" s="44"/>
      <c r="B638" s="44"/>
      <c r="C638" s="44"/>
      <c r="D638" s="44"/>
      <c r="E638" s="44"/>
      <c r="F638" s="44"/>
      <c r="G638" s="44"/>
      <c r="H638" s="44"/>
      <c r="I638" s="44"/>
      <c r="J638" s="44"/>
      <c r="K638" s="44"/>
      <c r="L638" s="44"/>
      <c r="M638" s="44"/>
      <c r="N638" s="44"/>
      <c r="O638" s="44"/>
    </row>
    <row r="639" spans="1:15" ht="17.25" customHeight="1">
      <c r="A639" s="44"/>
      <c r="B639" s="44"/>
      <c r="C639" s="44"/>
      <c r="D639" s="44"/>
      <c r="E639" s="44"/>
      <c r="F639" s="44"/>
      <c r="G639" s="44"/>
      <c r="H639" s="44"/>
      <c r="I639" s="44"/>
      <c r="J639" s="44"/>
      <c r="K639" s="44"/>
      <c r="L639" s="44"/>
      <c r="M639" s="44"/>
      <c r="N639" s="44"/>
      <c r="O639" s="44"/>
    </row>
    <row r="640" spans="1:15" ht="17.25" customHeight="1">
      <c r="A640" s="44"/>
      <c r="B640" s="44"/>
      <c r="C640" s="44"/>
      <c r="D640" s="44"/>
      <c r="E640" s="44"/>
      <c r="F640" s="44"/>
      <c r="G640" s="44"/>
      <c r="H640" s="44"/>
      <c r="I640" s="44"/>
      <c r="J640" s="44"/>
      <c r="K640" s="44"/>
      <c r="L640" s="44"/>
      <c r="M640" s="44"/>
      <c r="N640" s="44"/>
      <c r="O640" s="44"/>
    </row>
    <row r="641" spans="1:15" ht="17.25" customHeight="1">
      <c r="A641" s="44"/>
      <c r="B641" s="44"/>
      <c r="C641" s="44"/>
      <c r="D641" s="44"/>
      <c r="E641" s="44"/>
      <c r="F641" s="44"/>
      <c r="G641" s="44"/>
      <c r="H641" s="44"/>
      <c r="I641" s="44"/>
      <c r="J641" s="44"/>
      <c r="K641" s="44"/>
      <c r="L641" s="44"/>
      <c r="M641" s="44"/>
      <c r="N641" s="44"/>
      <c r="O641" s="44"/>
    </row>
    <row r="642" spans="1:15" ht="17.25" customHeight="1">
      <c r="A642" s="44"/>
      <c r="B642" s="44"/>
      <c r="C642" s="44"/>
      <c r="D642" s="44"/>
      <c r="E642" s="44"/>
      <c r="F642" s="44"/>
      <c r="G642" s="44"/>
      <c r="H642" s="44"/>
      <c r="I642" s="44"/>
      <c r="J642" s="44"/>
      <c r="K642" s="44"/>
      <c r="L642" s="44"/>
      <c r="M642" s="44"/>
      <c r="N642" s="44"/>
      <c r="O642" s="44"/>
    </row>
    <row r="643" spans="1:15" ht="17.25" customHeight="1">
      <c r="A643" s="44"/>
      <c r="B643" s="44"/>
      <c r="C643" s="44"/>
      <c r="D643" s="44"/>
      <c r="E643" s="44"/>
      <c r="F643" s="44"/>
      <c r="G643" s="44"/>
      <c r="H643" s="44"/>
      <c r="I643" s="44"/>
      <c r="J643" s="44"/>
      <c r="K643" s="44"/>
      <c r="L643" s="44"/>
      <c r="M643" s="44"/>
      <c r="N643" s="44"/>
      <c r="O643" s="44"/>
    </row>
    <row r="644" spans="1:15" ht="17.25" customHeight="1">
      <c r="A644" s="44"/>
      <c r="B644" s="44"/>
      <c r="C644" s="44"/>
      <c r="D644" s="44"/>
      <c r="E644" s="44"/>
      <c r="F644" s="44"/>
      <c r="G644" s="44"/>
      <c r="H644" s="44"/>
      <c r="I644" s="44"/>
      <c r="J644" s="44"/>
      <c r="K644" s="44"/>
      <c r="L644" s="44"/>
      <c r="M644" s="44"/>
      <c r="N644" s="44"/>
      <c r="O644" s="44"/>
    </row>
    <row r="645" spans="1:15" ht="17.25" customHeight="1">
      <c r="A645" s="44"/>
      <c r="B645" s="44"/>
      <c r="C645" s="44"/>
      <c r="D645" s="44"/>
      <c r="E645" s="44"/>
      <c r="F645" s="44"/>
      <c r="G645" s="44"/>
      <c r="H645" s="44"/>
      <c r="I645" s="44"/>
      <c r="J645" s="44"/>
      <c r="K645" s="44"/>
      <c r="L645" s="44"/>
      <c r="M645" s="44"/>
      <c r="N645" s="44"/>
      <c r="O645" s="44"/>
    </row>
    <row r="646" spans="1:15" ht="17.25" customHeight="1">
      <c r="A646" s="44"/>
      <c r="B646" s="44"/>
      <c r="C646" s="44"/>
      <c r="D646" s="44"/>
      <c r="E646" s="44"/>
      <c r="F646" s="44"/>
      <c r="G646" s="44"/>
      <c r="H646" s="44"/>
      <c r="I646" s="44"/>
      <c r="J646" s="44"/>
      <c r="K646" s="44"/>
      <c r="L646" s="44"/>
      <c r="M646" s="44"/>
      <c r="N646" s="44"/>
      <c r="O646" s="44"/>
    </row>
    <row r="647" spans="1:15" ht="17.25" customHeight="1">
      <c r="A647" s="44"/>
      <c r="B647" s="44"/>
      <c r="C647" s="44"/>
      <c r="D647" s="44"/>
      <c r="E647" s="44"/>
      <c r="F647" s="44"/>
      <c r="G647" s="44"/>
      <c r="H647" s="44"/>
      <c r="I647" s="44"/>
      <c r="J647" s="44"/>
      <c r="K647" s="44"/>
      <c r="L647" s="44"/>
      <c r="M647" s="44"/>
      <c r="N647" s="44"/>
      <c r="O647" s="44"/>
    </row>
    <row r="648" spans="1:15" ht="17.25" customHeight="1">
      <c r="A648" s="44"/>
      <c r="B648" s="44"/>
      <c r="C648" s="44"/>
      <c r="D648" s="44"/>
      <c r="E648" s="44"/>
      <c r="F648" s="44"/>
      <c r="G648" s="44"/>
      <c r="H648" s="44"/>
      <c r="I648" s="44"/>
      <c r="J648" s="44"/>
      <c r="K648" s="44"/>
      <c r="L648" s="44"/>
      <c r="M648" s="44"/>
      <c r="N648" s="44"/>
      <c r="O648" s="44"/>
    </row>
    <row r="649" spans="1:15" ht="17.25" customHeight="1">
      <c r="A649" s="44"/>
      <c r="B649" s="44"/>
      <c r="C649" s="44"/>
      <c r="D649" s="44"/>
      <c r="E649" s="44"/>
      <c r="F649" s="44"/>
      <c r="G649" s="44"/>
      <c r="H649" s="44"/>
      <c r="I649" s="44"/>
      <c r="J649" s="44"/>
      <c r="K649" s="44"/>
      <c r="L649" s="44"/>
      <c r="M649" s="44"/>
      <c r="N649" s="44"/>
      <c r="O649" s="44"/>
    </row>
    <row r="650" spans="1:15" ht="17.25" customHeight="1">
      <c r="A650" s="44"/>
      <c r="B650" s="44"/>
      <c r="C650" s="44"/>
      <c r="D650" s="44"/>
      <c r="E650" s="44"/>
      <c r="F650" s="44"/>
      <c r="G650" s="44"/>
      <c r="H650" s="44"/>
      <c r="I650" s="44"/>
      <c r="J650" s="44"/>
      <c r="K650" s="44"/>
      <c r="L650" s="44"/>
      <c r="M650" s="44"/>
      <c r="N650" s="44"/>
      <c r="O650" s="44"/>
    </row>
    <row r="651" spans="1:15" ht="17.25" customHeight="1">
      <c r="A651" s="44"/>
      <c r="B651" s="44"/>
      <c r="C651" s="44"/>
      <c r="D651" s="44"/>
      <c r="E651" s="44"/>
      <c r="F651" s="44"/>
      <c r="G651" s="44"/>
      <c r="H651" s="44"/>
      <c r="I651" s="44"/>
      <c r="J651" s="44"/>
      <c r="K651" s="44"/>
      <c r="L651" s="44"/>
      <c r="M651" s="44"/>
      <c r="N651" s="44"/>
      <c r="O651" s="44"/>
    </row>
    <row r="652" spans="1:15" ht="17.25" customHeight="1">
      <c r="A652" s="44"/>
      <c r="B652" s="44"/>
      <c r="C652" s="44"/>
      <c r="D652" s="44"/>
      <c r="E652" s="44"/>
      <c r="F652" s="44"/>
      <c r="G652" s="44"/>
      <c r="H652" s="44"/>
      <c r="I652" s="44"/>
      <c r="J652" s="44"/>
      <c r="K652" s="44"/>
      <c r="L652" s="44"/>
      <c r="M652" s="44"/>
      <c r="N652" s="44"/>
      <c r="O652" s="44"/>
    </row>
    <row r="653" spans="1:15" ht="17.25" customHeight="1">
      <c r="A653" s="44"/>
      <c r="B653" s="44"/>
      <c r="C653" s="44"/>
      <c r="D653" s="44"/>
      <c r="E653" s="44"/>
      <c r="F653" s="44"/>
      <c r="G653" s="44"/>
      <c r="H653" s="44"/>
      <c r="I653" s="44"/>
      <c r="J653" s="44"/>
      <c r="K653" s="44"/>
      <c r="L653" s="44"/>
      <c r="M653" s="44"/>
      <c r="N653" s="44"/>
      <c r="O653" s="44"/>
    </row>
    <row r="654" spans="1:15" ht="17.25" customHeight="1">
      <c r="A654" s="44"/>
      <c r="B654" s="44"/>
      <c r="C654" s="44"/>
      <c r="D654" s="44"/>
      <c r="E654" s="44"/>
      <c r="F654" s="44"/>
      <c r="G654" s="44"/>
      <c r="H654" s="44"/>
      <c r="I654" s="44"/>
      <c r="J654" s="44"/>
      <c r="K654" s="44"/>
      <c r="L654" s="44"/>
      <c r="M654" s="44"/>
      <c r="N654" s="44"/>
      <c r="O654" s="44"/>
    </row>
    <row r="655" spans="1:15" ht="17.25" customHeight="1">
      <c r="A655" s="44"/>
      <c r="B655" s="44"/>
      <c r="C655" s="44"/>
      <c r="D655" s="44"/>
      <c r="E655" s="44"/>
      <c r="F655" s="44"/>
      <c r="G655" s="44"/>
      <c r="H655" s="44"/>
      <c r="I655" s="44"/>
      <c r="J655" s="44"/>
      <c r="K655" s="44"/>
      <c r="L655" s="44"/>
      <c r="M655" s="44"/>
      <c r="N655" s="44"/>
      <c r="O655" s="44"/>
    </row>
    <row r="656" spans="1:15" ht="17.25" customHeight="1">
      <c r="A656" s="44"/>
      <c r="B656" s="44"/>
      <c r="C656" s="44"/>
      <c r="D656" s="44"/>
      <c r="E656" s="44"/>
      <c r="F656" s="44"/>
      <c r="G656" s="44"/>
      <c r="H656" s="44"/>
      <c r="I656" s="44"/>
      <c r="J656" s="44"/>
      <c r="K656" s="44"/>
      <c r="L656" s="44"/>
      <c r="M656" s="44"/>
      <c r="N656" s="44"/>
      <c r="O656" s="44"/>
    </row>
    <row r="657" spans="1:15" ht="17.25" customHeight="1">
      <c r="A657" s="44"/>
      <c r="B657" s="44"/>
      <c r="C657" s="44"/>
      <c r="D657" s="44"/>
      <c r="E657" s="44"/>
      <c r="F657" s="44"/>
      <c r="G657" s="44"/>
      <c r="H657" s="44"/>
      <c r="I657" s="44"/>
      <c r="J657" s="44"/>
      <c r="K657" s="44"/>
      <c r="L657" s="44"/>
      <c r="M657" s="44"/>
      <c r="N657" s="44"/>
      <c r="O657" s="44"/>
    </row>
    <row r="658" spans="1:15" ht="17.25" customHeight="1">
      <c r="A658" s="44"/>
      <c r="B658" s="44"/>
      <c r="C658" s="44"/>
      <c r="D658" s="44"/>
      <c r="E658" s="44"/>
      <c r="F658" s="44"/>
      <c r="G658" s="44"/>
      <c r="H658" s="44"/>
      <c r="I658" s="44"/>
      <c r="J658" s="44"/>
      <c r="K658" s="44"/>
      <c r="L658" s="44"/>
      <c r="M658" s="44"/>
      <c r="N658" s="44"/>
      <c r="O658" s="44"/>
    </row>
    <row r="659" spans="1:15" ht="17.25" customHeight="1">
      <c r="A659" s="44"/>
      <c r="B659" s="44"/>
      <c r="C659" s="44"/>
      <c r="D659" s="44"/>
      <c r="E659" s="44"/>
      <c r="F659" s="44"/>
      <c r="G659" s="44"/>
      <c r="H659" s="44"/>
      <c r="I659" s="44"/>
      <c r="J659" s="44"/>
      <c r="K659" s="44"/>
      <c r="L659" s="44"/>
      <c r="M659" s="44"/>
      <c r="N659" s="44"/>
      <c r="O659" s="44"/>
    </row>
    <row r="660" spans="1:15" ht="17.25" customHeight="1">
      <c r="A660" s="44"/>
      <c r="B660" s="44"/>
      <c r="C660" s="44"/>
      <c r="D660" s="44"/>
      <c r="E660" s="44"/>
      <c r="F660" s="44"/>
      <c r="G660" s="44"/>
      <c r="H660" s="44"/>
      <c r="I660" s="44"/>
      <c r="J660" s="44"/>
      <c r="K660" s="44"/>
      <c r="L660" s="44"/>
      <c r="M660" s="44"/>
      <c r="N660" s="44"/>
      <c r="O660" s="44"/>
    </row>
    <row r="661" spans="1:15" ht="17.25" customHeight="1">
      <c r="A661" s="44"/>
      <c r="B661" s="44"/>
      <c r="C661" s="44"/>
      <c r="D661" s="44"/>
      <c r="E661" s="44"/>
      <c r="F661" s="44"/>
      <c r="G661" s="44"/>
      <c r="H661" s="44"/>
      <c r="I661" s="44"/>
      <c r="J661" s="44"/>
      <c r="K661" s="44"/>
      <c r="L661" s="44"/>
      <c r="M661" s="44"/>
      <c r="N661" s="44"/>
      <c r="O661" s="44"/>
    </row>
    <row r="662" spans="1:15" ht="17.25" customHeight="1">
      <c r="A662" s="44"/>
      <c r="B662" s="44"/>
      <c r="C662" s="44"/>
      <c r="D662" s="44"/>
      <c r="E662" s="44"/>
      <c r="F662" s="44"/>
      <c r="G662" s="44"/>
      <c r="H662" s="44"/>
      <c r="I662" s="44"/>
      <c r="J662" s="44"/>
      <c r="K662" s="44"/>
      <c r="L662" s="44"/>
      <c r="M662" s="44"/>
      <c r="N662" s="44"/>
      <c r="O662" s="44"/>
    </row>
    <row r="663" spans="1:15" ht="17.25" customHeight="1">
      <c r="A663" s="44"/>
      <c r="B663" s="44"/>
      <c r="C663" s="44"/>
      <c r="D663" s="44"/>
      <c r="E663" s="44"/>
      <c r="F663" s="44"/>
      <c r="G663" s="44"/>
      <c r="H663" s="44"/>
      <c r="I663" s="44"/>
      <c r="J663" s="44"/>
      <c r="K663" s="44"/>
      <c r="L663" s="44"/>
      <c r="M663" s="44"/>
      <c r="N663" s="44"/>
      <c r="O663" s="44"/>
    </row>
    <row r="664" spans="1:15" ht="17.25" customHeight="1">
      <c r="A664" s="44"/>
      <c r="B664" s="44"/>
      <c r="C664" s="44"/>
      <c r="D664" s="44"/>
      <c r="E664" s="44"/>
      <c r="F664" s="44"/>
      <c r="G664" s="44"/>
      <c r="H664" s="44"/>
      <c r="I664" s="44"/>
      <c r="J664" s="44"/>
      <c r="K664" s="44"/>
      <c r="L664" s="44"/>
      <c r="M664" s="44"/>
      <c r="N664" s="44"/>
      <c r="O664" s="44"/>
    </row>
    <row r="665" spans="1:15" ht="17.25" customHeight="1">
      <c r="A665" s="44"/>
      <c r="B665" s="44"/>
      <c r="C665" s="44"/>
      <c r="D665" s="44"/>
      <c r="E665" s="44"/>
      <c r="F665" s="44"/>
      <c r="G665" s="44"/>
      <c r="H665" s="44"/>
      <c r="I665" s="44"/>
      <c r="J665" s="44"/>
      <c r="K665" s="44"/>
      <c r="L665" s="44"/>
      <c r="M665" s="44"/>
      <c r="N665" s="44"/>
      <c r="O665" s="44"/>
    </row>
    <row r="666" spans="1:15" ht="17.25" customHeight="1">
      <c r="A666" s="44"/>
      <c r="B666" s="44"/>
      <c r="C666" s="44"/>
      <c r="D666" s="44"/>
      <c r="E666" s="44"/>
      <c r="F666" s="44"/>
      <c r="G666" s="44"/>
      <c r="H666" s="44"/>
      <c r="I666" s="44"/>
      <c r="J666" s="44"/>
      <c r="K666" s="44"/>
      <c r="L666" s="44"/>
      <c r="M666" s="44"/>
      <c r="N666" s="44"/>
      <c r="O666" s="44"/>
    </row>
    <row r="667" spans="1:15" ht="17.25" customHeight="1">
      <c r="A667" s="44"/>
      <c r="B667" s="44"/>
      <c r="C667" s="44"/>
      <c r="D667" s="44"/>
      <c r="E667" s="44"/>
      <c r="F667" s="44"/>
      <c r="G667" s="44"/>
      <c r="H667" s="44"/>
      <c r="I667" s="44"/>
      <c r="J667" s="44"/>
      <c r="K667" s="44"/>
      <c r="L667" s="44"/>
      <c r="M667" s="44"/>
      <c r="N667" s="44"/>
      <c r="O667" s="44"/>
    </row>
    <row r="668" spans="1:15" ht="17.25" customHeight="1">
      <c r="A668" s="44"/>
      <c r="B668" s="44"/>
      <c r="C668" s="44"/>
      <c r="D668" s="44"/>
      <c r="E668" s="44"/>
      <c r="F668" s="44"/>
      <c r="G668" s="44"/>
      <c r="H668" s="44"/>
      <c r="I668" s="44"/>
      <c r="J668" s="44"/>
      <c r="K668" s="44"/>
      <c r="L668" s="44"/>
      <c r="M668" s="44"/>
      <c r="N668" s="44"/>
      <c r="O668" s="44"/>
    </row>
    <row r="669" spans="1:15" ht="17.25" customHeight="1">
      <c r="A669" s="44"/>
      <c r="B669" s="44"/>
      <c r="C669" s="44"/>
      <c r="D669" s="44"/>
      <c r="E669" s="44"/>
      <c r="F669" s="44"/>
      <c r="G669" s="44"/>
      <c r="H669" s="44"/>
      <c r="I669" s="44"/>
      <c r="J669" s="44"/>
      <c r="K669" s="44"/>
      <c r="L669" s="44"/>
      <c r="M669" s="44"/>
      <c r="N669" s="44"/>
      <c r="O669" s="44"/>
    </row>
    <row r="670" spans="1:15" ht="17.25" customHeight="1">
      <c r="A670" s="44"/>
      <c r="B670" s="44"/>
      <c r="C670" s="44"/>
      <c r="D670" s="44"/>
      <c r="E670" s="44"/>
      <c r="F670" s="44"/>
      <c r="G670" s="44"/>
      <c r="H670" s="44"/>
      <c r="I670" s="44"/>
      <c r="J670" s="44"/>
      <c r="K670" s="44"/>
      <c r="L670" s="44"/>
      <c r="M670" s="44"/>
      <c r="N670" s="44"/>
      <c r="O670" s="44"/>
    </row>
    <row r="671" spans="1:15" ht="17.25" customHeight="1">
      <c r="A671" s="44"/>
      <c r="B671" s="44"/>
      <c r="C671" s="44"/>
      <c r="D671" s="44"/>
      <c r="E671" s="44"/>
      <c r="F671" s="44"/>
      <c r="G671" s="44"/>
      <c r="H671" s="44"/>
      <c r="I671" s="44"/>
      <c r="J671" s="44"/>
      <c r="K671" s="44"/>
      <c r="L671" s="44"/>
      <c r="M671" s="44"/>
      <c r="N671" s="44"/>
      <c r="O671" s="44"/>
    </row>
    <row r="672" spans="1:15" ht="17.25" customHeight="1">
      <c r="A672" s="44"/>
      <c r="B672" s="44"/>
      <c r="C672" s="44"/>
      <c r="D672" s="44"/>
      <c r="E672" s="44"/>
      <c r="F672" s="44"/>
      <c r="G672" s="44"/>
      <c r="H672" s="44"/>
      <c r="I672" s="44"/>
      <c r="J672" s="44"/>
      <c r="K672" s="44"/>
      <c r="L672" s="44"/>
      <c r="M672" s="44"/>
      <c r="N672" s="44"/>
      <c r="O672" s="44"/>
    </row>
    <row r="673" spans="1:15" ht="17.25" customHeight="1">
      <c r="A673" s="44"/>
      <c r="B673" s="44"/>
      <c r="C673" s="44"/>
      <c r="D673" s="44"/>
      <c r="E673" s="44"/>
      <c r="F673" s="44"/>
      <c r="G673" s="44"/>
      <c r="H673" s="44"/>
      <c r="I673" s="44"/>
      <c r="J673" s="44"/>
      <c r="K673" s="44"/>
      <c r="L673" s="44"/>
      <c r="M673" s="44"/>
      <c r="N673" s="44"/>
      <c r="O673" s="44"/>
    </row>
    <row r="674" spans="1:15" ht="17.25" customHeight="1">
      <c r="A674" s="44"/>
      <c r="B674" s="44"/>
      <c r="C674" s="44"/>
      <c r="D674" s="44"/>
      <c r="E674" s="44"/>
      <c r="F674" s="44"/>
      <c r="G674" s="44"/>
      <c r="H674" s="44"/>
      <c r="I674" s="44"/>
      <c r="J674" s="44"/>
      <c r="K674" s="44"/>
      <c r="L674" s="44"/>
      <c r="M674" s="44"/>
      <c r="N674" s="44"/>
      <c r="O674" s="44"/>
    </row>
    <row r="675" spans="1:15" ht="17.25" customHeight="1">
      <c r="A675" s="44"/>
      <c r="B675" s="44"/>
      <c r="C675" s="44"/>
      <c r="D675" s="44"/>
      <c r="E675" s="44"/>
      <c r="F675" s="44"/>
      <c r="G675" s="44"/>
      <c r="H675" s="44"/>
      <c r="I675" s="44"/>
      <c r="J675" s="44"/>
      <c r="K675" s="44"/>
      <c r="L675" s="44"/>
      <c r="M675" s="44"/>
      <c r="N675" s="44"/>
      <c r="O675" s="44"/>
    </row>
    <row r="676" spans="1:15" ht="17.25" customHeight="1">
      <c r="A676" s="44"/>
      <c r="B676" s="44"/>
      <c r="C676" s="44"/>
      <c r="D676" s="44"/>
      <c r="E676" s="44"/>
      <c r="F676" s="44"/>
      <c r="G676" s="44"/>
      <c r="H676" s="44"/>
      <c r="I676" s="44"/>
      <c r="J676" s="44"/>
      <c r="K676" s="44"/>
      <c r="L676" s="44"/>
      <c r="M676" s="44"/>
      <c r="N676" s="44"/>
      <c r="O676" s="44"/>
    </row>
    <row r="677" spans="1:15" ht="17.25" customHeight="1">
      <c r="A677" s="44"/>
      <c r="B677" s="44"/>
      <c r="C677" s="44"/>
      <c r="D677" s="44"/>
      <c r="E677" s="44"/>
      <c r="F677" s="44"/>
      <c r="G677" s="44"/>
      <c r="H677" s="44"/>
      <c r="I677" s="44"/>
      <c r="J677" s="44"/>
      <c r="K677" s="44"/>
      <c r="L677" s="44"/>
      <c r="M677" s="44"/>
      <c r="N677" s="44"/>
      <c r="O677" s="44"/>
    </row>
    <row r="678" spans="1:15" ht="17.25" customHeight="1">
      <c r="A678" s="44"/>
      <c r="B678" s="44"/>
      <c r="C678" s="44"/>
      <c r="D678" s="44"/>
      <c r="E678" s="44"/>
      <c r="F678" s="44"/>
      <c r="G678" s="44"/>
      <c r="H678" s="44"/>
      <c r="I678" s="44"/>
      <c r="J678" s="44"/>
      <c r="K678" s="44"/>
      <c r="L678" s="44"/>
      <c r="M678" s="44"/>
      <c r="N678" s="44"/>
      <c r="O678" s="44"/>
    </row>
    <row r="679" spans="1:15" ht="17.25" customHeight="1">
      <c r="A679" s="44"/>
      <c r="B679" s="44"/>
      <c r="C679" s="44"/>
      <c r="D679" s="44"/>
      <c r="E679" s="44"/>
      <c r="F679" s="44"/>
      <c r="G679" s="44"/>
      <c r="H679" s="44"/>
      <c r="I679" s="44"/>
      <c r="J679" s="44"/>
      <c r="K679" s="44"/>
      <c r="L679" s="44"/>
      <c r="M679" s="44"/>
      <c r="N679" s="44"/>
      <c r="O679" s="44"/>
    </row>
    <row r="680" spans="1:15" ht="17.25" customHeight="1">
      <c r="A680" s="44"/>
      <c r="B680" s="44"/>
      <c r="C680" s="44"/>
      <c r="D680" s="44"/>
      <c r="E680" s="44"/>
      <c r="F680" s="44"/>
      <c r="G680" s="44"/>
      <c r="H680" s="44"/>
      <c r="I680" s="44"/>
      <c r="J680" s="44"/>
      <c r="K680" s="44"/>
      <c r="L680" s="44"/>
      <c r="M680" s="44"/>
      <c r="N680" s="44"/>
      <c r="O680" s="44"/>
    </row>
    <row r="681" spans="1:15" ht="17.25" customHeight="1">
      <c r="A681" s="44"/>
      <c r="B681" s="44"/>
      <c r="C681" s="44"/>
      <c r="D681" s="44"/>
      <c r="E681" s="44"/>
      <c r="F681" s="44"/>
      <c r="G681" s="44"/>
      <c r="H681" s="44"/>
      <c r="I681" s="44"/>
      <c r="J681" s="44"/>
      <c r="K681" s="44"/>
      <c r="L681" s="44"/>
      <c r="M681" s="44"/>
      <c r="N681" s="44"/>
      <c r="O681" s="44"/>
    </row>
    <row r="682" spans="1:15" ht="17.25" customHeight="1">
      <c r="A682" s="44"/>
      <c r="B682" s="44"/>
      <c r="C682" s="44"/>
      <c r="D682" s="44"/>
      <c r="E682" s="44"/>
      <c r="F682" s="44"/>
      <c r="G682" s="44"/>
      <c r="H682" s="44"/>
      <c r="I682" s="44"/>
      <c r="J682" s="44"/>
      <c r="K682" s="44"/>
      <c r="L682" s="44"/>
      <c r="M682" s="44"/>
      <c r="N682" s="44"/>
      <c r="O682" s="44"/>
    </row>
    <row r="683" spans="1:15" ht="17.25" customHeight="1">
      <c r="A683" s="44"/>
      <c r="B683" s="44"/>
      <c r="C683" s="44"/>
      <c r="D683" s="44"/>
      <c r="E683" s="44"/>
      <c r="F683" s="44"/>
      <c r="G683" s="44"/>
      <c r="H683" s="44"/>
      <c r="I683" s="44"/>
      <c r="J683" s="44"/>
      <c r="K683" s="44"/>
      <c r="L683" s="44"/>
      <c r="M683" s="44"/>
      <c r="N683" s="44"/>
      <c r="O683" s="44"/>
    </row>
    <row r="684" spans="1:15" ht="17.25" customHeight="1">
      <c r="A684" s="44"/>
      <c r="B684" s="44"/>
      <c r="C684" s="44"/>
      <c r="D684" s="44"/>
      <c r="E684" s="44"/>
      <c r="F684" s="44"/>
      <c r="G684" s="44"/>
      <c r="H684" s="44"/>
      <c r="I684" s="44"/>
      <c r="J684" s="44"/>
      <c r="K684" s="44"/>
      <c r="L684" s="44"/>
      <c r="M684" s="44"/>
      <c r="N684" s="44"/>
      <c r="O684" s="44"/>
    </row>
    <row r="685" spans="1:15" ht="17.25" customHeight="1">
      <c r="A685" s="44"/>
      <c r="B685" s="44"/>
      <c r="C685" s="44"/>
      <c r="D685" s="44"/>
      <c r="E685" s="44"/>
      <c r="F685" s="44"/>
      <c r="G685" s="44"/>
      <c r="H685" s="44"/>
      <c r="I685" s="44"/>
      <c r="J685" s="44"/>
      <c r="K685" s="44"/>
      <c r="L685" s="44"/>
      <c r="M685" s="44"/>
      <c r="N685" s="44"/>
      <c r="O685" s="44"/>
    </row>
    <row r="686" spans="1:15" ht="17.25" customHeight="1">
      <c r="A686" s="44"/>
      <c r="B686" s="44"/>
      <c r="C686" s="44"/>
      <c r="D686" s="44"/>
      <c r="E686" s="44"/>
      <c r="F686" s="44"/>
      <c r="G686" s="44"/>
      <c r="H686" s="44"/>
      <c r="I686" s="44"/>
      <c r="J686" s="44"/>
      <c r="K686" s="44"/>
      <c r="L686" s="44"/>
      <c r="M686" s="44"/>
      <c r="N686" s="44"/>
      <c r="O686" s="44"/>
    </row>
    <row r="687" spans="1:15" ht="17.25" customHeight="1">
      <c r="A687" s="44"/>
      <c r="B687" s="44"/>
      <c r="C687" s="44"/>
      <c r="D687" s="44"/>
      <c r="E687" s="44"/>
      <c r="F687" s="44"/>
      <c r="G687" s="44"/>
      <c r="H687" s="44"/>
      <c r="I687" s="44"/>
      <c r="J687" s="44"/>
      <c r="K687" s="44"/>
      <c r="L687" s="44"/>
      <c r="M687" s="44"/>
      <c r="N687" s="44"/>
      <c r="O687" s="44"/>
    </row>
    <row r="688" spans="1:15" ht="17.25" customHeight="1">
      <c r="A688" s="44"/>
      <c r="B688" s="44"/>
      <c r="C688" s="44"/>
      <c r="D688" s="44"/>
      <c r="E688" s="44"/>
      <c r="F688" s="44"/>
      <c r="G688" s="44"/>
      <c r="H688" s="44"/>
      <c r="I688" s="44"/>
      <c r="J688" s="44"/>
      <c r="K688" s="44"/>
      <c r="L688" s="44"/>
      <c r="M688" s="44"/>
      <c r="N688" s="44"/>
      <c r="O688" s="44"/>
    </row>
    <row r="689" spans="1:15" ht="17.25" customHeight="1">
      <c r="A689" s="44"/>
      <c r="B689" s="44"/>
      <c r="C689" s="44"/>
      <c r="D689" s="44"/>
      <c r="E689" s="44"/>
      <c r="F689" s="44"/>
      <c r="G689" s="44"/>
      <c r="H689" s="44"/>
      <c r="I689" s="44"/>
      <c r="J689" s="44"/>
      <c r="K689" s="44"/>
      <c r="L689" s="44"/>
      <c r="M689" s="44"/>
      <c r="N689" s="44"/>
      <c r="O689" s="44"/>
    </row>
    <row r="690" spans="1:15" ht="17.25" customHeight="1">
      <c r="A690" s="44"/>
      <c r="B690" s="44"/>
      <c r="C690" s="44"/>
      <c r="D690" s="44"/>
      <c r="E690" s="44"/>
      <c r="F690" s="44"/>
      <c r="G690" s="44"/>
      <c r="H690" s="44"/>
      <c r="I690" s="44"/>
      <c r="J690" s="44"/>
      <c r="K690" s="44"/>
      <c r="L690" s="44"/>
      <c r="M690" s="44"/>
      <c r="N690" s="44"/>
      <c r="O690" s="44"/>
    </row>
    <row r="691" spans="1:15" ht="17.25" customHeight="1">
      <c r="A691" s="44"/>
      <c r="B691" s="44"/>
      <c r="C691" s="44"/>
      <c r="D691" s="44"/>
      <c r="E691" s="44"/>
      <c r="F691" s="44"/>
      <c r="G691" s="44"/>
      <c r="H691" s="44"/>
      <c r="I691" s="44"/>
      <c r="J691" s="44"/>
      <c r="K691" s="44"/>
      <c r="L691" s="44"/>
      <c r="M691" s="44"/>
      <c r="N691" s="44"/>
      <c r="O691" s="44"/>
    </row>
    <row r="692" spans="1:15" ht="17.25" customHeight="1">
      <c r="A692" s="44"/>
      <c r="B692" s="44"/>
      <c r="C692" s="44"/>
      <c r="D692" s="44"/>
      <c r="E692" s="44"/>
      <c r="F692" s="44"/>
      <c r="G692" s="44"/>
      <c r="H692" s="44"/>
      <c r="I692" s="44"/>
      <c r="J692" s="44"/>
      <c r="K692" s="44"/>
      <c r="L692" s="44"/>
      <c r="M692" s="44"/>
      <c r="N692" s="44"/>
      <c r="O692" s="44"/>
    </row>
    <row r="693" spans="1:15" ht="17.25" customHeight="1">
      <c r="A693" s="44"/>
      <c r="B693" s="44"/>
      <c r="C693" s="44"/>
      <c r="D693" s="44"/>
      <c r="E693" s="44"/>
      <c r="F693" s="44"/>
      <c r="G693" s="44"/>
      <c r="H693" s="44"/>
      <c r="I693" s="44"/>
      <c r="J693" s="44"/>
      <c r="K693" s="44"/>
      <c r="L693" s="44"/>
      <c r="M693" s="44"/>
      <c r="N693" s="44"/>
      <c r="O693" s="44"/>
    </row>
    <row r="694" spans="1:15" ht="17.25" customHeight="1">
      <c r="A694" s="44"/>
      <c r="B694" s="44"/>
      <c r="C694" s="44"/>
      <c r="D694" s="44"/>
      <c r="E694" s="44"/>
      <c r="F694" s="44"/>
      <c r="G694" s="44"/>
      <c r="H694" s="44"/>
      <c r="I694" s="44"/>
      <c r="J694" s="44"/>
      <c r="K694" s="44"/>
      <c r="L694" s="44"/>
      <c r="M694" s="44"/>
      <c r="N694" s="44"/>
      <c r="O694" s="44"/>
    </row>
    <row r="695" spans="1:15" ht="17.25" customHeight="1">
      <c r="A695" s="44"/>
      <c r="B695" s="44"/>
      <c r="C695" s="44"/>
      <c r="D695" s="44"/>
      <c r="E695" s="44"/>
      <c r="F695" s="44"/>
      <c r="G695" s="44"/>
      <c r="H695" s="44"/>
      <c r="I695" s="44"/>
      <c r="J695" s="44"/>
      <c r="K695" s="44"/>
      <c r="L695" s="44"/>
      <c r="M695" s="44"/>
      <c r="N695" s="44"/>
      <c r="O695" s="44"/>
    </row>
    <row r="696" spans="1:15" ht="17.25" customHeight="1">
      <c r="A696" s="44"/>
      <c r="B696" s="44"/>
      <c r="C696" s="44"/>
      <c r="D696" s="44"/>
      <c r="E696" s="44"/>
      <c r="F696" s="44"/>
      <c r="G696" s="44"/>
      <c r="H696" s="44"/>
      <c r="I696" s="44"/>
      <c r="J696" s="44"/>
      <c r="K696" s="44"/>
      <c r="L696" s="44"/>
      <c r="M696" s="44"/>
      <c r="N696" s="44"/>
      <c r="O696" s="44"/>
    </row>
    <row r="697" spans="1:15" ht="17.25" customHeight="1">
      <c r="A697" s="44"/>
      <c r="B697" s="44"/>
      <c r="C697" s="44"/>
      <c r="D697" s="44"/>
      <c r="E697" s="44"/>
      <c r="F697" s="44"/>
      <c r="G697" s="44"/>
      <c r="H697" s="44"/>
      <c r="I697" s="44"/>
      <c r="J697" s="44"/>
      <c r="K697" s="44"/>
      <c r="L697" s="44"/>
      <c r="M697" s="44"/>
      <c r="N697" s="44"/>
      <c r="O697" s="44"/>
    </row>
    <row r="698" spans="1:15" ht="17.25" customHeight="1">
      <c r="A698" s="44"/>
      <c r="B698" s="44"/>
      <c r="C698" s="44"/>
      <c r="D698" s="44"/>
      <c r="E698" s="44"/>
      <c r="F698" s="44"/>
      <c r="G698" s="44"/>
      <c r="H698" s="44"/>
      <c r="I698" s="44"/>
      <c r="J698" s="44"/>
      <c r="K698" s="44"/>
      <c r="L698" s="44"/>
      <c r="M698" s="44"/>
      <c r="N698" s="44"/>
      <c r="O698" s="44"/>
    </row>
    <row r="699" spans="1:15" ht="17.25" customHeight="1">
      <c r="A699" s="44"/>
      <c r="B699" s="44"/>
      <c r="C699" s="44"/>
      <c r="D699" s="44"/>
      <c r="E699" s="44"/>
      <c r="F699" s="44"/>
      <c r="G699" s="44"/>
      <c r="H699" s="44"/>
      <c r="I699" s="44"/>
      <c r="J699" s="44"/>
      <c r="K699" s="44"/>
      <c r="L699" s="44"/>
      <c r="M699" s="44"/>
      <c r="N699" s="44"/>
      <c r="O699" s="44"/>
    </row>
    <row r="700" spans="1:15" ht="17.25" customHeight="1">
      <c r="A700" s="44"/>
      <c r="B700" s="44"/>
      <c r="C700" s="44"/>
      <c r="D700" s="44"/>
      <c r="E700" s="44"/>
      <c r="F700" s="44"/>
      <c r="G700" s="44"/>
      <c r="H700" s="44"/>
      <c r="I700" s="44"/>
      <c r="J700" s="44"/>
      <c r="K700" s="44"/>
      <c r="L700" s="44"/>
      <c r="M700" s="44"/>
      <c r="N700" s="44"/>
      <c r="O700" s="44"/>
    </row>
    <row r="701" spans="1:15" ht="17.25" customHeight="1">
      <c r="A701" s="44"/>
      <c r="B701" s="44"/>
      <c r="C701" s="44"/>
      <c r="D701" s="44"/>
      <c r="E701" s="44"/>
      <c r="F701" s="44"/>
      <c r="G701" s="44"/>
      <c r="H701" s="44"/>
      <c r="I701" s="44"/>
      <c r="J701" s="44"/>
      <c r="K701" s="44"/>
      <c r="L701" s="44"/>
      <c r="M701" s="44"/>
      <c r="N701" s="44"/>
      <c r="O701" s="44"/>
    </row>
    <row r="702" spans="1:15" ht="17.25" customHeight="1">
      <c r="A702" s="44"/>
      <c r="B702" s="44"/>
      <c r="C702" s="44"/>
      <c r="D702" s="44"/>
      <c r="E702" s="44"/>
      <c r="F702" s="44"/>
      <c r="G702" s="44"/>
      <c r="H702" s="44"/>
      <c r="I702" s="44"/>
      <c r="J702" s="44"/>
      <c r="K702" s="44"/>
      <c r="L702" s="44"/>
      <c r="M702" s="44"/>
      <c r="N702" s="44"/>
      <c r="O702" s="44"/>
    </row>
    <row r="703" spans="1:15" ht="17.25" customHeight="1">
      <c r="A703" s="44"/>
      <c r="B703" s="44"/>
      <c r="C703" s="44"/>
      <c r="D703" s="44"/>
      <c r="E703" s="44"/>
      <c r="F703" s="44"/>
      <c r="G703" s="44"/>
      <c r="H703" s="44"/>
      <c r="I703" s="44"/>
      <c r="J703" s="44"/>
      <c r="K703" s="44"/>
      <c r="L703" s="44"/>
      <c r="M703" s="44"/>
      <c r="N703" s="44"/>
      <c r="O703" s="44"/>
    </row>
    <row r="704" spans="1:15" ht="17.25" customHeight="1">
      <c r="A704" s="44"/>
      <c r="B704" s="44"/>
      <c r="C704" s="44"/>
      <c r="D704" s="44"/>
      <c r="E704" s="44"/>
      <c r="F704" s="44"/>
      <c r="G704" s="44"/>
      <c r="H704" s="44"/>
      <c r="I704" s="44"/>
      <c r="J704" s="44"/>
      <c r="K704" s="44"/>
      <c r="L704" s="44"/>
      <c r="M704" s="44"/>
      <c r="N704" s="44"/>
      <c r="O704" s="44"/>
    </row>
    <row r="705" spans="1:15" ht="17.25" customHeight="1">
      <c r="A705" s="44"/>
      <c r="B705" s="44"/>
      <c r="C705" s="44"/>
      <c r="D705" s="44"/>
      <c r="E705" s="44"/>
      <c r="F705" s="44"/>
      <c r="G705" s="44"/>
      <c r="H705" s="44"/>
      <c r="I705" s="44"/>
      <c r="J705" s="44"/>
      <c r="K705" s="44"/>
      <c r="L705" s="44"/>
      <c r="M705" s="44"/>
      <c r="N705" s="44"/>
      <c r="O705" s="44"/>
    </row>
    <row r="706" spans="1:15" ht="17.25" customHeight="1">
      <c r="A706" s="44"/>
      <c r="B706" s="44"/>
      <c r="C706" s="44"/>
      <c r="D706" s="44"/>
      <c r="E706" s="44"/>
      <c r="F706" s="44"/>
      <c r="G706" s="44"/>
      <c r="H706" s="44"/>
      <c r="I706" s="44"/>
      <c r="J706" s="44"/>
      <c r="K706" s="44"/>
      <c r="L706" s="44"/>
      <c r="M706" s="44"/>
      <c r="N706" s="44"/>
      <c r="O706" s="44"/>
    </row>
    <row r="707" spans="1:15" ht="17.25" customHeight="1">
      <c r="A707" s="44"/>
      <c r="B707" s="44"/>
      <c r="C707" s="44"/>
      <c r="D707" s="44"/>
      <c r="E707" s="44"/>
      <c r="F707" s="44"/>
      <c r="G707" s="44"/>
      <c r="H707" s="44"/>
      <c r="I707" s="44"/>
      <c r="J707" s="44"/>
      <c r="K707" s="44"/>
      <c r="L707" s="44"/>
      <c r="M707" s="44"/>
      <c r="N707" s="44"/>
      <c r="O707" s="44"/>
    </row>
    <row r="708" spans="1:15" ht="17.25" customHeight="1">
      <c r="A708" s="44"/>
      <c r="B708" s="44"/>
      <c r="C708" s="44"/>
      <c r="D708" s="44"/>
      <c r="E708" s="44"/>
      <c r="F708" s="44"/>
      <c r="G708" s="44"/>
      <c r="H708" s="44"/>
      <c r="I708" s="44"/>
      <c r="J708" s="44"/>
      <c r="K708" s="44"/>
      <c r="L708" s="44"/>
      <c r="M708" s="44"/>
      <c r="N708" s="44"/>
      <c r="O708" s="44"/>
    </row>
    <row r="709" spans="1:15" ht="17.25" customHeight="1">
      <c r="A709" s="44"/>
      <c r="B709" s="44"/>
      <c r="C709" s="44"/>
      <c r="D709" s="44"/>
      <c r="E709" s="44"/>
      <c r="F709" s="44"/>
      <c r="G709" s="44"/>
      <c r="H709" s="44"/>
      <c r="I709" s="44"/>
      <c r="J709" s="44"/>
      <c r="K709" s="44"/>
      <c r="L709" s="44"/>
      <c r="M709" s="44"/>
      <c r="N709" s="44"/>
      <c r="O709" s="44"/>
    </row>
    <row r="710" spans="1:15" ht="17.25" customHeight="1">
      <c r="A710" s="44"/>
      <c r="B710" s="44"/>
      <c r="C710" s="44"/>
      <c r="D710" s="44"/>
      <c r="E710" s="44"/>
      <c r="F710" s="44"/>
      <c r="G710" s="44"/>
      <c r="H710" s="44"/>
      <c r="I710" s="44"/>
      <c r="J710" s="44"/>
      <c r="K710" s="44"/>
      <c r="L710" s="44"/>
      <c r="M710" s="44"/>
      <c r="N710" s="44"/>
      <c r="O710" s="44"/>
    </row>
    <row r="711" spans="1:15" ht="17.25" customHeight="1">
      <c r="A711" s="44"/>
      <c r="B711" s="44"/>
      <c r="C711" s="44"/>
      <c r="D711" s="44"/>
      <c r="E711" s="44"/>
      <c r="F711" s="44"/>
      <c r="G711" s="44"/>
      <c r="H711" s="44"/>
      <c r="I711" s="44"/>
      <c r="J711" s="44"/>
      <c r="K711" s="44"/>
      <c r="L711" s="44"/>
      <c r="M711" s="44"/>
      <c r="N711" s="44"/>
      <c r="O711" s="44"/>
    </row>
    <row r="712" spans="1:15" ht="17.25" customHeight="1">
      <c r="A712" s="44"/>
      <c r="B712" s="44"/>
      <c r="C712" s="44"/>
      <c r="D712" s="44"/>
      <c r="E712" s="44"/>
      <c r="F712" s="44"/>
      <c r="G712" s="44"/>
      <c r="H712" s="44"/>
      <c r="I712" s="44"/>
      <c r="J712" s="44"/>
      <c r="K712" s="44"/>
      <c r="L712" s="44"/>
      <c r="M712" s="44"/>
      <c r="N712" s="44"/>
      <c r="O712" s="44"/>
    </row>
    <row r="713" spans="1:15" ht="17.25" customHeight="1">
      <c r="A713" s="44"/>
      <c r="B713" s="44"/>
      <c r="C713" s="44"/>
      <c r="D713" s="44"/>
      <c r="E713" s="44"/>
      <c r="F713" s="44"/>
      <c r="G713" s="44"/>
      <c r="H713" s="44"/>
      <c r="I713" s="44"/>
      <c r="J713" s="44"/>
      <c r="K713" s="44"/>
      <c r="L713" s="44"/>
      <c r="M713" s="44"/>
      <c r="N713" s="44"/>
      <c r="O713" s="44"/>
    </row>
    <row r="714" spans="1:15" ht="17.25" customHeight="1">
      <c r="A714" s="44"/>
      <c r="B714" s="44"/>
      <c r="C714" s="44"/>
      <c r="D714" s="44"/>
      <c r="E714" s="44"/>
      <c r="F714" s="44"/>
      <c r="G714" s="44"/>
      <c r="H714" s="44"/>
      <c r="I714" s="44"/>
      <c r="J714" s="44"/>
      <c r="K714" s="44"/>
      <c r="L714" s="44"/>
      <c r="M714" s="44"/>
      <c r="N714" s="44"/>
      <c r="O714" s="44"/>
    </row>
    <row r="715" spans="1:15" ht="17.25" customHeight="1">
      <c r="A715" s="44"/>
      <c r="B715" s="44"/>
      <c r="C715" s="44"/>
      <c r="D715" s="44"/>
      <c r="E715" s="44"/>
      <c r="F715" s="44"/>
      <c r="G715" s="44"/>
      <c r="H715" s="44"/>
      <c r="I715" s="44"/>
      <c r="J715" s="44"/>
      <c r="K715" s="44"/>
      <c r="L715" s="44"/>
      <c r="M715" s="44"/>
      <c r="N715" s="44"/>
      <c r="O715" s="44"/>
    </row>
    <row r="716" spans="1:15" ht="17.25" customHeight="1">
      <c r="A716" s="44"/>
      <c r="B716" s="44"/>
      <c r="C716" s="44"/>
      <c r="D716" s="44"/>
      <c r="E716" s="44"/>
      <c r="F716" s="44"/>
      <c r="G716" s="44"/>
      <c r="H716" s="44"/>
      <c r="I716" s="44"/>
      <c r="J716" s="44"/>
      <c r="K716" s="44"/>
      <c r="L716" s="44"/>
      <c r="M716" s="44"/>
      <c r="N716" s="44"/>
      <c r="O716" s="44"/>
    </row>
    <row r="717" spans="1:15" ht="17.25" customHeight="1">
      <c r="A717" s="44"/>
      <c r="B717" s="44"/>
      <c r="C717" s="44"/>
      <c r="D717" s="44"/>
      <c r="E717" s="44"/>
      <c r="F717" s="44"/>
      <c r="G717" s="44"/>
      <c r="H717" s="44"/>
      <c r="I717" s="44"/>
      <c r="J717" s="44"/>
      <c r="K717" s="44"/>
      <c r="L717" s="44"/>
      <c r="M717" s="44"/>
      <c r="N717" s="44"/>
      <c r="O717" s="44"/>
    </row>
    <row r="718" spans="1:15" ht="17.25" customHeight="1">
      <c r="A718" s="44"/>
      <c r="B718" s="44"/>
      <c r="C718" s="44"/>
      <c r="D718" s="44"/>
      <c r="E718" s="44"/>
      <c r="F718" s="44"/>
      <c r="G718" s="44"/>
      <c r="H718" s="44"/>
      <c r="I718" s="44"/>
      <c r="J718" s="44"/>
      <c r="K718" s="44"/>
      <c r="L718" s="44"/>
      <c r="M718" s="44"/>
      <c r="N718" s="44"/>
      <c r="O718" s="44"/>
    </row>
    <row r="719" spans="1:15" ht="17.25" customHeight="1">
      <c r="A719" s="44"/>
      <c r="B719" s="44"/>
      <c r="C719" s="44"/>
      <c r="D719" s="44"/>
      <c r="E719" s="44"/>
      <c r="F719" s="44"/>
      <c r="G719" s="44"/>
      <c r="H719" s="44"/>
      <c r="I719" s="44"/>
      <c r="J719" s="44"/>
      <c r="K719" s="44"/>
      <c r="L719" s="44"/>
      <c r="M719" s="44"/>
      <c r="N719" s="44"/>
      <c r="O719" s="44"/>
    </row>
    <row r="720" spans="1:15" ht="17.25" customHeight="1">
      <c r="A720" s="44"/>
      <c r="B720" s="44"/>
      <c r="C720" s="44"/>
      <c r="D720" s="44"/>
      <c r="E720" s="44"/>
      <c r="F720" s="44"/>
      <c r="G720" s="44"/>
      <c r="H720" s="44"/>
      <c r="I720" s="44"/>
      <c r="J720" s="44"/>
      <c r="K720" s="44"/>
      <c r="L720" s="44"/>
      <c r="M720" s="44"/>
      <c r="N720" s="44"/>
      <c r="O720" s="44"/>
    </row>
    <row r="721" spans="1:15" ht="17.25" customHeight="1">
      <c r="A721" s="44"/>
      <c r="B721" s="44"/>
      <c r="C721" s="44"/>
      <c r="D721" s="44"/>
      <c r="E721" s="44"/>
      <c r="F721" s="44"/>
      <c r="G721" s="44"/>
      <c r="H721" s="44"/>
      <c r="I721" s="44"/>
      <c r="J721" s="44"/>
      <c r="K721" s="44"/>
      <c r="L721" s="44"/>
      <c r="M721" s="44"/>
      <c r="N721" s="44"/>
      <c r="O721" s="44"/>
    </row>
    <row r="722" spans="1:15" ht="17.25" customHeight="1">
      <c r="A722" s="44"/>
      <c r="B722" s="44"/>
      <c r="C722" s="44"/>
      <c r="D722" s="44"/>
      <c r="E722" s="44"/>
      <c r="F722" s="44"/>
      <c r="G722" s="44"/>
      <c r="H722" s="44"/>
      <c r="I722" s="44"/>
      <c r="J722" s="44"/>
      <c r="K722" s="44"/>
      <c r="L722" s="44"/>
      <c r="M722" s="44"/>
      <c r="N722" s="44"/>
      <c r="O722" s="44"/>
    </row>
    <row r="723" spans="1:15" ht="17.25" customHeight="1">
      <c r="A723" s="44"/>
      <c r="B723" s="44"/>
      <c r="C723" s="44"/>
      <c r="D723" s="44"/>
      <c r="E723" s="44"/>
      <c r="F723" s="44"/>
      <c r="G723" s="44"/>
      <c r="H723" s="44"/>
      <c r="I723" s="44"/>
      <c r="J723" s="44"/>
      <c r="K723" s="44"/>
      <c r="L723" s="44"/>
      <c r="M723" s="44"/>
      <c r="N723" s="44"/>
      <c r="O723" s="44"/>
    </row>
    <row r="724" spans="1:15" ht="17.25" customHeight="1">
      <c r="A724" s="44"/>
      <c r="B724" s="44"/>
      <c r="C724" s="44"/>
      <c r="D724" s="44"/>
      <c r="E724" s="44"/>
      <c r="F724" s="44"/>
      <c r="G724" s="44"/>
      <c r="H724" s="44"/>
      <c r="I724" s="44"/>
      <c r="J724" s="44"/>
      <c r="K724" s="44"/>
      <c r="L724" s="44"/>
      <c r="M724" s="44"/>
      <c r="N724" s="44"/>
      <c r="O724" s="44"/>
    </row>
    <row r="725" spans="1:15" ht="17.25" customHeight="1">
      <c r="A725" s="44"/>
      <c r="B725" s="44"/>
      <c r="C725" s="44"/>
      <c r="D725" s="44"/>
      <c r="E725" s="44"/>
      <c r="F725" s="44"/>
      <c r="G725" s="44"/>
      <c r="H725" s="44"/>
      <c r="I725" s="44"/>
      <c r="J725" s="44"/>
      <c r="K725" s="44"/>
      <c r="L725" s="44"/>
      <c r="M725" s="44"/>
      <c r="N725" s="44"/>
      <c r="O725" s="44"/>
    </row>
    <row r="726" spans="1:15" ht="17.25" customHeight="1">
      <c r="A726" s="44"/>
      <c r="B726" s="44"/>
      <c r="C726" s="44"/>
      <c r="D726" s="44"/>
      <c r="E726" s="44"/>
      <c r="F726" s="44"/>
      <c r="G726" s="44"/>
      <c r="H726" s="44"/>
      <c r="I726" s="44"/>
      <c r="J726" s="44"/>
      <c r="K726" s="44"/>
      <c r="L726" s="44"/>
      <c r="M726" s="44"/>
      <c r="N726" s="44"/>
      <c r="O726" s="44"/>
    </row>
    <row r="727" spans="1:15" ht="17.25" customHeight="1">
      <c r="A727" s="44"/>
      <c r="B727" s="44"/>
      <c r="C727" s="44"/>
      <c r="D727" s="44"/>
      <c r="E727" s="44"/>
      <c r="F727" s="44"/>
      <c r="G727" s="44"/>
      <c r="H727" s="44"/>
      <c r="I727" s="44"/>
      <c r="J727" s="44"/>
      <c r="K727" s="44"/>
      <c r="L727" s="44"/>
      <c r="M727" s="44"/>
      <c r="N727" s="44"/>
      <c r="O727" s="44"/>
    </row>
    <row r="728" spans="1:15" ht="17.25" customHeight="1">
      <c r="A728" s="44"/>
      <c r="B728" s="44"/>
      <c r="C728" s="44"/>
      <c r="D728" s="44"/>
      <c r="E728" s="44"/>
      <c r="F728" s="44"/>
      <c r="G728" s="44"/>
      <c r="H728" s="44"/>
      <c r="I728" s="44"/>
      <c r="J728" s="44"/>
      <c r="K728" s="44"/>
      <c r="L728" s="44"/>
      <c r="M728" s="44"/>
      <c r="N728" s="44"/>
      <c r="O728" s="44"/>
    </row>
    <row r="729" spans="1:15" ht="17.25" customHeight="1">
      <c r="A729" s="44"/>
      <c r="B729" s="44"/>
      <c r="C729" s="44"/>
      <c r="D729" s="44"/>
      <c r="E729" s="44"/>
      <c r="F729" s="44"/>
      <c r="G729" s="44"/>
      <c r="H729" s="44"/>
      <c r="I729" s="44"/>
      <c r="J729" s="44"/>
      <c r="K729" s="44"/>
      <c r="L729" s="44"/>
      <c r="M729" s="44"/>
      <c r="N729" s="44"/>
      <c r="O729" s="44"/>
    </row>
    <row r="730" spans="1:15" ht="17.25" customHeight="1">
      <c r="A730" s="44"/>
      <c r="B730" s="44"/>
      <c r="C730" s="44"/>
      <c r="D730" s="44"/>
      <c r="E730" s="44"/>
      <c r="F730" s="44"/>
      <c r="G730" s="44"/>
      <c r="H730" s="44"/>
      <c r="I730" s="44"/>
      <c r="J730" s="44"/>
      <c r="K730" s="44"/>
      <c r="L730" s="44"/>
      <c r="M730" s="44"/>
      <c r="N730" s="44"/>
      <c r="O730" s="44"/>
    </row>
    <row r="731" spans="1:15" ht="17.25" customHeight="1">
      <c r="A731" s="44"/>
      <c r="B731" s="44"/>
      <c r="C731" s="44"/>
      <c r="D731" s="44"/>
      <c r="E731" s="44"/>
      <c r="F731" s="44"/>
      <c r="G731" s="44"/>
      <c r="H731" s="44"/>
      <c r="I731" s="44"/>
      <c r="J731" s="44"/>
      <c r="K731" s="44"/>
      <c r="L731" s="44"/>
      <c r="M731" s="44"/>
      <c r="N731" s="44"/>
      <c r="O731" s="44"/>
    </row>
    <row r="732" spans="1:15" ht="17.25" customHeight="1">
      <c r="A732" s="44"/>
      <c r="B732" s="44"/>
      <c r="C732" s="44"/>
      <c r="D732" s="44"/>
      <c r="E732" s="44"/>
      <c r="F732" s="44"/>
      <c r="G732" s="44"/>
      <c r="H732" s="44"/>
      <c r="I732" s="44"/>
      <c r="J732" s="44"/>
      <c r="K732" s="44"/>
      <c r="L732" s="44"/>
      <c r="M732" s="44"/>
      <c r="N732" s="44"/>
      <c r="O732" s="44"/>
    </row>
    <row r="733" spans="1:15" ht="17.25" customHeight="1">
      <c r="A733" s="44"/>
      <c r="B733" s="44"/>
      <c r="C733" s="44"/>
      <c r="D733" s="44"/>
      <c r="E733" s="44"/>
      <c r="F733" s="44"/>
      <c r="G733" s="44"/>
      <c r="H733" s="44"/>
      <c r="I733" s="44"/>
      <c r="J733" s="44"/>
      <c r="K733" s="44"/>
      <c r="L733" s="44"/>
      <c r="M733" s="44"/>
      <c r="N733" s="44"/>
      <c r="O733" s="44"/>
    </row>
    <row r="734" spans="1:15" ht="17.25" customHeight="1">
      <c r="A734" s="44"/>
      <c r="B734" s="44"/>
      <c r="C734" s="44"/>
      <c r="D734" s="44"/>
      <c r="E734" s="44"/>
      <c r="F734" s="44"/>
      <c r="G734" s="44"/>
      <c r="H734" s="44"/>
      <c r="I734" s="44"/>
      <c r="J734" s="44"/>
      <c r="K734" s="44"/>
      <c r="L734" s="44"/>
      <c r="M734" s="44"/>
      <c r="N734" s="44"/>
      <c r="O734" s="44"/>
    </row>
    <row r="735" spans="1:15" ht="17.25" customHeight="1">
      <c r="A735" s="44"/>
      <c r="B735" s="44"/>
      <c r="C735" s="44"/>
      <c r="D735" s="44"/>
      <c r="E735" s="44"/>
      <c r="F735" s="44"/>
      <c r="G735" s="44"/>
      <c r="H735" s="44"/>
      <c r="I735" s="44"/>
      <c r="J735" s="44"/>
      <c r="K735" s="44"/>
      <c r="L735" s="44"/>
      <c r="M735" s="44"/>
      <c r="N735" s="44"/>
      <c r="O735" s="44"/>
    </row>
    <row r="736" spans="1:15" ht="17.25" customHeight="1">
      <c r="A736" s="44"/>
      <c r="B736" s="44"/>
      <c r="C736" s="44"/>
      <c r="D736" s="44"/>
      <c r="E736" s="44"/>
      <c r="F736" s="44"/>
      <c r="G736" s="44"/>
      <c r="H736" s="44"/>
      <c r="I736" s="44"/>
      <c r="J736" s="44"/>
      <c r="K736" s="44"/>
      <c r="L736" s="44"/>
      <c r="M736" s="44"/>
      <c r="N736" s="44"/>
      <c r="O736" s="44"/>
    </row>
    <row r="737" spans="1:15" ht="17.25" customHeight="1">
      <c r="A737" s="44"/>
      <c r="B737" s="44"/>
      <c r="C737" s="44"/>
      <c r="D737" s="44"/>
      <c r="E737" s="44"/>
      <c r="F737" s="44"/>
      <c r="G737" s="44"/>
      <c r="H737" s="44"/>
      <c r="I737" s="44"/>
      <c r="J737" s="44"/>
      <c r="K737" s="44"/>
      <c r="L737" s="44"/>
      <c r="M737" s="44"/>
      <c r="N737" s="44"/>
      <c r="O737" s="44"/>
    </row>
    <row r="738" spans="1:15" ht="17.25" customHeight="1">
      <c r="A738" s="44"/>
      <c r="B738" s="44"/>
      <c r="C738" s="44"/>
      <c r="D738" s="44"/>
      <c r="E738" s="44"/>
      <c r="F738" s="44"/>
      <c r="G738" s="44"/>
      <c r="H738" s="44"/>
      <c r="I738" s="44"/>
      <c r="J738" s="44"/>
      <c r="K738" s="44"/>
      <c r="L738" s="44"/>
      <c r="M738" s="44"/>
      <c r="N738" s="44"/>
      <c r="O738" s="44"/>
    </row>
    <row r="739" spans="1:15" ht="17.25" customHeight="1">
      <c r="A739" s="44"/>
      <c r="B739" s="44"/>
      <c r="C739" s="44"/>
      <c r="D739" s="44"/>
      <c r="E739" s="44"/>
      <c r="F739" s="44"/>
      <c r="G739" s="44"/>
      <c r="H739" s="44"/>
      <c r="I739" s="44"/>
      <c r="J739" s="44"/>
      <c r="K739" s="44"/>
      <c r="L739" s="44"/>
      <c r="M739" s="44"/>
      <c r="N739" s="44"/>
      <c r="O739" s="44"/>
    </row>
    <row r="740" spans="1:15" ht="17.25" customHeight="1">
      <c r="A740" s="44"/>
      <c r="B740" s="44"/>
      <c r="C740" s="44"/>
      <c r="D740" s="44"/>
      <c r="E740" s="44"/>
      <c r="F740" s="44"/>
      <c r="G740" s="44"/>
      <c r="H740" s="44"/>
      <c r="I740" s="44"/>
      <c r="J740" s="44"/>
      <c r="K740" s="44"/>
      <c r="L740" s="44"/>
      <c r="M740" s="44"/>
      <c r="N740" s="44"/>
      <c r="O740" s="44"/>
    </row>
    <row r="741" spans="1:15" ht="17.25" customHeight="1">
      <c r="A741" s="44"/>
      <c r="B741" s="44"/>
      <c r="C741" s="44"/>
      <c r="D741" s="44"/>
      <c r="E741" s="44"/>
      <c r="F741" s="44"/>
      <c r="G741" s="44"/>
      <c r="H741" s="44"/>
      <c r="I741" s="44"/>
      <c r="J741" s="44"/>
      <c r="K741" s="44"/>
      <c r="L741" s="44"/>
      <c r="M741" s="44"/>
      <c r="N741" s="44"/>
      <c r="O741" s="44"/>
    </row>
    <row r="742" spans="1:15" ht="17.25" customHeight="1">
      <c r="A742" s="44"/>
      <c r="B742" s="44"/>
      <c r="C742" s="44"/>
      <c r="D742" s="44"/>
      <c r="E742" s="44"/>
      <c r="F742" s="44"/>
      <c r="G742" s="44"/>
      <c r="H742" s="44"/>
      <c r="I742" s="44"/>
      <c r="J742" s="44"/>
      <c r="K742" s="44"/>
      <c r="L742" s="44"/>
      <c r="M742" s="44"/>
      <c r="N742" s="44"/>
      <c r="O742" s="44"/>
    </row>
    <row r="743" spans="1:15" ht="17.25" customHeight="1">
      <c r="A743" s="44"/>
      <c r="B743" s="44"/>
      <c r="C743" s="44"/>
      <c r="D743" s="44"/>
      <c r="E743" s="44"/>
      <c r="F743" s="44"/>
      <c r="G743" s="44"/>
      <c r="H743" s="44"/>
      <c r="I743" s="44"/>
      <c r="J743" s="44"/>
      <c r="K743" s="44"/>
      <c r="L743" s="44"/>
      <c r="M743" s="44"/>
      <c r="N743" s="44"/>
      <c r="O743" s="44"/>
    </row>
    <row r="744" spans="1:15" ht="17.25" customHeight="1">
      <c r="A744" s="44"/>
      <c r="B744" s="44"/>
      <c r="C744" s="44"/>
      <c r="D744" s="44"/>
      <c r="E744" s="44"/>
      <c r="F744" s="44"/>
      <c r="G744" s="44"/>
      <c r="H744" s="44"/>
      <c r="I744" s="44"/>
      <c r="J744" s="44"/>
      <c r="K744" s="44"/>
      <c r="L744" s="44"/>
      <c r="M744" s="44"/>
      <c r="N744" s="44"/>
      <c r="O744" s="44"/>
    </row>
    <row r="745" spans="1:15" ht="17.25" customHeight="1">
      <c r="A745" s="44"/>
      <c r="B745" s="44"/>
      <c r="C745" s="44"/>
      <c r="D745" s="44"/>
      <c r="E745" s="44"/>
      <c r="F745" s="44"/>
      <c r="G745" s="44"/>
      <c r="H745" s="44"/>
      <c r="I745" s="44"/>
      <c r="J745" s="44"/>
      <c r="K745" s="44"/>
      <c r="L745" s="44"/>
      <c r="M745" s="44"/>
      <c r="N745" s="44"/>
      <c r="O745" s="44"/>
    </row>
    <row r="746" spans="1:15" ht="17.25" customHeight="1">
      <c r="A746" s="44"/>
      <c r="B746" s="44"/>
      <c r="C746" s="44"/>
      <c r="D746" s="44"/>
      <c r="E746" s="44"/>
      <c r="F746" s="44"/>
      <c r="G746" s="44"/>
      <c r="H746" s="44"/>
      <c r="I746" s="44"/>
      <c r="J746" s="44"/>
      <c r="K746" s="44"/>
      <c r="L746" s="44"/>
      <c r="M746" s="44"/>
      <c r="N746" s="44"/>
      <c r="O746" s="44"/>
    </row>
    <row r="747" spans="1:15" ht="17.25" customHeight="1">
      <c r="A747" s="44"/>
      <c r="B747" s="44"/>
      <c r="C747" s="44"/>
      <c r="D747" s="44"/>
      <c r="E747" s="44"/>
      <c r="F747" s="44"/>
      <c r="G747" s="44"/>
      <c r="H747" s="44"/>
      <c r="I747" s="44"/>
      <c r="J747" s="44"/>
      <c r="K747" s="44"/>
      <c r="L747" s="44"/>
      <c r="M747" s="44"/>
      <c r="N747" s="44"/>
      <c r="O747" s="44"/>
    </row>
    <row r="748" spans="1:15" ht="17.25" customHeight="1">
      <c r="A748" s="44"/>
      <c r="B748" s="44"/>
      <c r="C748" s="44"/>
      <c r="D748" s="44"/>
      <c r="E748" s="44"/>
      <c r="F748" s="44"/>
      <c r="G748" s="44"/>
      <c r="H748" s="44"/>
      <c r="I748" s="44"/>
      <c r="J748" s="44"/>
      <c r="K748" s="44"/>
      <c r="L748" s="44"/>
      <c r="M748" s="44"/>
      <c r="N748" s="44"/>
      <c r="O748" s="44"/>
    </row>
    <row r="749" spans="1:15" ht="17.25" customHeight="1">
      <c r="A749" s="44"/>
      <c r="B749" s="44"/>
      <c r="C749" s="44"/>
      <c r="D749" s="44"/>
      <c r="E749" s="44"/>
      <c r="F749" s="44"/>
      <c r="G749" s="44"/>
      <c r="H749" s="44"/>
      <c r="I749" s="44"/>
      <c r="J749" s="44"/>
      <c r="K749" s="44"/>
      <c r="L749" s="44"/>
      <c r="M749" s="44"/>
      <c r="N749" s="44"/>
      <c r="O749" s="44"/>
    </row>
    <row r="750" spans="1:15" ht="17.25" customHeight="1">
      <c r="A750" s="44"/>
      <c r="B750" s="44"/>
      <c r="C750" s="44"/>
      <c r="D750" s="44"/>
      <c r="E750" s="44"/>
      <c r="F750" s="44"/>
      <c r="G750" s="44"/>
      <c r="H750" s="44"/>
      <c r="I750" s="44"/>
      <c r="J750" s="44"/>
      <c r="K750" s="44"/>
      <c r="L750" s="44"/>
      <c r="M750" s="44"/>
      <c r="N750" s="44"/>
      <c r="O750" s="44"/>
    </row>
    <row r="751" spans="1:15" ht="17.25" customHeight="1">
      <c r="A751" s="44"/>
      <c r="B751" s="44"/>
      <c r="C751" s="44"/>
      <c r="D751" s="44"/>
      <c r="E751" s="44"/>
      <c r="F751" s="44"/>
      <c r="G751" s="44"/>
      <c r="H751" s="44"/>
      <c r="I751" s="44"/>
      <c r="J751" s="44"/>
      <c r="K751" s="44"/>
      <c r="L751" s="44"/>
      <c r="M751" s="44"/>
      <c r="N751" s="44"/>
      <c r="O751" s="44"/>
    </row>
    <row r="752" spans="1:15" ht="17.25" customHeight="1">
      <c r="A752" s="44"/>
      <c r="B752" s="44"/>
      <c r="C752" s="44"/>
      <c r="D752" s="44"/>
      <c r="E752" s="44"/>
      <c r="F752" s="44"/>
      <c r="G752" s="44"/>
      <c r="H752" s="44"/>
      <c r="I752" s="44"/>
      <c r="J752" s="44"/>
      <c r="K752" s="44"/>
      <c r="L752" s="44"/>
      <c r="M752" s="44"/>
      <c r="N752" s="44"/>
      <c r="O752" s="44"/>
    </row>
    <row r="753" spans="1:15" ht="17.25" customHeight="1">
      <c r="A753" s="44"/>
      <c r="B753" s="44"/>
      <c r="C753" s="44"/>
      <c r="D753" s="44"/>
      <c r="E753" s="44"/>
      <c r="F753" s="44"/>
      <c r="G753" s="44"/>
      <c r="H753" s="44"/>
      <c r="I753" s="44"/>
      <c r="J753" s="44"/>
      <c r="K753" s="44"/>
      <c r="L753" s="44"/>
      <c r="M753" s="44"/>
      <c r="N753" s="44"/>
      <c r="O753" s="44"/>
    </row>
    <row r="754" spans="1:15" ht="17.25" customHeight="1">
      <c r="A754" s="44"/>
      <c r="B754" s="44"/>
      <c r="C754" s="44"/>
      <c r="D754" s="44"/>
      <c r="E754" s="44"/>
      <c r="F754" s="44"/>
      <c r="G754" s="44"/>
      <c r="H754" s="44"/>
      <c r="I754" s="44"/>
      <c r="J754" s="44"/>
      <c r="K754" s="44"/>
      <c r="L754" s="44"/>
      <c r="M754" s="44"/>
      <c r="N754" s="44"/>
      <c r="O754" s="44"/>
    </row>
    <row r="755" spans="1:15" ht="17.25" customHeight="1">
      <c r="A755" s="44"/>
      <c r="B755" s="44"/>
      <c r="C755" s="44"/>
      <c r="D755" s="44"/>
      <c r="E755" s="44"/>
      <c r="F755" s="44"/>
      <c r="G755" s="44"/>
      <c r="H755" s="44"/>
      <c r="I755" s="44"/>
      <c r="J755" s="44"/>
      <c r="K755" s="44"/>
      <c r="L755" s="44"/>
      <c r="M755" s="44"/>
      <c r="N755" s="44"/>
      <c r="O755" s="44"/>
    </row>
    <row r="756" spans="1:15" ht="17.25" customHeight="1">
      <c r="A756" s="44"/>
      <c r="B756" s="44"/>
      <c r="C756" s="44"/>
      <c r="D756" s="44"/>
      <c r="E756" s="44"/>
      <c r="F756" s="44"/>
      <c r="G756" s="44"/>
      <c r="H756" s="44"/>
      <c r="I756" s="44"/>
      <c r="J756" s="44"/>
      <c r="K756" s="44"/>
      <c r="L756" s="44"/>
      <c r="M756" s="44"/>
      <c r="N756" s="44"/>
      <c r="O756" s="44"/>
    </row>
    <row r="757" spans="1:15" ht="17.25" customHeight="1">
      <c r="A757" s="44"/>
      <c r="B757" s="44"/>
      <c r="C757" s="44"/>
      <c r="D757" s="44"/>
      <c r="E757" s="44"/>
      <c r="F757" s="44"/>
      <c r="G757" s="44"/>
      <c r="H757" s="44"/>
      <c r="I757" s="44"/>
      <c r="J757" s="44"/>
      <c r="K757" s="44"/>
      <c r="L757" s="44"/>
      <c r="M757" s="44"/>
      <c r="N757" s="44"/>
      <c r="O757" s="44"/>
    </row>
    <row r="758" spans="1:15" ht="17.25" customHeight="1">
      <c r="A758" s="44"/>
      <c r="B758" s="44"/>
      <c r="C758" s="44"/>
      <c r="D758" s="44"/>
      <c r="E758" s="44"/>
      <c r="F758" s="44"/>
      <c r="G758" s="44"/>
      <c r="H758" s="44"/>
      <c r="I758" s="44"/>
      <c r="J758" s="44"/>
      <c r="K758" s="44"/>
      <c r="L758" s="44"/>
      <c r="M758" s="44"/>
      <c r="N758" s="44"/>
      <c r="O758" s="44"/>
    </row>
    <row r="759" spans="1:15" ht="17.25" customHeight="1">
      <c r="A759" s="44"/>
      <c r="B759" s="44"/>
      <c r="C759" s="44"/>
      <c r="D759" s="44"/>
      <c r="E759" s="44"/>
      <c r="F759" s="44"/>
      <c r="G759" s="44"/>
      <c r="H759" s="44"/>
      <c r="I759" s="44"/>
      <c r="J759" s="44"/>
      <c r="K759" s="44"/>
      <c r="L759" s="44"/>
      <c r="M759" s="44"/>
      <c r="N759" s="44"/>
      <c r="O759" s="44"/>
    </row>
    <row r="760" spans="1:15" ht="17.25" customHeight="1">
      <c r="A760" s="44"/>
      <c r="B760" s="44"/>
      <c r="C760" s="44"/>
      <c r="D760" s="44"/>
      <c r="E760" s="44"/>
      <c r="F760" s="44"/>
      <c r="G760" s="44"/>
      <c r="H760" s="44"/>
      <c r="I760" s="44"/>
      <c r="J760" s="44"/>
      <c r="K760" s="44"/>
      <c r="L760" s="44"/>
      <c r="M760" s="44"/>
      <c r="N760" s="44"/>
      <c r="O760" s="44"/>
    </row>
    <row r="761" spans="1:15" ht="17.25" customHeight="1">
      <c r="A761" s="44"/>
      <c r="B761" s="44"/>
      <c r="C761" s="44"/>
      <c r="D761" s="44"/>
      <c r="E761" s="44"/>
      <c r="F761" s="44"/>
      <c r="G761" s="44"/>
      <c r="H761" s="44"/>
      <c r="I761" s="44"/>
      <c r="J761" s="44"/>
      <c r="K761" s="44"/>
      <c r="L761" s="44"/>
      <c r="M761" s="44"/>
      <c r="N761" s="44"/>
      <c r="O761" s="44"/>
    </row>
    <row r="762" spans="1:15" ht="17.25" customHeight="1">
      <c r="A762" s="44"/>
      <c r="B762" s="44"/>
      <c r="C762" s="44"/>
      <c r="D762" s="44"/>
      <c r="E762" s="44"/>
      <c r="F762" s="44"/>
      <c r="G762" s="44"/>
      <c r="H762" s="44"/>
      <c r="I762" s="44"/>
      <c r="J762" s="44"/>
      <c r="K762" s="44"/>
      <c r="L762" s="44"/>
      <c r="M762" s="44"/>
      <c r="N762" s="44"/>
      <c r="O762" s="44"/>
    </row>
    <row r="763" spans="1:15" ht="17.25" customHeight="1">
      <c r="A763" s="44"/>
      <c r="B763" s="44"/>
      <c r="C763" s="44"/>
      <c r="D763" s="44"/>
      <c r="E763" s="44"/>
      <c r="F763" s="44"/>
      <c r="G763" s="44"/>
      <c r="H763" s="44"/>
      <c r="I763" s="44"/>
      <c r="J763" s="44"/>
      <c r="K763" s="44"/>
      <c r="L763" s="44"/>
      <c r="M763" s="44"/>
      <c r="N763" s="44"/>
      <c r="O763" s="44"/>
    </row>
    <row r="764" spans="1:15" ht="17.25" customHeight="1">
      <c r="A764" s="44"/>
      <c r="B764" s="44"/>
      <c r="C764" s="44"/>
      <c r="D764" s="44"/>
      <c r="E764" s="44"/>
      <c r="F764" s="44"/>
      <c r="G764" s="44"/>
      <c r="H764" s="44"/>
      <c r="I764" s="44"/>
      <c r="J764" s="44"/>
      <c r="K764" s="44"/>
      <c r="L764" s="44"/>
      <c r="M764" s="44"/>
      <c r="N764" s="44"/>
      <c r="O764" s="44"/>
    </row>
    <row r="765" spans="1:15" ht="17.25" customHeight="1">
      <c r="A765" s="44"/>
      <c r="B765" s="44"/>
      <c r="C765" s="44"/>
      <c r="D765" s="44"/>
      <c r="E765" s="44"/>
      <c r="F765" s="44"/>
      <c r="G765" s="44"/>
      <c r="H765" s="44"/>
      <c r="I765" s="44"/>
      <c r="J765" s="44"/>
      <c r="K765" s="44"/>
      <c r="L765" s="44"/>
      <c r="M765" s="44"/>
      <c r="N765" s="44"/>
      <c r="O765" s="44"/>
    </row>
    <row r="766" spans="1:15" ht="17.25" customHeight="1">
      <c r="A766" s="44"/>
      <c r="B766" s="44"/>
      <c r="C766" s="44"/>
      <c r="D766" s="44"/>
      <c r="E766" s="44"/>
      <c r="F766" s="44"/>
      <c r="G766" s="44"/>
      <c r="H766" s="44"/>
      <c r="I766" s="44"/>
      <c r="J766" s="44"/>
      <c r="K766" s="44"/>
      <c r="L766" s="44"/>
      <c r="M766" s="44"/>
      <c r="N766" s="44"/>
      <c r="O766" s="44"/>
    </row>
    <row r="767" spans="1:15" ht="17.25" customHeight="1">
      <c r="A767" s="44"/>
      <c r="B767" s="44"/>
      <c r="C767" s="44"/>
      <c r="D767" s="44"/>
      <c r="E767" s="44"/>
      <c r="F767" s="44"/>
      <c r="G767" s="44"/>
      <c r="H767" s="44"/>
      <c r="I767" s="44"/>
      <c r="J767" s="44"/>
      <c r="K767" s="44"/>
      <c r="L767" s="44"/>
      <c r="M767" s="44"/>
      <c r="N767" s="44"/>
      <c r="O767" s="44"/>
    </row>
    <row r="768" spans="1:15" ht="17.25" customHeight="1">
      <c r="A768" s="44"/>
      <c r="B768" s="44"/>
      <c r="C768" s="44"/>
      <c r="D768" s="44"/>
      <c r="E768" s="44"/>
      <c r="F768" s="44"/>
      <c r="G768" s="44"/>
      <c r="H768" s="44"/>
      <c r="I768" s="44"/>
      <c r="J768" s="44"/>
      <c r="K768" s="44"/>
      <c r="L768" s="44"/>
      <c r="M768" s="44"/>
      <c r="N768" s="44"/>
      <c r="O768" s="44"/>
    </row>
    <row r="769" spans="1:15" ht="17.25" customHeight="1">
      <c r="A769" s="44"/>
      <c r="B769" s="44"/>
      <c r="C769" s="44"/>
      <c r="D769" s="44"/>
      <c r="E769" s="44"/>
      <c r="F769" s="44"/>
      <c r="G769" s="44"/>
      <c r="H769" s="44"/>
      <c r="I769" s="44"/>
      <c r="J769" s="44"/>
      <c r="K769" s="44"/>
      <c r="L769" s="44"/>
      <c r="M769" s="44"/>
      <c r="N769" s="44"/>
      <c r="O769" s="44"/>
    </row>
    <row r="770" spans="1:15" ht="17.25" customHeight="1">
      <c r="A770" s="44"/>
      <c r="B770" s="44"/>
      <c r="C770" s="44"/>
      <c r="D770" s="44"/>
      <c r="E770" s="44"/>
      <c r="F770" s="44"/>
      <c r="G770" s="44"/>
      <c r="H770" s="44"/>
      <c r="I770" s="44"/>
      <c r="J770" s="44"/>
      <c r="K770" s="44"/>
      <c r="L770" s="44"/>
      <c r="M770" s="44"/>
      <c r="N770" s="44"/>
      <c r="O770" s="44"/>
    </row>
    <row r="771" spans="1:15" ht="17.25" customHeight="1">
      <c r="A771" s="44"/>
      <c r="B771" s="44"/>
      <c r="C771" s="44"/>
      <c r="D771" s="44"/>
      <c r="E771" s="44"/>
      <c r="F771" s="44"/>
      <c r="G771" s="44"/>
      <c r="H771" s="44"/>
      <c r="I771" s="44"/>
      <c r="J771" s="44"/>
      <c r="K771" s="44"/>
      <c r="L771" s="44"/>
      <c r="M771" s="44"/>
      <c r="N771" s="44"/>
      <c r="O771" s="44"/>
    </row>
    <row r="772" spans="1:15" ht="17.25" customHeight="1">
      <c r="A772" s="44"/>
      <c r="B772" s="44"/>
      <c r="C772" s="44"/>
      <c r="D772" s="44"/>
      <c r="E772" s="44"/>
      <c r="F772" s="44"/>
      <c r="G772" s="44"/>
      <c r="H772" s="44"/>
      <c r="I772" s="44"/>
      <c r="J772" s="44"/>
      <c r="K772" s="44"/>
      <c r="L772" s="44"/>
      <c r="M772" s="44"/>
      <c r="N772" s="44"/>
      <c r="O772" s="44"/>
    </row>
    <row r="773" spans="1:15" ht="17.25" customHeight="1">
      <c r="A773" s="44"/>
      <c r="B773" s="44"/>
      <c r="C773" s="44"/>
      <c r="D773" s="44"/>
      <c r="E773" s="44"/>
      <c r="F773" s="44"/>
      <c r="G773" s="44"/>
      <c r="H773" s="44"/>
      <c r="I773" s="44"/>
      <c r="J773" s="44"/>
      <c r="K773" s="44"/>
      <c r="L773" s="44"/>
      <c r="M773" s="44"/>
      <c r="N773" s="44"/>
      <c r="O773" s="44"/>
    </row>
    <row r="774" spans="1:15" ht="17.25" customHeight="1">
      <c r="A774" s="44"/>
      <c r="B774" s="44"/>
      <c r="C774" s="44"/>
      <c r="D774" s="44"/>
      <c r="E774" s="44"/>
      <c r="F774" s="44"/>
      <c r="G774" s="44"/>
      <c r="H774" s="44"/>
      <c r="I774" s="44"/>
      <c r="J774" s="44"/>
      <c r="K774" s="44"/>
      <c r="L774" s="44"/>
      <c r="M774" s="44"/>
      <c r="N774" s="44"/>
      <c r="O774" s="44"/>
    </row>
    <row r="775" spans="1:15" ht="17.25" customHeight="1">
      <c r="A775" s="44"/>
      <c r="B775" s="44"/>
      <c r="C775" s="44"/>
      <c r="D775" s="44"/>
      <c r="E775" s="44"/>
      <c r="F775" s="44"/>
      <c r="G775" s="44"/>
      <c r="H775" s="44"/>
      <c r="I775" s="44"/>
      <c r="J775" s="44"/>
      <c r="K775" s="44"/>
      <c r="L775" s="44"/>
      <c r="M775" s="44"/>
      <c r="N775" s="44"/>
      <c r="O775" s="44"/>
    </row>
    <row r="776" spans="1:15" ht="17.25" customHeight="1">
      <c r="A776" s="44"/>
      <c r="B776" s="44"/>
      <c r="C776" s="44"/>
      <c r="D776" s="44"/>
      <c r="E776" s="44"/>
      <c r="F776" s="44"/>
      <c r="G776" s="44"/>
      <c r="H776" s="44"/>
      <c r="I776" s="44"/>
      <c r="J776" s="44"/>
      <c r="K776" s="44"/>
      <c r="L776" s="44"/>
      <c r="M776" s="44"/>
      <c r="N776" s="44"/>
      <c r="O776" s="44"/>
    </row>
    <row r="777" spans="1:15" ht="17.25" customHeight="1">
      <c r="A777" s="44"/>
      <c r="B777" s="44"/>
      <c r="C777" s="44"/>
      <c r="D777" s="44"/>
      <c r="E777" s="44"/>
      <c r="F777" s="44"/>
      <c r="G777" s="44"/>
      <c r="H777" s="44"/>
      <c r="I777" s="44"/>
      <c r="J777" s="44"/>
      <c r="K777" s="44"/>
      <c r="L777" s="44"/>
      <c r="M777" s="44"/>
      <c r="N777" s="44"/>
      <c r="O777" s="44"/>
    </row>
    <row r="778" spans="1:15" ht="17.25" customHeight="1">
      <c r="A778" s="44"/>
      <c r="B778" s="44"/>
      <c r="C778" s="44"/>
      <c r="D778" s="44"/>
      <c r="E778" s="44"/>
      <c r="F778" s="44"/>
      <c r="G778" s="44"/>
      <c r="H778" s="44"/>
      <c r="I778" s="44"/>
      <c r="J778" s="44"/>
      <c r="K778" s="44"/>
      <c r="L778" s="44"/>
      <c r="M778" s="44"/>
      <c r="N778" s="44"/>
      <c r="O778" s="44"/>
    </row>
    <row r="779" spans="1:15" ht="17.25" customHeight="1">
      <c r="A779" s="44"/>
      <c r="B779" s="44"/>
      <c r="C779" s="44"/>
      <c r="D779" s="44"/>
      <c r="E779" s="44"/>
      <c r="F779" s="44"/>
      <c r="G779" s="44"/>
      <c r="H779" s="44"/>
      <c r="I779" s="44"/>
      <c r="J779" s="44"/>
      <c r="K779" s="44"/>
      <c r="L779" s="44"/>
      <c r="M779" s="44"/>
      <c r="N779" s="44"/>
      <c r="O779" s="44"/>
    </row>
    <row r="780" spans="1:15" ht="17.25" customHeight="1">
      <c r="A780" s="44"/>
      <c r="B780" s="44"/>
      <c r="C780" s="44"/>
      <c r="D780" s="44"/>
      <c r="E780" s="44"/>
      <c r="F780" s="44"/>
      <c r="G780" s="44"/>
      <c r="H780" s="44"/>
      <c r="I780" s="44"/>
      <c r="J780" s="44"/>
      <c r="K780" s="44"/>
      <c r="L780" s="44"/>
      <c r="M780" s="44"/>
      <c r="N780" s="44"/>
      <c r="O780" s="44"/>
    </row>
    <row r="781" spans="1:15" ht="17.25" customHeight="1">
      <c r="A781" s="44"/>
      <c r="B781" s="44"/>
      <c r="C781" s="44"/>
      <c r="D781" s="44"/>
      <c r="E781" s="44"/>
      <c r="F781" s="44"/>
      <c r="G781" s="44"/>
      <c r="H781" s="44"/>
      <c r="I781" s="44"/>
      <c r="J781" s="44"/>
      <c r="K781" s="44"/>
      <c r="L781" s="44"/>
      <c r="M781" s="44"/>
      <c r="N781" s="44"/>
      <c r="O781" s="44"/>
    </row>
    <row r="782" spans="1:15" ht="17.25" customHeight="1">
      <c r="A782" s="44"/>
      <c r="B782" s="44"/>
      <c r="C782" s="44"/>
      <c r="D782" s="44"/>
      <c r="E782" s="44"/>
      <c r="F782" s="44"/>
      <c r="G782" s="44"/>
      <c r="H782" s="44"/>
      <c r="I782" s="44"/>
      <c r="J782" s="44"/>
      <c r="K782" s="44"/>
      <c r="L782" s="44"/>
      <c r="M782" s="44"/>
      <c r="N782" s="44"/>
      <c r="O782" s="44"/>
    </row>
    <row r="783" spans="1:15" ht="17.25" customHeight="1">
      <c r="A783" s="44"/>
      <c r="B783" s="44"/>
      <c r="C783" s="44"/>
      <c r="D783" s="44"/>
      <c r="E783" s="44"/>
      <c r="F783" s="44"/>
      <c r="G783" s="44"/>
      <c r="H783" s="44"/>
      <c r="I783" s="44"/>
      <c r="J783" s="44"/>
      <c r="K783" s="44"/>
      <c r="L783" s="44"/>
      <c r="M783" s="44"/>
      <c r="N783" s="44"/>
      <c r="O783" s="44"/>
    </row>
    <row r="784" spans="1:15" ht="17.25" customHeight="1">
      <c r="A784" s="44"/>
      <c r="B784" s="44"/>
      <c r="C784" s="44"/>
      <c r="D784" s="44"/>
      <c r="E784" s="44"/>
      <c r="F784" s="44"/>
      <c r="G784" s="44"/>
      <c r="H784" s="44"/>
      <c r="I784" s="44"/>
      <c r="J784" s="44"/>
      <c r="K784" s="44"/>
      <c r="L784" s="44"/>
      <c r="M784" s="44"/>
      <c r="N784" s="44"/>
      <c r="O784" s="44"/>
    </row>
    <row r="785" spans="1:15" ht="17.25" customHeight="1">
      <c r="A785" s="44"/>
      <c r="B785" s="44"/>
      <c r="C785" s="44"/>
      <c r="D785" s="44"/>
      <c r="E785" s="44"/>
      <c r="F785" s="44"/>
      <c r="G785" s="44"/>
      <c r="H785" s="44"/>
      <c r="I785" s="44"/>
      <c r="J785" s="44"/>
      <c r="K785" s="44"/>
      <c r="L785" s="44"/>
      <c r="M785" s="44"/>
      <c r="N785" s="44"/>
      <c r="O785" s="44"/>
    </row>
    <row r="786" spans="1:15" ht="17.25" customHeight="1">
      <c r="A786" s="44"/>
      <c r="B786" s="44"/>
      <c r="C786" s="44"/>
      <c r="D786" s="44"/>
      <c r="E786" s="44"/>
      <c r="F786" s="44"/>
      <c r="G786" s="44"/>
      <c r="H786" s="44"/>
      <c r="I786" s="44"/>
      <c r="J786" s="44"/>
      <c r="K786" s="44"/>
      <c r="L786" s="44"/>
      <c r="M786" s="44"/>
      <c r="N786" s="44"/>
      <c r="O786" s="44"/>
    </row>
    <row r="787" spans="1:15" ht="17.25" customHeight="1">
      <c r="A787" s="44"/>
      <c r="B787" s="44"/>
      <c r="C787" s="44"/>
      <c r="D787" s="44"/>
      <c r="E787" s="44"/>
      <c r="F787" s="44"/>
      <c r="G787" s="44"/>
      <c r="H787" s="44"/>
      <c r="I787" s="44"/>
      <c r="J787" s="44"/>
      <c r="K787" s="44"/>
      <c r="L787" s="44"/>
      <c r="M787" s="44"/>
      <c r="N787" s="44"/>
      <c r="O787" s="44"/>
    </row>
    <row r="788" spans="1:15" ht="17.25" customHeight="1">
      <c r="A788" s="44"/>
      <c r="B788" s="44"/>
      <c r="C788" s="44"/>
      <c r="D788" s="44"/>
      <c r="E788" s="44"/>
      <c r="F788" s="44"/>
      <c r="G788" s="44"/>
      <c r="H788" s="44"/>
      <c r="I788" s="44"/>
      <c r="J788" s="44"/>
      <c r="K788" s="44"/>
      <c r="L788" s="44"/>
      <c r="M788" s="44"/>
      <c r="N788" s="44"/>
      <c r="O788" s="44"/>
    </row>
    <row r="789" spans="1:15" ht="17.25" customHeight="1">
      <c r="A789" s="44"/>
      <c r="B789" s="44"/>
      <c r="C789" s="44"/>
      <c r="D789" s="44"/>
      <c r="E789" s="44"/>
      <c r="F789" s="44"/>
      <c r="G789" s="44"/>
      <c r="H789" s="44"/>
      <c r="I789" s="44"/>
      <c r="J789" s="44"/>
      <c r="K789" s="44"/>
      <c r="L789" s="44"/>
      <c r="M789" s="44"/>
      <c r="N789" s="44"/>
      <c r="O789" s="44"/>
    </row>
    <row r="790" spans="1:15" ht="17.25" customHeight="1">
      <c r="A790" s="44"/>
      <c r="B790" s="44"/>
      <c r="C790" s="44"/>
      <c r="D790" s="44"/>
      <c r="E790" s="44"/>
      <c r="F790" s="44"/>
      <c r="G790" s="44"/>
      <c r="H790" s="44"/>
      <c r="I790" s="44"/>
      <c r="J790" s="44"/>
      <c r="K790" s="44"/>
      <c r="L790" s="44"/>
      <c r="M790" s="44"/>
      <c r="N790" s="44"/>
      <c r="O790" s="44"/>
    </row>
    <row r="791" spans="1:15" ht="17.25" customHeight="1">
      <c r="A791" s="44"/>
      <c r="B791" s="44"/>
      <c r="C791" s="44"/>
      <c r="D791" s="44"/>
      <c r="E791" s="44"/>
      <c r="F791" s="44"/>
      <c r="G791" s="44"/>
      <c r="H791" s="44"/>
      <c r="I791" s="44"/>
      <c r="J791" s="44"/>
      <c r="K791" s="44"/>
      <c r="L791" s="44"/>
      <c r="M791" s="44"/>
      <c r="N791" s="44"/>
      <c r="O791" s="44"/>
    </row>
    <row r="792" spans="1:15" ht="17.25" customHeight="1">
      <c r="A792" s="44"/>
      <c r="B792" s="44"/>
      <c r="C792" s="44"/>
      <c r="D792" s="44"/>
      <c r="E792" s="44"/>
      <c r="F792" s="44"/>
      <c r="G792" s="44"/>
      <c r="H792" s="44"/>
      <c r="I792" s="44"/>
      <c r="J792" s="44"/>
      <c r="K792" s="44"/>
      <c r="L792" s="44"/>
      <c r="M792" s="44"/>
      <c r="N792" s="44"/>
      <c r="O792" s="44"/>
    </row>
    <row r="793" spans="1:15" ht="17.25" customHeight="1">
      <c r="A793" s="44"/>
      <c r="B793" s="44"/>
      <c r="C793" s="44"/>
      <c r="D793" s="44"/>
      <c r="E793" s="44"/>
      <c r="F793" s="44"/>
      <c r="G793" s="44"/>
      <c r="H793" s="44"/>
      <c r="I793" s="44"/>
      <c r="J793" s="44"/>
      <c r="K793" s="44"/>
      <c r="L793" s="44"/>
      <c r="M793" s="44"/>
      <c r="N793" s="44"/>
      <c r="O793" s="44"/>
    </row>
    <row r="794" spans="1:15" ht="17.25" customHeight="1">
      <c r="A794" s="44"/>
      <c r="B794" s="44"/>
      <c r="C794" s="44"/>
      <c r="D794" s="44"/>
      <c r="E794" s="44"/>
      <c r="F794" s="44"/>
      <c r="G794" s="44"/>
      <c r="H794" s="44"/>
      <c r="I794" s="44"/>
      <c r="J794" s="44"/>
      <c r="K794" s="44"/>
      <c r="L794" s="44"/>
      <c r="M794" s="44"/>
      <c r="N794" s="44"/>
      <c r="O794" s="44"/>
    </row>
    <row r="795" spans="1:15" ht="17.25" customHeight="1">
      <c r="A795" s="44"/>
      <c r="B795" s="44"/>
      <c r="C795" s="44"/>
      <c r="D795" s="44"/>
      <c r="E795" s="44"/>
      <c r="F795" s="44"/>
      <c r="G795" s="44"/>
      <c r="H795" s="44"/>
      <c r="I795" s="44"/>
      <c r="J795" s="44"/>
      <c r="K795" s="44"/>
      <c r="L795" s="44"/>
      <c r="M795" s="44"/>
      <c r="N795" s="44"/>
      <c r="O795" s="44"/>
    </row>
    <row r="796" spans="1:15" ht="17.25" customHeight="1">
      <c r="A796" s="44"/>
      <c r="B796" s="44"/>
      <c r="C796" s="44"/>
      <c r="D796" s="44"/>
      <c r="E796" s="44"/>
      <c r="F796" s="44"/>
      <c r="G796" s="44"/>
      <c r="H796" s="44"/>
      <c r="I796" s="44"/>
      <c r="J796" s="44"/>
      <c r="K796" s="44"/>
      <c r="L796" s="44"/>
      <c r="M796" s="44"/>
      <c r="N796" s="44"/>
      <c r="O796" s="44"/>
    </row>
    <row r="797" spans="1:15" ht="17.25" customHeight="1">
      <c r="A797" s="44"/>
      <c r="B797" s="44"/>
      <c r="C797" s="44"/>
      <c r="D797" s="44"/>
      <c r="E797" s="44"/>
      <c r="F797" s="44"/>
      <c r="G797" s="44"/>
      <c r="H797" s="44"/>
      <c r="I797" s="44"/>
      <c r="J797" s="44"/>
      <c r="K797" s="44"/>
      <c r="L797" s="44"/>
      <c r="M797" s="44"/>
      <c r="N797" s="44"/>
      <c r="O797" s="44"/>
    </row>
    <row r="798" spans="1:15" ht="17.25" customHeight="1">
      <c r="A798" s="44"/>
      <c r="B798" s="44"/>
      <c r="C798" s="44"/>
      <c r="D798" s="44"/>
      <c r="E798" s="44"/>
      <c r="F798" s="44"/>
      <c r="G798" s="44"/>
      <c r="H798" s="44"/>
      <c r="I798" s="44"/>
      <c r="J798" s="44"/>
      <c r="K798" s="44"/>
      <c r="L798" s="44"/>
      <c r="M798" s="44"/>
      <c r="N798" s="44"/>
      <c r="O798" s="44"/>
    </row>
    <row r="799" spans="1:15" ht="17.25" customHeight="1">
      <c r="A799" s="44"/>
      <c r="B799" s="44"/>
      <c r="C799" s="44"/>
      <c r="D799" s="44"/>
      <c r="E799" s="44"/>
      <c r="F799" s="44"/>
      <c r="G799" s="44"/>
      <c r="H799" s="44"/>
      <c r="I799" s="44"/>
      <c r="J799" s="44"/>
      <c r="K799" s="44"/>
      <c r="L799" s="44"/>
      <c r="M799" s="44"/>
      <c r="N799" s="44"/>
      <c r="O799" s="44"/>
    </row>
    <row r="800" spans="1:15" ht="17.25" customHeight="1">
      <c r="A800" s="44"/>
      <c r="B800" s="44"/>
      <c r="C800" s="44"/>
      <c r="D800" s="44"/>
      <c r="E800" s="44"/>
      <c r="F800" s="44"/>
      <c r="G800" s="44"/>
      <c r="H800" s="44"/>
      <c r="I800" s="44"/>
      <c r="J800" s="44"/>
      <c r="K800" s="44"/>
      <c r="L800" s="44"/>
      <c r="M800" s="44"/>
      <c r="N800" s="44"/>
      <c r="O800" s="44"/>
    </row>
    <row r="801" spans="1:15" ht="17.25" customHeight="1">
      <c r="A801" s="44"/>
      <c r="B801" s="44"/>
      <c r="C801" s="44"/>
      <c r="D801" s="44"/>
      <c r="E801" s="44"/>
      <c r="F801" s="44"/>
      <c r="G801" s="44"/>
      <c r="H801" s="44"/>
      <c r="I801" s="44"/>
      <c r="J801" s="44"/>
      <c r="K801" s="44"/>
      <c r="L801" s="44"/>
      <c r="M801" s="44"/>
      <c r="N801" s="44"/>
      <c r="O801" s="44"/>
    </row>
    <row r="802" spans="1:15" ht="17.25" customHeight="1">
      <c r="A802" s="44"/>
      <c r="B802" s="44"/>
      <c r="C802" s="44"/>
      <c r="D802" s="44"/>
      <c r="E802" s="44"/>
      <c r="F802" s="44"/>
      <c r="G802" s="44"/>
      <c r="H802" s="44"/>
      <c r="I802" s="44"/>
      <c r="J802" s="44"/>
      <c r="K802" s="44"/>
      <c r="L802" s="44"/>
      <c r="M802" s="44"/>
      <c r="N802" s="44"/>
      <c r="O802" s="44"/>
    </row>
    <row r="803" spans="1:15" ht="17.25" customHeight="1">
      <c r="A803" s="44"/>
      <c r="B803" s="44"/>
      <c r="C803" s="44"/>
      <c r="D803" s="44"/>
      <c r="E803" s="44"/>
      <c r="F803" s="44"/>
      <c r="G803" s="44"/>
      <c r="H803" s="44"/>
      <c r="I803" s="44"/>
      <c r="J803" s="44"/>
      <c r="K803" s="44"/>
      <c r="L803" s="44"/>
      <c r="M803" s="44"/>
      <c r="N803" s="44"/>
      <c r="O803" s="44"/>
    </row>
    <row r="804" spans="1:15" ht="17.25" customHeight="1">
      <c r="A804" s="44"/>
      <c r="B804" s="44"/>
      <c r="C804" s="44"/>
      <c r="D804" s="44"/>
      <c r="E804" s="44"/>
      <c r="F804" s="44"/>
      <c r="G804" s="44"/>
      <c r="H804" s="44"/>
      <c r="I804" s="44"/>
      <c r="J804" s="44"/>
      <c r="K804" s="44"/>
      <c r="L804" s="44"/>
      <c r="M804" s="44"/>
      <c r="N804" s="44"/>
      <c r="O804" s="44"/>
    </row>
    <row r="805" spans="1:15" ht="17.25" customHeight="1">
      <c r="A805" s="44"/>
      <c r="B805" s="44"/>
      <c r="C805" s="44"/>
      <c r="D805" s="44"/>
      <c r="E805" s="44"/>
      <c r="F805" s="44"/>
      <c r="G805" s="44"/>
      <c r="H805" s="44"/>
      <c r="I805" s="44"/>
      <c r="J805" s="44"/>
      <c r="K805" s="44"/>
      <c r="L805" s="44"/>
      <c r="M805" s="44"/>
      <c r="N805" s="44"/>
      <c r="O805" s="44"/>
    </row>
    <row r="806" spans="1:15" ht="17.25" customHeight="1">
      <c r="A806" s="44"/>
      <c r="B806" s="44"/>
      <c r="C806" s="44"/>
      <c r="D806" s="44"/>
      <c r="E806" s="44"/>
      <c r="F806" s="44"/>
      <c r="G806" s="44"/>
      <c r="H806" s="44"/>
      <c r="I806" s="44"/>
      <c r="J806" s="44"/>
      <c r="K806" s="44"/>
      <c r="L806" s="44"/>
      <c r="M806" s="44"/>
      <c r="N806" s="44"/>
      <c r="O806" s="44"/>
    </row>
    <row r="807" spans="1:15" ht="17.25" customHeight="1">
      <c r="A807" s="44"/>
      <c r="B807" s="44"/>
      <c r="C807" s="44"/>
      <c r="D807" s="44"/>
      <c r="E807" s="44"/>
      <c r="F807" s="44"/>
      <c r="G807" s="44"/>
      <c r="H807" s="44"/>
      <c r="I807" s="44"/>
      <c r="J807" s="44"/>
      <c r="K807" s="44"/>
      <c r="L807" s="44"/>
      <c r="M807" s="44"/>
      <c r="N807" s="44"/>
      <c r="O807" s="44"/>
    </row>
    <row r="808" spans="1:15" ht="17.25" customHeight="1">
      <c r="A808" s="44"/>
      <c r="B808" s="44"/>
      <c r="C808" s="44"/>
      <c r="D808" s="44"/>
      <c r="E808" s="44"/>
      <c r="F808" s="44"/>
      <c r="G808" s="44"/>
      <c r="H808" s="44"/>
      <c r="I808" s="44"/>
      <c r="J808" s="44"/>
      <c r="K808" s="44"/>
      <c r="L808" s="44"/>
      <c r="M808" s="44"/>
      <c r="N808" s="44"/>
      <c r="O808" s="44"/>
    </row>
    <row r="809" spans="1:15" ht="17.25" customHeight="1">
      <c r="A809" s="44"/>
      <c r="B809" s="44"/>
      <c r="C809" s="44"/>
      <c r="D809" s="44"/>
      <c r="E809" s="44"/>
      <c r="F809" s="44"/>
      <c r="G809" s="44"/>
      <c r="H809" s="44"/>
      <c r="I809" s="44"/>
      <c r="J809" s="44"/>
      <c r="K809" s="44"/>
      <c r="L809" s="44"/>
      <c r="M809" s="44"/>
      <c r="N809" s="44"/>
      <c r="O809" s="44"/>
    </row>
    <row r="810" spans="1:15" ht="17.25" customHeight="1">
      <c r="A810" s="44"/>
      <c r="B810" s="44"/>
      <c r="C810" s="44"/>
      <c r="D810" s="44"/>
      <c r="E810" s="44"/>
      <c r="F810" s="44"/>
      <c r="G810" s="44"/>
      <c r="H810" s="44"/>
      <c r="I810" s="44"/>
      <c r="J810" s="44"/>
      <c r="K810" s="44"/>
      <c r="L810" s="44"/>
      <c r="M810" s="44"/>
      <c r="N810" s="44"/>
      <c r="O810" s="44"/>
    </row>
    <row r="811" spans="1:15" ht="17.25" customHeight="1">
      <c r="A811" s="44"/>
      <c r="B811" s="44"/>
      <c r="C811" s="44"/>
      <c r="D811" s="44"/>
      <c r="E811" s="44"/>
      <c r="F811" s="44"/>
      <c r="G811" s="44"/>
      <c r="H811" s="44"/>
      <c r="I811" s="44"/>
      <c r="J811" s="44"/>
      <c r="K811" s="44"/>
      <c r="L811" s="44"/>
      <c r="M811" s="44"/>
      <c r="N811" s="44"/>
      <c r="O811" s="44"/>
    </row>
    <row r="812" spans="1:15" ht="17.25" customHeight="1">
      <c r="A812" s="44"/>
      <c r="B812" s="44"/>
      <c r="C812" s="44"/>
      <c r="D812" s="44"/>
      <c r="E812" s="44"/>
      <c r="F812" s="44"/>
      <c r="G812" s="44"/>
      <c r="H812" s="44"/>
      <c r="I812" s="44"/>
      <c r="J812" s="44"/>
      <c r="K812" s="44"/>
      <c r="L812" s="44"/>
      <c r="M812" s="44"/>
      <c r="N812" s="44"/>
      <c r="O812" s="44"/>
    </row>
    <row r="813" spans="1:15" ht="17.25" customHeight="1">
      <c r="A813" s="44"/>
      <c r="B813" s="44"/>
      <c r="C813" s="44"/>
      <c r="D813" s="44"/>
      <c r="E813" s="44"/>
      <c r="F813" s="44"/>
      <c r="G813" s="44"/>
      <c r="H813" s="44"/>
      <c r="I813" s="44"/>
      <c r="J813" s="44"/>
      <c r="K813" s="44"/>
      <c r="L813" s="44"/>
      <c r="M813" s="44"/>
      <c r="N813" s="44"/>
      <c r="O813" s="44"/>
    </row>
    <row r="814" spans="1:15" ht="17.25" customHeight="1">
      <c r="A814" s="44"/>
      <c r="B814" s="44"/>
      <c r="C814" s="44"/>
      <c r="D814" s="44"/>
      <c r="E814" s="44"/>
      <c r="F814" s="44"/>
      <c r="G814" s="44"/>
      <c r="H814" s="44"/>
      <c r="I814" s="44"/>
      <c r="J814" s="44"/>
      <c r="K814" s="44"/>
      <c r="L814" s="44"/>
      <c r="M814" s="44"/>
      <c r="N814" s="44"/>
      <c r="O814" s="44"/>
    </row>
    <row r="815" spans="1:15" ht="17.25" customHeight="1">
      <c r="A815" s="44"/>
      <c r="B815" s="44"/>
      <c r="C815" s="44"/>
      <c r="D815" s="44"/>
      <c r="E815" s="44"/>
      <c r="F815" s="44"/>
      <c r="G815" s="44"/>
      <c r="H815" s="44"/>
      <c r="I815" s="44"/>
      <c r="J815" s="44"/>
      <c r="K815" s="44"/>
      <c r="L815" s="44"/>
      <c r="M815" s="44"/>
      <c r="N815" s="44"/>
      <c r="O815" s="44"/>
    </row>
    <row r="816" spans="1:15" ht="17.25" customHeight="1">
      <c r="A816" s="44"/>
      <c r="B816" s="44"/>
      <c r="C816" s="44"/>
      <c r="D816" s="44"/>
      <c r="E816" s="44"/>
      <c r="F816" s="44"/>
      <c r="G816" s="44"/>
      <c r="H816" s="44"/>
      <c r="I816" s="44"/>
      <c r="J816" s="44"/>
      <c r="K816" s="44"/>
      <c r="L816" s="44"/>
      <c r="M816" s="44"/>
      <c r="N816" s="44"/>
      <c r="O816" s="44"/>
    </row>
    <row r="817" spans="1:15" ht="17.25" customHeight="1">
      <c r="A817" s="44"/>
      <c r="B817" s="44"/>
      <c r="C817" s="44"/>
      <c r="D817" s="44"/>
      <c r="E817" s="44"/>
      <c r="F817" s="44"/>
      <c r="G817" s="44"/>
      <c r="H817" s="44"/>
      <c r="I817" s="44"/>
      <c r="J817" s="44"/>
      <c r="K817" s="44"/>
      <c r="L817" s="44"/>
      <c r="M817" s="44"/>
      <c r="N817" s="44"/>
      <c r="O817" s="44"/>
    </row>
    <row r="818" spans="1:15" ht="17.25" customHeight="1">
      <c r="A818" s="44"/>
      <c r="B818" s="44"/>
      <c r="C818" s="44"/>
      <c r="D818" s="44"/>
      <c r="E818" s="44"/>
      <c r="F818" s="44"/>
      <c r="G818" s="44"/>
      <c r="H818" s="44"/>
      <c r="I818" s="44"/>
      <c r="J818" s="44"/>
      <c r="K818" s="44"/>
      <c r="L818" s="44"/>
      <c r="M818" s="44"/>
      <c r="N818" s="44"/>
      <c r="O818" s="44"/>
    </row>
    <row r="819" spans="1:15" ht="17.25" customHeight="1">
      <c r="A819" s="44"/>
      <c r="B819" s="44"/>
      <c r="C819" s="44"/>
      <c r="D819" s="44"/>
      <c r="E819" s="44"/>
      <c r="F819" s="44"/>
      <c r="G819" s="44"/>
      <c r="H819" s="44"/>
      <c r="I819" s="44"/>
      <c r="J819" s="44"/>
      <c r="K819" s="44"/>
      <c r="L819" s="44"/>
      <c r="M819" s="44"/>
      <c r="N819" s="44"/>
      <c r="O819" s="44"/>
    </row>
    <row r="820" spans="1:15" ht="17.25" customHeight="1">
      <c r="A820" s="44"/>
      <c r="B820" s="44"/>
      <c r="C820" s="44"/>
      <c r="D820" s="44"/>
      <c r="E820" s="44"/>
      <c r="F820" s="44"/>
      <c r="G820" s="44"/>
      <c r="H820" s="44"/>
      <c r="I820" s="44"/>
      <c r="J820" s="44"/>
      <c r="K820" s="44"/>
      <c r="L820" s="44"/>
      <c r="M820" s="44"/>
      <c r="N820" s="44"/>
      <c r="O820" s="44"/>
    </row>
    <row r="821" spans="1:15" ht="17.25" customHeight="1">
      <c r="A821" s="44"/>
      <c r="B821" s="44"/>
      <c r="C821" s="44"/>
      <c r="D821" s="44"/>
      <c r="E821" s="44"/>
      <c r="F821" s="44"/>
      <c r="G821" s="44"/>
      <c r="H821" s="44"/>
      <c r="I821" s="44"/>
      <c r="J821" s="44"/>
      <c r="K821" s="44"/>
      <c r="L821" s="44"/>
      <c r="M821" s="44"/>
      <c r="N821" s="44"/>
      <c r="O821" s="44"/>
    </row>
    <row r="822" spans="1:15" ht="17.25" customHeight="1">
      <c r="A822" s="44"/>
      <c r="B822" s="44"/>
      <c r="C822" s="44"/>
      <c r="D822" s="44"/>
      <c r="E822" s="44"/>
      <c r="F822" s="44"/>
      <c r="G822" s="44"/>
      <c r="H822" s="44"/>
      <c r="I822" s="44"/>
      <c r="J822" s="44"/>
      <c r="K822" s="44"/>
      <c r="L822" s="44"/>
      <c r="M822" s="44"/>
      <c r="N822" s="44"/>
      <c r="O822" s="44"/>
    </row>
    <row r="823" spans="1:15" ht="17.25" customHeight="1">
      <c r="A823" s="44"/>
      <c r="B823" s="44"/>
      <c r="C823" s="44"/>
      <c r="D823" s="44"/>
      <c r="E823" s="44"/>
      <c r="F823" s="44"/>
      <c r="G823" s="44"/>
      <c r="H823" s="44"/>
      <c r="I823" s="44"/>
      <c r="J823" s="44"/>
      <c r="K823" s="44"/>
      <c r="L823" s="44"/>
      <c r="M823" s="44"/>
      <c r="N823" s="44"/>
      <c r="O823" s="44"/>
    </row>
    <row r="824" spans="1:15" ht="17.25" customHeight="1">
      <c r="A824" s="44"/>
      <c r="B824" s="44"/>
      <c r="C824" s="44"/>
      <c r="D824" s="44"/>
      <c r="E824" s="44"/>
      <c r="F824" s="44"/>
      <c r="G824" s="44"/>
      <c r="H824" s="44"/>
      <c r="I824" s="44"/>
      <c r="J824" s="44"/>
      <c r="K824" s="44"/>
      <c r="L824" s="44"/>
      <c r="M824" s="44"/>
      <c r="N824" s="44"/>
      <c r="O824" s="44"/>
    </row>
    <row r="825" spans="1:15" ht="17.25" customHeight="1">
      <c r="A825" s="44"/>
      <c r="B825" s="44"/>
      <c r="C825" s="44"/>
      <c r="D825" s="44"/>
      <c r="E825" s="44"/>
      <c r="F825" s="44"/>
      <c r="G825" s="44"/>
      <c r="H825" s="44"/>
      <c r="I825" s="44"/>
      <c r="J825" s="44"/>
      <c r="K825" s="44"/>
      <c r="L825" s="44"/>
      <c r="M825" s="44"/>
      <c r="N825" s="44"/>
      <c r="O825" s="44"/>
    </row>
    <row r="826" spans="1:15" ht="17.25" customHeight="1">
      <c r="A826" s="44"/>
      <c r="B826" s="44"/>
      <c r="C826" s="44"/>
      <c r="D826" s="44"/>
      <c r="E826" s="44"/>
      <c r="F826" s="44"/>
      <c r="G826" s="44"/>
      <c r="H826" s="44"/>
      <c r="I826" s="44"/>
      <c r="J826" s="44"/>
      <c r="K826" s="44"/>
      <c r="L826" s="44"/>
      <c r="M826" s="44"/>
      <c r="N826" s="44"/>
      <c r="O826" s="44"/>
    </row>
    <row r="827" spans="1:15" ht="17.25" customHeight="1">
      <c r="A827" s="44"/>
      <c r="B827" s="44"/>
      <c r="C827" s="44"/>
      <c r="D827" s="44"/>
      <c r="E827" s="44"/>
      <c r="F827" s="44"/>
      <c r="G827" s="44"/>
      <c r="H827" s="44"/>
      <c r="I827" s="44"/>
      <c r="J827" s="44"/>
      <c r="K827" s="44"/>
      <c r="L827" s="44"/>
      <c r="M827" s="44"/>
      <c r="N827" s="44"/>
      <c r="O827" s="44"/>
    </row>
    <row r="828" spans="1:15" ht="17.25" customHeight="1">
      <c r="A828" s="44"/>
      <c r="B828" s="44"/>
      <c r="C828" s="44"/>
      <c r="D828" s="44"/>
      <c r="E828" s="44"/>
      <c r="F828" s="44"/>
      <c r="G828" s="44"/>
      <c r="H828" s="44"/>
      <c r="I828" s="44"/>
      <c r="J828" s="44"/>
      <c r="K828" s="44"/>
      <c r="L828" s="44"/>
      <c r="M828" s="44"/>
      <c r="N828" s="44"/>
      <c r="O828" s="44"/>
    </row>
    <row r="829" spans="1:15" ht="17.25" customHeight="1">
      <c r="A829" s="44"/>
      <c r="B829" s="44"/>
      <c r="C829" s="44"/>
      <c r="D829" s="44"/>
      <c r="E829" s="44"/>
      <c r="F829" s="44"/>
      <c r="G829" s="44"/>
      <c r="H829" s="44"/>
      <c r="I829" s="44"/>
      <c r="J829" s="44"/>
      <c r="K829" s="44"/>
      <c r="L829" s="44"/>
      <c r="M829" s="44"/>
      <c r="N829" s="44"/>
      <c r="O829" s="44"/>
    </row>
    <row r="830" spans="1:15" ht="17.25" customHeight="1">
      <c r="A830" s="44"/>
      <c r="B830" s="44"/>
      <c r="C830" s="44"/>
      <c r="D830" s="44"/>
      <c r="E830" s="44"/>
      <c r="F830" s="44"/>
      <c r="G830" s="44"/>
      <c r="H830" s="44"/>
      <c r="I830" s="44"/>
      <c r="J830" s="44"/>
      <c r="K830" s="44"/>
      <c r="L830" s="44"/>
      <c r="M830" s="44"/>
      <c r="N830" s="44"/>
      <c r="O830" s="44"/>
    </row>
    <row r="831" spans="1:15" ht="17.25" customHeight="1">
      <c r="A831" s="44"/>
      <c r="B831" s="44"/>
      <c r="C831" s="44"/>
      <c r="D831" s="44"/>
      <c r="E831" s="44"/>
      <c r="F831" s="44"/>
      <c r="G831" s="44"/>
      <c r="H831" s="44"/>
      <c r="I831" s="44"/>
      <c r="J831" s="44"/>
      <c r="K831" s="44"/>
      <c r="L831" s="44"/>
      <c r="M831" s="44"/>
      <c r="N831" s="44"/>
      <c r="O831" s="44"/>
    </row>
    <row r="832" spans="1:15" ht="17.25" customHeight="1">
      <c r="A832" s="44"/>
      <c r="B832" s="44"/>
      <c r="C832" s="44"/>
      <c r="D832" s="44"/>
      <c r="E832" s="44"/>
      <c r="F832" s="44"/>
      <c r="G832" s="44"/>
      <c r="H832" s="44"/>
      <c r="I832" s="44"/>
      <c r="J832" s="44"/>
      <c r="K832" s="44"/>
      <c r="L832" s="44"/>
      <c r="M832" s="44"/>
      <c r="N832" s="44"/>
      <c r="O832" s="44"/>
    </row>
    <row r="833" spans="1:15" ht="17.25" customHeight="1">
      <c r="A833" s="44"/>
      <c r="B833" s="44"/>
      <c r="C833" s="44"/>
      <c r="D833" s="44"/>
      <c r="E833" s="44"/>
      <c r="F833" s="44"/>
      <c r="G833" s="44"/>
      <c r="H833" s="44"/>
      <c r="I833" s="44"/>
      <c r="J833" s="44"/>
      <c r="K833" s="44"/>
      <c r="L833" s="44"/>
      <c r="M833" s="44"/>
      <c r="N833" s="44"/>
      <c r="O833" s="44"/>
    </row>
    <row r="834" spans="1:15" ht="17.25" customHeight="1">
      <c r="A834" s="44"/>
      <c r="B834" s="44"/>
      <c r="C834" s="44"/>
      <c r="D834" s="44"/>
      <c r="E834" s="44"/>
      <c r="F834" s="44"/>
      <c r="G834" s="44"/>
      <c r="H834" s="44"/>
      <c r="I834" s="44"/>
      <c r="J834" s="44"/>
      <c r="K834" s="44"/>
      <c r="L834" s="44"/>
      <c r="M834" s="44"/>
      <c r="N834" s="44"/>
      <c r="O834" s="44"/>
    </row>
    <row r="835" spans="1:15" ht="17.25" customHeight="1">
      <c r="A835" s="44"/>
      <c r="B835" s="44"/>
      <c r="C835" s="44"/>
      <c r="D835" s="44"/>
      <c r="E835" s="44"/>
      <c r="F835" s="44"/>
      <c r="G835" s="44"/>
      <c r="H835" s="44"/>
      <c r="I835" s="44"/>
      <c r="J835" s="44"/>
      <c r="K835" s="44"/>
      <c r="L835" s="44"/>
      <c r="M835" s="44"/>
      <c r="N835" s="44"/>
      <c r="O835" s="44"/>
    </row>
    <row r="836" spans="1:15" ht="17.25" customHeight="1">
      <c r="A836" s="44"/>
      <c r="B836" s="44"/>
      <c r="C836" s="44"/>
      <c r="D836" s="44"/>
      <c r="E836" s="44"/>
      <c r="F836" s="44"/>
      <c r="G836" s="44"/>
      <c r="H836" s="44"/>
      <c r="I836" s="44"/>
      <c r="J836" s="44"/>
      <c r="K836" s="44"/>
      <c r="L836" s="44"/>
      <c r="M836" s="44"/>
      <c r="N836" s="44"/>
      <c r="O836" s="44"/>
    </row>
    <row r="837" spans="1:15" ht="17.25" customHeight="1">
      <c r="A837" s="44"/>
      <c r="B837" s="44"/>
      <c r="C837" s="44"/>
      <c r="D837" s="44"/>
      <c r="E837" s="44"/>
      <c r="F837" s="44"/>
      <c r="G837" s="44"/>
      <c r="H837" s="44"/>
      <c r="I837" s="44"/>
      <c r="J837" s="44"/>
      <c r="K837" s="44"/>
      <c r="L837" s="44"/>
      <c r="M837" s="44"/>
      <c r="N837" s="44"/>
      <c r="O837" s="44"/>
    </row>
    <row r="838" spans="1:15" ht="17.25" customHeight="1">
      <c r="A838" s="44"/>
      <c r="B838" s="44"/>
      <c r="C838" s="44"/>
      <c r="D838" s="44"/>
      <c r="E838" s="44"/>
      <c r="F838" s="44"/>
      <c r="G838" s="44"/>
      <c r="H838" s="44"/>
      <c r="I838" s="44"/>
      <c r="J838" s="44"/>
      <c r="K838" s="44"/>
      <c r="L838" s="44"/>
      <c r="M838" s="44"/>
      <c r="N838" s="44"/>
      <c r="O838" s="44"/>
    </row>
    <row r="839" spans="1:15" ht="17.25" customHeight="1">
      <c r="A839" s="44"/>
      <c r="B839" s="44"/>
      <c r="C839" s="44"/>
      <c r="D839" s="44"/>
      <c r="E839" s="44"/>
      <c r="F839" s="44"/>
      <c r="G839" s="44"/>
      <c r="H839" s="44"/>
      <c r="I839" s="44"/>
      <c r="J839" s="44"/>
      <c r="K839" s="44"/>
      <c r="L839" s="44"/>
      <c r="M839" s="44"/>
      <c r="N839" s="44"/>
      <c r="O839" s="44"/>
    </row>
    <row r="840" spans="1:15" ht="17.25" customHeight="1">
      <c r="A840" s="44"/>
      <c r="B840" s="44"/>
      <c r="C840" s="44"/>
      <c r="D840" s="44"/>
      <c r="E840" s="44"/>
      <c r="F840" s="44"/>
      <c r="G840" s="44"/>
      <c r="H840" s="44"/>
      <c r="I840" s="44"/>
      <c r="J840" s="44"/>
      <c r="K840" s="44"/>
      <c r="L840" s="44"/>
      <c r="M840" s="44"/>
      <c r="N840" s="44"/>
      <c r="O840" s="44"/>
    </row>
    <row r="841" spans="1:15" ht="17.25" customHeight="1">
      <c r="A841" s="44"/>
      <c r="B841" s="44"/>
      <c r="C841" s="44"/>
      <c r="D841" s="44"/>
      <c r="E841" s="44"/>
      <c r="F841" s="44"/>
      <c r="G841" s="44"/>
      <c r="H841" s="44"/>
      <c r="I841" s="44"/>
      <c r="J841" s="44"/>
      <c r="K841" s="44"/>
      <c r="L841" s="44"/>
      <c r="M841" s="44"/>
      <c r="N841" s="44"/>
      <c r="O841" s="44"/>
    </row>
    <row r="842" spans="1:15" ht="17.25" customHeight="1">
      <c r="A842" s="44"/>
      <c r="B842" s="44"/>
      <c r="C842" s="44"/>
      <c r="D842" s="44"/>
      <c r="E842" s="44"/>
      <c r="F842" s="44"/>
      <c r="G842" s="44"/>
      <c r="H842" s="44"/>
      <c r="I842" s="44"/>
      <c r="J842" s="44"/>
      <c r="K842" s="44"/>
      <c r="L842" s="44"/>
      <c r="M842" s="44"/>
      <c r="N842" s="44"/>
      <c r="O842" s="44"/>
    </row>
    <row r="843" spans="1:15" ht="17.25" customHeight="1">
      <c r="A843" s="44"/>
      <c r="B843" s="44"/>
      <c r="C843" s="44"/>
      <c r="D843" s="44"/>
      <c r="E843" s="44"/>
      <c r="F843" s="44"/>
      <c r="G843" s="44"/>
      <c r="H843" s="44"/>
      <c r="I843" s="44"/>
      <c r="J843" s="44"/>
      <c r="K843" s="44"/>
      <c r="L843" s="44"/>
      <c r="M843" s="44"/>
      <c r="N843" s="44"/>
      <c r="O843" s="44"/>
    </row>
    <row r="844" spans="1:15" ht="17.25" customHeight="1">
      <c r="A844" s="44"/>
      <c r="B844" s="44"/>
      <c r="C844" s="44"/>
      <c r="D844" s="44"/>
      <c r="E844" s="44"/>
      <c r="F844" s="44"/>
      <c r="G844" s="44"/>
      <c r="H844" s="44"/>
      <c r="I844" s="44"/>
      <c r="J844" s="44"/>
      <c r="K844" s="44"/>
      <c r="L844" s="44"/>
      <c r="M844" s="44"/>
      <c r="N844" s="44"/>
      <c r="O844" s="44"/>
    </row>
    <row r="845" spans="1:15" ht="17.25" customHeight="1">
      <c r="A845" s="44"/>
      <c r="B845" s="44"/>
      <c r="C845" s="44"/>
      <c r="D845" s="44"/>
      <c r="E845" s="44"/>
      <c r="F845" s="44"/>
      <c r="G845" s="44"/>
      <c r="H845" s="44"/>
      <c r="I845" s="44"/>
      <c r="J845" s="44"/>
      <c r="K845" s="44"/>
      <c r="L845" s="44"/>
      <c r="M845" s="44"/>
      <c r="N845" s="44"/>
      <c r="O845" s="44"/>
    </row>
    <row r="846" spans="1:15" ht="17.25" customHeight="1">
      <c r="A846" s="44"/>
      <c r="B846" s="44"/>
      <c r="C846" s="44"/>
      <c r="D846" s="44"/>
      <c r="E846" s="44"/>
      <c r="F846" s="44"/>
      <c r="G846" s="44"/>
      <c r="H846" s="44"/>
      <c r="I846" s="44"/>
      <c r="J846" s="44"/>
      <c r="K846" s="44"/>
      <c r="L846" s="44"/>
      <c r="M846" s="44"/>
      <c r="N846" s="44"/>
      <c r="O846" s="44"/>
    </row>
    <row r="847" spans="1:15" ht="17.25" customHeight="1">
      <c r="A847" s="44"/>
      <c r="B847" s="44"/>
      <c r="C847" s="44"/>
      <c r="D847" s="44"/>
      <c r="E847" s="44"/>
      <c r="F847" s="44"/>
      <c r="G847" s="44"/>
      <c r="H847" s="44"/>
      <c r="I847" s="44"/>
      <c r="J847" s="44"/>
      <c r="K847" s="44"/>
      <c r="L847" s="44"/>
      <c r="M847" s="44"/>
      <c r="N847" s="44"/>
      <c r="O847" s="44"/>
    </row>
    <row r="848" spans="1:15" ht="17.25" customHeight="1">
      <c r="A848" s="44"/>
      <c r="B848" s="44"/>
      <c r="C848" s="44"/>
      <c r="D848" s="44"/>
      <c r="E848" s="44"/>
      <c r="F848" s="44"/>
      <c r="G848" s="44"/>
      <c r="H848" s="44"/>
      <c r="I848" s="44"/>
      <c r="J848" s="44"/>
      <c r="K848" s="44"/>
      <c r="L848" s="44"/>
      <c r="M848" s="44"/>
      <c r="N848" s="44"/>
      <c r="O848" s="44"/>
    </row>
    <row r="849" spans="1:15" ht="17.25" customHeight="1">
      <c r="A849" s="44"/>
      <c r="B849" s="44"/>
      <c r="C849" s="44"/>
      <c r="D849" s="44"/>
      <c r="E849" s="44"/>
      <c r="F849" s="44"/>
      <c r="G849" s="44"/>
      <c r="H849" s="44"/>
      <c r="I849" s="44"/>
      <c r="J849" s="44"/>
      <c r="K849" s="44"/>
      <c r="L849" s="44"/>
      <c r="M849" s="44"/>
      <c r="N849" s="44"/>
      <c r="O849" s="44"/>
    </row>
    <row r="850" spans="1:15" ht="17.25" customHeight="1">
      <c r="A850" s="44"/>
      <c r="B850" s="44"/>
      <c r="C850" s="44"/>
      <c r="D850" s="44"/>
      <c r="E850" s="44"/>
      <c r="F850" s="44"/>
      <c r="G850" s="44"/>
      <c r="H850" s="44"/>
      <c r="I850" s="44"/>
      <c r="J850" s="44"/>
      <c r="K850" s="44"/>
      <c r="L850" s="44"/>
      <c r="M850" s="44"/>
      <c r="N850" s="44"/>
      <c r="O850" s="44"/>
    </row>
    <row r="851" spans="1:15" ht="17.25" customHeight="1">
      <c r="A851" s="44"/>
      <c r="B851" s="44"/>
      <c r="C851" s="44"/>
      <c r="D851" s="44"/>
      <c r="E851" s="44"/>
      <c r="F851" s="44"/>
      <c r="G851" s="44"/>
      <c r="H851" s="44"/>
      <c r="I851" s="44"/>
      <c r="J851" s="44"/>
      <c r="K851" s="44"/>
      <c r="L851" s="44"/>
      <c r="M851" s="44"/>
      <c r="N851" s="44"/>
      <c r="O851" s="44"/>
    </row>
    <row r="852" spans="1:15" ht="17.25" customHeight="1">
      <c r="A852" s="44"/>
      <c r="B852" s="44"/>
      <c r="C852" s="44"/>
      <c r="D852" s="44"/>
      <c r="E852" s="44"/>
      <c r="F852" s="44"/>
      <c r="G852" s="44"/>
      <c r="H852" s="44"/>
      <c r="I852" s="44"/>
      <c r="J852" s="44"/>
      <c r="K852" s="44"/>
      <c r="L852" s="44"/>
      <c r="M852" s="44"/>
      <c r="N852" s="44"/>
      <c r="O852" s="44"/>
    </row>
    <row r="853" spans="1:15" ht="17.25" customHeight="1">
      <c r="A853" s="44"/>
      <c r="B853" s="44"/>
      <c r="C853" s="44"/>
      <c r="D853" s="44"/>
      <c r="E853" s="44"/>
      <c r="F853" s="44"/>
      <c r="G853" s="44"/>
      <c r="H853" s="44"/>
      <c r="I853" s="44"/>
      <c r="J853" s="44"/>
      <c r="K853" s="44"/>
      <c r="L853" s="44"/>
      <c r="M853" s="44"/>
      <c r="N853" s="44"/>
      <c r="O853" s="44"/>
    </row>
    <row r="854" spans="1:15" ht="17.25" customHeight="1">
      <c r="A854" s="44"/>
      <c r="B854" s="44"/>
      <c r="C854" s="44"/>
      <c r="D854" s="44"/>
      <c r="E854" s="44"/>
      <c r="F854" s="44"/>
      <c r="G854" s="44"/>
      <c r="H854" s="44"/>
      <c r="I854" s="44"/>
      <c r="J854" s="44"/>
      <c r="K854" s="44"/>
      <c r="L854" s="44"/>
      <c r="M854" s="44"/>
      <c r="N854" s="44"/>
      <c r="O854" s="44"/>
    </row>
    <row r="855" spans="1:15" ht="17.25" customHeight="1">
      <c r="A855" s="44"/>
      <c r="B855" s="44"/>
      <c r="C855" s="44"/>
      <c r="D855" s="44"/>
      <c r="E855" s="44"/>
      <c r="F855" s="44"/>
      <c r="G855" s="44"/>
      <c r="H855" s="44"/>
      <c r="I855" s="44"/>
      <c r="J855" s="44"/>
      <c r="K855" s="44"/>
      <c r="L855" s="44"/>
      <c r="M855" s="44"/>
      <c r="N855" s="44"/>
      <c r="O855" s="44"/>
    </row>
    <row r="856" spans="1:15" ht="17.25" customHeight="1">
      <c r="A856" s="44"/>
      <c r="B856" s="44"/>
      <c r="C856" s="44"/>
      <c r="D856" s="44"/>
      <c r="E856" s="44"/>
      <c r="F856" s="44"/>
      <c r="G856" s="44"/>
      <c r="H856" s="44"/>
      <c r="I856" s="44"/>
      <c r="J856" s="44"/>
      <c r="K856" s="44"/>
      <c r="L856" s="44"/>
      <c r="M856" s="44"/>
      <c r="N856" s="44"/>
      <c r="O856" s="44"/>
    </row>
    <row r="857" spans="1:15" ht="17.25" customHeight="1">
      <c r="A857" s="44"/>
      <c r="B857" s="44"/>
      <c r="C857" s="44"/>
      <c r="D857" s="44"/>
      <c r="E857" s="44"/>
      <c r="F857" s="44"/>
      <c r="G857" s="44"/>
      <c r="H857" s="44"/>
      <c r="I857" s="44"/>
      <c r="J857" s="44"/>
      <c r="K857" s="44"/>
      <c r="L857" s="44"/>
      <c r="M857" s="44"/>
      <c r="N857" s="44"/>
      <c r="O857" s="44"/>
    </row>
    <row r="858" spans="1:15" ht="17.25" customHeight="1">
      <c r="A858" s="44"/>
      <c r="B858" s="44"/>
      <c r="C858" s="44"/>
      <c r="D858" s="44"/>
      <c r="E858" s="44"/>
      <c r="F858" s="44"/>
      <c r="G858" s="44"/>
      <c r="H858" s="44"/>
      <c r="I858" s="44"/>
      <c r="J858" s="44"/>
      <c r="K858" s="44"/>
      <c r="L858" s="44"/>
      <c r="M858" s="44"/>
      <c r="N858" s="44"/>
      <c r="O858" s="44"/>
    </row>
    <row r="859" spans="1:15" ht="17.25" customHeight="1">
      <c r="A859" s="44"/>
      <c r="B859" s="44"/>
      <c r="C859" s="44"/>
      <c r="D859" s="44"/>
      <c r="E859" s="44"/>
      <c r="F859" s="44"/>
      <c r="G859" s="44"/>
      <c r="H859" s="44"/>
      <c r="I859" s="44"/>
      <c r="J859" s="44"/>
      <c r="K859" s="44"/>
      <c r="L859" s="44"/>
      <c r="M859" s="44"/>
      <c r="N859" s="44"/>
      <c r="O859" s="44"/>
    </row>
    <row r="860" spans="1:15" ht="17.25" customHeight="1">
      <c r="A860" s="44"/>
      <c r="B860" s="44"/>
      <c r="C860" s="44"/>
      <c r="D860" s="44"/>
      <c r="E860" s="44"/>
      <c r="F860" s="44"/>
      <c r="G860" s="44"/>
      <c r="H860" s="44"/>
      <c r="I860" s="44"/>
      <c r="J860" s="44"/>
      <c r="K860" s="44"/>
      <c r="L860" s="44"/>
      <c r="M860" s="44"/>
      <c r="N860" s="44"/>
      <c r="O860" s="44"/>
    </row>
    <row r="861" spans="1:15" ht="17.25" customHeight="1">
      <c r="A861" s="44"/>
      <c r="B861" s="44"/>
      <c r="C861" s="44"/>
      <c r="D861" s="44"/>
      <c r="E861" s="44"/>
      <c r="F861" s="44"/>
      <c r="G861" s="44"/>
      <c r="H861" s="44"/>
      <c r="I861" s="44"/>
      <c r="J861" s="44"/>
      <c r="K861" s="44"/>
      <c r="L861" s="44"/>
      <c r="M861" s="44"/>
      <c r="N861" s="44"/>
      <c r="O861" s="44"/>
    </row>
    <row r="862" spans="1:15" ht="17.25" customHeight="1">
      <c r="A862" s="44"/>
      <c r="B862" s="44"/>
      <c r="C862" s="44"/>
      <c r="D862" s="44"/>
      <c r="E862" s="44"/>
      <c r="F862" s="44"/>
      <c r="G862" s="44"/>
      <c r="H862" s="44"/>
      <c r="I862" s="44"/>
      <c r="J862" s="44"/>
      <c r="K862" s="44"/>
      <c r="L862" s="44"/>
      <c r="M862" s="44"/>
      <c r="N862" s="44"/>
      <c r="O862" s="44"/>
    </row>
    <row r="863" spans="1:15" ht="17.25" customHeight="1">
      <c r="A863" s="44"/>
      <c r="B863" s="44"/>
      <c r="C863" s="44"/>
      <c r="D863" s="44"/>
      <c r="E863" s="44"/>
      <c r="F863" s="44"/>
      <c r="G863" s="44"/>
      <c r="H863" s="44"/>
      <c r="I863" s="44"/>
      <c r="J863" s="44"/>
      <c r="K863" s="44"/>
      <c r="L863" s="44"/>
      <c r="M863" s="44"/>
      <c r="N863" s="44"/>
      <c r="O863" s="44"/>
    </row>
    <row r="864" spans="1:15" ht="17.25" customHeight="1">
      <c r="A864" s="44"/>
      <c r="B864" s="44"/>
      <c r="C864" s="44"/>
      <c r="D864" s="44"/>
      <c r="E864" s="44"/>
      <c r="F864" s="44"/>
      <c r="G864" s="44"/>
      <c r="H864" s="44"/>
      <c r="I864" s="44"/>
      <c r="J864" s="44"/>
      <c r="K864" s="44"/>
      <c r="L864" s="44"/>
      <c r="M864" s="44"/>
      <c r="N864" s="44"/>
      <c r="O864" s="44"/>
    </row>
    <row r="865" spans="1:15" ht="17.25" customHeight="1">
      <c r="A865" s="44"/>
      <c r="B865" s="44"/>
      <c r="C865" s="44"/>
      <c r="D865" s="44"/>
      <c r="E865" s="44"/>
      <c r="F865" s="44"/>
      <c r="G865" s="44"/>
      <c r="H865" s="44"/>
      <c r="I865" s="44"/>
      <c r="J865" s="44"/>
      <c r="K865" s="44"/>
      <c r="L865" s="44"/>
      <c r="M865" s="44"/>
      <c r="N865" s="44"/>
      <c r="O865" s="44"/>
    </row>
    <row r="866" spans="1:15" ht="17.25" customHeight="1">
      <c r="A866" s="44"/>
      <c r="B866" s="44"/>
      <c r="C866" s="44"/>
      <c r="D866" s="44"/>
      <c r="E866" s="44"/>
      <c r="F866" s="44"/>
      <c r="G866" s="44"/>
      <c r="H866" s="44"/>
      <c r="I866" s="44"/>
      <c r="J866" s="44"/>
      <c r="K866" s="44"/>
      <c r="L866" s="44"/>
      <c r="M866" s="44"/>
      <c r="N866" s="44"/>
      <c r="O866" s="44"/>
    </row>
    <row r="867" spans="1:15" ht="17.25" customHeight="1">
      <c r="A867" s="44"/>
      <c r="B867" s="44"/>
      <c r="C867" s="44"/>
      <c r="D867" s="44"/>
      <c r="E867" s="44"/>
      <c r="F867" s="44"/>
      <c r="G867" s="44"/>
      <c r="H867" s="44"/>
      <c r="I867" s="44"/>
      <c r="J867" s="44"/>
      <c r="K867" s="44"/>
      <c r="L867" s="44"/>
      <c r="M867" s="44"/>
      <c r="N867" s="44"/>
      <c r="O867" s="44"/>
    </row>
    <row r="868" spans="1:15" ht="17.25" customHeight="1">
      <c r="A868" s="44"/>
      <c r="B868" s="44"/>
      <c r="C868" s="44"/>
      <c r="D868" s="44"/>
      <c r="E868" s="44"/>
      <c r="F868" s="44"/>
      <c r="G868" s="44"/>
      <c r="H868" s="44"/>
      <c r="I868" s="44"/>
      <c r="J868" s="44"/>
      <c r="K868" s="44"/>
      <c r="L868" s="44"/>
      <c r="M868" s="44"/>
      <c r="N868" s="44"/>
      <c r="O868" s="44"/>
    </row>
    <row r="869" spans="1:15" ht="17.25" customHeight="1">
      <c r="A869" s="44"/>
      <c r="B869" s="44"/>
      <c r="C869" s="44"/>
      <c r="D869" s="44"/>
      <c r="E869" s="44"/>
      <c r="F869" s="44"/>
      <c r="G869" s="44"/>
      <c r="H869" s="44"/>
      <c r="I869" s="44"/>
      <c r="J869" s="44"/>
      <c r="K869" s="44"/>
      <c r="L869" s="44"/>
      <c r="M869" s="44"/>
      <c r="N869" s="44"/>
      <c r="O869" s="44"/>
    </row>
    <row r="870" spans="1:15" ht="17.25" customHeight="1">
      <c r="A870" s="44"/>
      <c r="B870" s="44"/>
      <c r="C870" s="44"/>
      <c r="D870" s="44"/>
      <c r="E870" s="44"/>
      <c r="F870" s="44"/>
      <c r="G870" s="44"/>
      <c r="H870" s="44"/>
      <c r="I870" s="44"/>
      <c r="J870" s="44"/>
      <c r="K870" s="44"/>
      <c r="L870" s="44"/>
      <c r="M870" s="44"/>
      <c r="N870" s="44"/>
      <c r="O870" s="44"/>
    </row>
    <row r="871" spans="1:15" ht="17.25" customHeight="1">
      <c r="A871" s="44"/>
      <c r="B871" s="44"/>
      <c r="C871" s="44"/>
      <c r="D871" s="44"/>
      <c r="E871" s="44"/>
      <c r="F871" s="44"/>
      <c r="G871" s="44"/>
      <c r="H871" s="44"/>
      <c r="I871" s="44"/>
      <c r="J871" s="44"/>
      <c r="K871" s="44"/>
      <c r="L871" s="44"/>
      <c r="M871" s="44"/>
      <c r="N871" s="44"/>
      <c r="O871" s="44"/>
    </row>
    <row r="872" spans="1:15" ht="17.25" customHeight="1">
      <c r="A872" s="44"/>
      <c r="B872" s="44"/>
      <c r="C872" s="44"/>
      <c r="D872" s="44"/>
      <c r="E872" s="44"/>
      <c r="F872" s="44"/>
      <c r="G872" s="44"/>
      <c r="H872" s="44"/>
      <c r="I872" s="44"/>
      <c r="J872" s="44"/>
      <c r="K872" s="44"/>
      <c r="L872" s="44"/>
      <c r="M872" s="44"/>
      <c r="N872" s="44"/>
      <c r="O872" s="44"/>
    </row>
    <row r="873" spans="1:15" ht="17.25" customHeight="1">
      <c r="A873" s="44"/>
      <c r="B873" s="44"/>
      <c r="C873" s="44"/>
      <c r="D873" s="44"/>
      <c r="E873" s="44"/>
      <c r="F873" s="44"/>
      <c r="G873" s="44"/>
      <c r="H873" s="44"/>
      <c r="I873" s="44"/>
      <c r="J873" s="44"/>
      <c r="K873" s="44"/>
      <c r="L873" s="44"/>
      <c r="M873" s="44"/>
      <c r="N873" s="44"/>
      <c r="O873" s="44"/>
    </row>
    <row r="874" spans="1:15" ht="17.25" customHeight="1">
      <c r="A874" s="44"/>
      <c r="B874" s="44"/>
      <c r="C874" s="44"/>
      <c r="D874" s="44"/>
      <c r="E874" s="44"/>
      <c r="F874" s="44"/>
      <c r="G874" s="44"/>
      <c r="H874" s="44"/>
      <c r="I874" s="44"/>
      <c r="J874" s="44"/>
      <c r="K874" s="44"/>
      <c r="L874" s="44"/>
      <c r="M874" s="44"/>
      <c r="N874" s="44"/>
      <c r="O874" s="44"/>
    </row>
    <row r="875" spans="1:15" ht="17.25" customHeight="1">
      <c r="A875" s="44"/>
      <c r="B875" s="44"/>
      <c r="C875" s="44"/>
      <c r="D875" s="44"/>
      <c r="E875" s="44"/>
      <c r="F875" s="44"/>
      <c r="G875" s="44"/>
      <c r="H875" s="44"/>
      <c r="I875" s="44"/>
      <c r="J875" s="44"/>
      <c r="K875" s="44"/>
      <c r="L875" s="44"/>
      <c r="M875" s="44"/>
      <c r="N875" s="44"/>
      <c r="O875" s="44"/>
    </row>
    <row r="876" spans="1:15" ht="17.25" customHeight="1">
      <c r="A876" s="44"/>
      <c r="B876" s="44"/>
      <c r="C876" s="44"/>
      <c r="D876" s="44"/>
      <c r="E876" s="44"/>
      <c r="F876" s="44"/>
      <c r="G876" s="44"/>
      <c r="H876" s="44"/>
      <c r="I876" s="44"/>
      <c r="J876" s="44"/>
      <c r="K876" s="44"/>
      <c r="L876" s="44"/>
      <c r="M876" s="44"/>
      <c r="N876" s="44"/>
      <c r="O876" s="44"/>
    </row>
    <row r="877" spans="1:15" ht="17.25" customHeight="1">
      <c r="A877" s="44"/>
      <c r="B877" s="44"/>
      <c r="C877" s="44"/>
      <c r="D877" s="44"/>
      <c r="E877" s="44"/>
      <c r="F877" s="44"/>
      <c r="G877" s="44"/>
      <c r="H877" s="44"/>
      <c r="I877" s="44"/>
      <c r="J877" s="44"/>
      <c r="K877" s="44"/>
      <c r="L877" s="44"/>
      <c r="M877" s="44"/>
      <c r="N877" s="44"/>
      <c r="O877" s="44"/>
    </row>
    <row r="878" spans="1:15" ht="17.25" customHeight="1">
      <c r="A878" s="44"/>
      <c r="B878" s="44"/>
      <c r="C878" s="44"/>
      <c r="D878" s="44"/>
      <c r="E878" s="44"/>
      <c r="F878" s="44"/>
      <c r="G878" s="44"/>
      <c r="H878" s="44"/>
      <c r="I878" s="44"/>
      <c r="J878" s="44"/>
      <c r="K878" s="44"/>
      <c r="L878" s="44"/>
      <c r="M878" s="44"/>
      <c r="N878" s="44"/>
      <c r="O878" s="44"/>
    </row>
    <row r="879" spans="1:15" ht="17.25" customHeight="1">
      <c r="A879" s="44"/>
      <c r="B879" s="44"/>
      <c r="C879" s="44"/>
      <c r="D879" s="44"/>
      <c r="E879" s="44"/>
      <c r="F879" s="44"/>
      <c r="G879" s="44"/>
      <c r="H879" s="44"/>
      <c r="I879" s="44"/>
      <c r="J879" s="44"/>
      <c r="K879" s="44"/>
      <c r="L879" s="44"/>
      <c r="M879" s="44"/>
      <c r="N879" s="44"/>
      <c r="O879" s="44"/>
    </row>
    <row r="880" spans="1:15" ht="17.25" customHeight="1">
      <c r="A880" s="44"/>
      <c r="B880" s="44"/>
      <c r="C880" s="44"/>
      <c r="D880" s="44"/>
      <c r="E880" s="44"/>
      <c r="F880" s="44"/>
      <c r="G880" s="44"/>
      <c r="H880" s="44"/>
      <c r="I880" s="44"/>
      <c r="J880" s="44"/>
      <c r="K880" s="44"/>
      <c r="L880" s="44"/>
      <c r="M880" s="44"/>
      <c r="N880" s="44"/>
      <c r="O880" s="44"/>
    </row>
    <row r="881" spans="1:15" ht="17.25" customHeight="1">
      <c r="A881" s="44"/>
      <c r="B881" s="44"/>
      <c r="C881" s="44"/>
      <c r="D881" s="44"/>
      <c r="E881" s="44"/>
      <c r="F881" s="44"/>
      <c r="G881" s="44"/>
      <c r="H881" s="44"/>
      <c r="I881" s="44"/>
      <c r="J881" s="44"/>
      <c r="K881" s="44"/>
      <c r="L881" s="44"/>
      <c r="M881" s="44"/>
      <c r="N881" s="44"/>
      <c r="O881" s="44"/>
    </row>
    <row r="882" spans="1:15" ht="17.25" customHeight="1">
      <c r="A882" s="44"/>
      <c r="B882" s="44"/>
      <c r="C882" s="44"/>
      <c r="D882" s="44"/>
      <c r="E882" s="44"/>
      <c r="F882" s="44"/>
      <c r="G882" s="44"/>
      <c r="H882" s="44"/>
      <c r="I882" s="44"/>
      <c r="J882" s="44"/>
      <c r="K882" s="44"/>
      <c r="L882" s="44"/>
      <c r="M882" s="44"/>
      <c r="N882" s="44"/>
      <c r="O882" s="44"/>
    </row>
    <row r="883" spans="1:15" ht="17.25" customHeight="1">
      <c r="A883" s="44"/>
      <c r="B883" s="44"/>
      <c r="C883" s="44"/>
      <c r="D883" s="44"/>
      <c r="E883" s="44"/>
      <c r="F883" s="44"/>
      <c r="G883" s="44"/>
      <c r="H883" s="44"/>
      <c r="I883" s="44"/>
      <c r="J883" s="44"/>
      <c r="K883" s="44"/>
      <c r="L883" s="44"/>
      <c r="M883" s="44"/>
      <c r="N883" s="44"/>
      <c r="O883" s="44"/>
    </row>
    <row r="884" spans="1:15" ht="17.25" customHeight="1">
      <c r="A884" s="44"/>
      <c r="B884" s="44"/>
      <c r="C884" s="44"/>
      <c r="D884" s="44"/>
      <c r="E884" s="44"/>
      <c r="F884" s="44"/>
      <c r="G884" s="44"/>
      <c r="H884" s="44"/>
      <c r="I884" s="44"/>
      <c r="J884" s="44"/>
      <c r="K884" s="44"/>
      <c r="L884" s="44"/>
      <c r="M884" s="44"/>
      <c r="N884" s="44"/>
      <c r="O884" s="44"/>
    </row>
    <row r="885" spans="1:15" ht="17.25" customHeight="1">
      <c r="A885" s="44"/>
      <c r="B885" s="44"/>
      <c r="C885" s="44"/>
      <c r="D885" s="44"/>
      <c r="E885" s="44"/>
      <c r="F885" s="44"/>
      <c r="G885" s="44"/>
      <c r="H885" s="44"/>
      <c r="I885" s="44"/>
      <c r="J885" s="44"/>
      <c r="K885" s="44"/>
      <c r="L885" s="44"/>
      <c r="M885" s="44"/>
      <c r="N885" s="44"/>
      <c r="O885" s="44"/>
    </row>
    <row r="886" spans="1:15" ht="17.25" customHeight="1">
      <c r="A886" s="44"/>
      <c r="B886" s="44"/>
      <c r="C886" s="44"/>
      <c r="D886" s="44"/>
      <c r="E886" s="44"/>
      <c r="F886" s="44"/>
      <c r="G886" s="44"/>
      <c r="H886" s="44"/>
      <c r="I886" s="44"/>
      <c r="J886" s="44"/>
      <c r="K886" s="44"/>
      <c r="L886" s="44"/>
      <c r="M886" s="44"/>
      <c r="N886" s="44"/>
      <c r="O886" s="44"/>
    </row>
    <row r="887" spans="1:15" ht="17.25" customHeight="1">
      <c r="A887" s="44"/>
      <c r="B887" s="44"/>
      <c r="C887" s="44"/>
      <c r="D887" s="44"/>
      <c r="E887" s="44"/>
      <c r="F887" s="44"/>
      <c r="G887" s="44"/>
      <c r="H887" s="44"/>
      <c r="I887" s="44"/>
      <c r="J887" s="44"/>
      <c r="K887" s="44"/>
      <c r="L887" s="44"/>
      <c r="M887" s="44"/>
      <c r="N887" s="44"/>
      <c r="O887" s="44"/>
    </row>
    <row r="888" spans="1:15" ht="17.25" customHeight="1">
      <c r="A888" s="44"/>
      <c r="B888" s="44"/>
      <c r="C888" s="44"/>
      <c r="D888" s="44"/>
      <c r="E888" s="44"/>
      <c r="F888" s="44"/>
      <c r="G888" s="44"/>
      <c r="H888" s="44"/>
      <c r="I888" s="44"/>
      <c r="J888" s="44"/>
      <c r="K888" s="44"/>
      <c r="L888" s="44"/>
      <c r="M888" s="44"/>
      <c r="N888" s="44"/>
      <c r="O888" s="44"/>
    </row>
    <row r="889" spans="1:15" ht="17.25" customHeight="1">
      <c r="A889" s="44"/>
      <c r="B889" s="44"/>
      <c r="C889" s="44"/>
      <c r="D889" s="44"/>
      <c r="E889" s="44"/>
      <c r="F889" s="44"/>
      <c r="G889" s="44"/>
      <c r="H889" s="44"/>
      <c r="I889" s="44"/>
      <c r="J889" s="44"/>
      <c r="K889" s="44"/>
      <c r="L889" s="44"/>
      <c r="M889" s="44"/>
      <c r="N889" s="44"/>
      <c r="O889" s="44"/>
    </row>
    <row r="890" spans="1:15" ht="17.25" customHeight="1">
      <c r="A890" s="44"/>
      <c r="B890" s="44"/>
      <c r="C890" s="44"/>
      <c r="D890" s="44"/>
      <c r="E890" s="44"/>
      <c r="F890" s="44"/>
      <c r="G890" s="44"/>
      <c r="H890" s="44"/>
      <c r="I890" s="44"/>
      <c r="J890" s="44"/>
      <c r="K890" s="44"/>
      <c r="L890" s="44"/>
      <c r="M890" s="44"/>
      <c r="N890" s="44"/>
      <c r="O890" s="44"/>
    </row>
    <row r="891" spans="1:15" ht="17.25" customHeight="1">
      <c r="A891" s="44"/>
      <c r="B891" s="44"/>
      <c r="C891" s="44"/>
      <c r="D891" s="44"/>
      <c r="E891" s="44"/>
      <c r="F891" s="44"/>
      <c r="G891" s="44"/>
      <c r="H891" s="44"/>
      <c r="I891" s="44"/>
      <c r="J891" s="44"/>
      <c r="K891" s="44"/>
      <c r="L891" s="44"/>
      <c r="M891" s="44"/>
      <c r="N891" s="44"/>
      <c r="O891" s="44"/>
    </row>
    <row r="892" spans="1:15" ht="17.25" customHeight="1">
      <c r="A892" s="44"/>
      <c r="B892" s="44"/>
      <c r="C892" s="44"/>
      <c r="D892" s="44"/>
      <c r="E892" s="44"/>
      <c r="F892" s="44"/>
      <c r="G892" s="44"/>
      <c r="H892" s="44"/>
      <c r="I892" s="44"/>
      <c r="J892" s="44"/>
      <c r="K892" s="44"/>
      <c r="L892" s="44"/>
      <c r="M892" s="44"/>
      <c r="N892" s="44"/>
      <c r="O892" s="44"/>
    </row>
    <row r="893" spans="1:15" ht="17.25" customHeight="1">
      <c r="A893" s="44"/>
      <c r="B893" s="44"/>
      <c r="C893" s="44"/>
      <c r="D893" s="44"/>
      <c r="E893" s="44"/>
      <c r="F893" s="44"/>
      <c r="G893" s="44"/>
      <c r="H893" s="44"/>
      <c r="I893" s="44"/>
      <c r="J893" s="44"/>
      <c r="K893" s="44"/>
      <c r="L893" s="44"/>
      <c r="M893" s="44"/>
      <c r="N893" s="44"/>
      <c r="O893" s="44"/>
    </row>
    <row r="894" spans="1:15" ht="17.25" customHeight="1">
      <c r="A894" s="44"/>
      <c r="B894" s="44"/>
      <c r="C894" s="44"/>
      <c r="D894" s="44"/>
      <c r="E894" s="44"/>
      <c r="F894" s="44"/>
      <c r="G894" s="44"/>
      <c r="H894" s="44"/>
      <c r="I894" s="44"/>
      <c r="J894" s="44"/>
      <c r="K894" s="44"/>
      <c r="L894" s="44"/>
      <c r="M894" s="44"/>
      <c r="N894" s="44"/>
      <c r="O894" s="44"/>
    </row>
    <row r="895" spans="1:15" ht="17.25" customHeight="1">
      <c r="A895" s="44"/>
      <c r="B895" s="44"/>
      <c r="C895" s="44"/>
      <c r="D895" s="44"/>
      <c r="E895" s="44"/>
      <c r="F895" s="44"/>
      <c r="G895" s="44"/>
      <c r="H895" s="44"/>
      <c r="I895" s="44"/>
      <c r="J895" s="44"/>
      <c r="K895" s="44"/>
      <c r="L895" s="44"/>
      <c r="M895" s="44"/>
      <c r="N895" s="44"/>
      <c r="O895" s="44"/>
    </row>
    <row r="896" spans="1:15" ht="17.25" customHeight="1">
      <c r="A896" s="44"/>
      <c r="B896" s="44"/>
      <c r="C896" s="44"/>
      <c r="D896" s="44"/>
      <c r="E896" s="44"/>
      <c r="F896" s="44"/>
      <c r="G896" s="44"/>
      <c r="H896" s="44"/>
      <c r="I896" s="44"/>
      <c r="J896" s="44"/>
      <c r="K896" s="44"/>
      <c r="L896" s="44"/>
      <c r="M896" s="44"/>
      <c r="N896" s="44"/>
      <c r="O896" s="44"/>
    </row>
    <row r="897" spans="1:15" ht="17.25" customHeight="1">
      <c r="A897" s="44"/>
      <c r="B897" s="44"/>
      <c r="C897" s="44"/>
      <c r="D897" s="44"/>
      <c r="E897" s="44"/>
      <c r="F897" s="44"/>
      <c r="G897" s="44"/>
      <c r="H897" s="44"/>
      <c r="I897" s="44"/>
      <c r="J897" s="44"/>
      <c r="K897" s="44"/>
      <c r="L897" s="44"/>
      <c r="M897" s="44"/>
      <c r="N897" s="44"/>
      <c r="O897" s="44"/>
    </row>
    <row r="898" spans="1:15" ht="17.25" customHeight="1">
      <c r="A898" s="44"/>
      <c r="B898" s="44"/>
      <c r="C898" s="44"/>
      <c r="D898" s="44"/>
      <c r="E898" s="44"/>
      <c r="F898" s="44"/>
      <c r="G898" s="44"/>
      <c r="H898" s="44"/>
      <c r="I898" s="44"/>
      <c r="J898" s="44"/>
      <c r="K898" s="44"/>
      <c r="L898" s="44"/>
      <c r="M898" s="44"/>
      <c r="N898" s="44"/>
      <c r="O898" s="44"/>
    </row>
    <row r="899" spans="1:15" ht="17.25" customHeight="1">
      <c r="A899" s="44"/>
      <c r="B899" s="44"/>
      <c r="C899" s="44"/>
      <c r="D899" s="44"/>
      <c r="E899" s="44"/>
      <c r="F899" s="44"/>
      <c r="G899" s="44"/>
      <c r="H899" s="44"/>
      <c r="I899" s="44"/>
      <c r="J899" s="44"/>
      <c r="K899" s="44"/>
      <c r="L899" s="44"/>
      <c r="M899" s="44"/>
      <c r="N899" s="44"/>
      <c r="O899" s="44"/>
    </row>
    <row r="900" spans="1:15" ht="17.25" customHeight="1">
      <c r="A900" s="44"/>
      <c r="B900" s="44"/>
      <c r="C900" s="44"/>
      <c r="D900" s="44"/>
      <c r="E900" s="44"/>
      <c r="F900" s="44"/>
      <c r="G900" s="44"/>
      <c r="H900" s="44"/>
      <c r="I900" s="44"/>
      <c r="J900" s="44"/>
      <c r="K900" s="44"/>
      <c r="L900" s="44"/>
      <c r="M900" s="44"/>
      <c r="N900" s="44"/>
      <c r="O900" s="44"/>
    </row>
    <row r="901" spans="1:15" ht="17.25" customHeight="1">
      <c r="A901" s="44"/>
      <c r="B901" s="44"/>
      <c r="C901" s="44"/>
      <c r="D901" s="44"/>
      <c r="E901" s="44"/>
      <c r="F901" s="44"/>
      <c r="G901" s="44"/>
      <c r="H901" s="44"/>
      <c r="I901" s="44"/>
      <c r="J901" s="44"/>
      <c r="K901" s="44"/>
      <c r="L901" s="44"/>
      <c r="M901" s="44"/>
      <c r="N901" s="44"/>
      <c r="O901" s="44"/>
    </row>
    <row r="902" spans="1:15" ht="17.25" customHeight="1">
      <c r="A902" s="44"/>
      <c r="B902" s="44"/>
      <c r="C902" s="44"/>
      <c r="D902" s="44"/>
      <c r="E902" s="44"/>
      <c r="F902" s="44"/>
      <c r="G902" s="44"/>
      <c r="H902" s="44"/>
      <c r="I902" s="44"/>
      <c r="J902" s="44"/>
      <c r="K902" s="44"/>
      <c r="L902" s="44"/>
      <c r="M902" s="44"/>
      <c r="N902" s="44"/>
      <c r="O902" s="44"/>
    </row>
    <row r="903" spans="1:15" ht="17.25" customHeight="1">
      <c r="A903" s="44"/>
      <c r="B903" s="44"/>
      <c r="C903" s="44"/>
      <c r="D903" s="44"/>
      <c r="E903" s="44"/>
      <c r="F903" s="44"/>
      <c r="G903" s="44"/>
      <c r="H903" s="44"/>
      <c r="I903" s="44"/>
      <c r="J903" s="44"/>
      <c r="K903" s="44"/>
      <c r="L903" s="44"/>
      <c r="M903" s="44"/>
      <c r="N903" s="44"/>
      <c r="O903" s="44"/>
    </row>
    <row r="904" spans="1:15" ht="17.25" customHeight="1">
      <c r="A904" s="44"/>
      <c r="B904" s="44"/>
      <c r="C904" s="44"/>
      <c r="D904" s="44"/>
      <c r="E904" s="44"/>
      <c r="F904" s="44"/>
      <c r="G904" s="44"/>
      <c r="H904" s="44"/>
      <c r="I904" s="44"/>
      <c r="J904" s="44"/>
      <c r="K904" s="44"/>
      <c r="L904" s="44"/>
      <c r="M904" s="44"/>
      <c r="N904" s="44"/>
      <c r="O904" s="44"/>
    </row>
    <row r="905" spans="1:15" ht="17.25" customHeight="1">
      <c r="A905" s="44"/>
      <c r="B905" s="44"/>
      <c r="C905" s="44"/>
      <c r="D905" s="44"/>
      <c r="E905" s="44"/>
      <c r="F905" s="44"/>
      <c r="G905" s="44"/>
      <c r="H905" s="44"/>
      <c r="I905" s="44"/>
      <c r="J905" s="44"/>
      <c r="K905" s="44"/>
      <c r="L905" s="44"/>
      <c r="M905" s="44"/>
      <c r="N905" s="44"/>
      <c r="O905" s="44"/>
    </row>
    <row r="906" spans="1:15" ht="17.25" customHeight="1">
      <c r="A906" s="44"/>
      <c r="B906" s="44"/>
      <c r="C906" s="44"/>
      <c r="D906" s="44"/>
      <c r="E906" s="44"/>
      <c r="F906" s="44"/>
      <c r="G906" s="44"/>
      <c r="H906" s="44"/>
      <c r="I906" s="44"/>
      <c r="J906" s="44"/>
      <c r="K906" s="44"/>
      <c r="L906" s="44"/>
      <c r="M906" s="44"/>
      <c r="N906" s="44"/>
      <c r="O906" s="44"/>
    </row>
    <row r="907" spans="1:15" ht="17.25" customHeight="1">
      <c r="A907" s="44"/>
      <c r="B907" s="44"/>
      <c r="C907" s="44"/>
      <c r="D907" s="44"/>
      <c r="E907" s="44"/>
      <c r="F907" s="44"/>
      <c r="G907" s="44"/>
      <c r="H907" s="44"/>
      <c r="I907" s="44"/>
      <c r="J907" s="44"/>
      <c r="K907" s="44"/>
      <c r="L907" s="44"/>
      <c r="M907" s="44"/>
      <c r="N907" s="44"/>
      <c r="O907" s="44"/>
    </row>
    <row r="908" spans="1:15" ht="17.25" customHeight="1">
      <c r="A908" s="44"/>
      <c r="B908" s="44"/>
      <c r="C908" s="44"/>
      <c r="D908" s="44"/>
      <c r="E908" s="44"/>
      <c r="F908" s="44"/>
      <c r="G908" s="44"/>
      <c r="H908" s="44"/>
      <c r="I908" s="44"/>
      <c r="J908" s="44"/>
      <c r="K908" s="44"/>
      <c r="L908" s="44"/>
      <c r="M908" s="44"/>
      <c r="N908" s="44"/>
      <c r="O908" s="44"/>
    </row>
    <row r="909" spans="1:15" ht="17.25" customHeight="1">
      <c r="A909" s="44"/>
      <c r="B909" s="44"/>
      <c r="C909" s="44"/>
      <c r="D909" s="44"/>
      <c r="E909" s="44"/>
      <c r="F909" s="44"/>
      <c r="G909" s="44"/>
      <c r="H909" s="44"/>
      <c r="I909" s="44"/>
      <c r="J909" s="44"/>
      <c r="K909" s="44"/>
      <c r="L909" s="44"/>
      <c r="M909" s="44"/>
      <c r="N909" s="44"/>
      <c r="O909" s="44"/>
    </row>
    <row r="910" spans="1:15" ht="17.25" customHeight="1">
      <c r="A910" s="44"/>
      <c r="B910" s="44"/>
      <c r="C910" s="44"/>
      <c r="D910" s="44"/>
      <c r="E910" s="44"/>
      <c r="F910" s="44"/>
      <c r="G910" s="44"/>
      <c r="H910" s="44"/>
      <c r="I910" s="44"/>
      <c r="J910" s="44"/>
      <c r="K910" s="44"/>
      <c r="L910" s="44"/>
      <c r="M910" s="44"/>
      <c r="N910" s="44"/>
      <c r="O910" s="44"/>
    </row>
    <row r="911" spans="1:15" ht="17.25" customHeight="1">
      <c r="A911" s="44"/>
      <c r="B911" s="44"/>
      <c r="C911" s="44"/>
      <c r="D911" s="44"/>
      <c r="E911" s="44"/>
      <c r="F911" s="44"/>
      <c r="G911" s="44"/>
      <c r="H911" s="44"/>
      <c r="I911" s="44"/>
      <c r="J911" s="44"/>
      <c r="K911" s="44"/>
      <c r="L911" s="44"/>
      <c r="M911" s="44"/>
      <c r="N911" s="44"/>
      <c r="O911" s="44"/>
    </row>
    <row r="912" spans="1:15" ht="17.25" customHeight="1">
      <c r="A912" s="44"/>
      <c r="B912" s="44"/>
      <c r="C912" s="44"/>
      <c r="D912" s="44"/>
      <c r="E912" s="44"/>
      <c r="F912" s="44"/>
      <c r="G912" s="44"/>
      <c r="H912" s="44"/>
      <c r="I912" s="44"/>
      <c r="J912" s="44"/>
      <c r="K912" s="44"/>
      <c r="L912" s="44"/>
      <c r="M912" s="44"/>
      <c r="N912" s="44"/>
      <c r="O912" s="44"/>
    </row>
    <row r="913" spans="1:15" ht="17.25" customHeight="1">
      <c r="A913" s="44"/>
      <c r="B913" s="44"/>
      <c r="C913" s="44"/>
      <c r="D913" s="44"/>
      <c r="E913" s="44"/>
      <c r="F913" s="44"/>
      <c r="G913" s="44"/>
      <c r="H913" s="44"/>
      <c r="I913" s="44"/>
      <c r="J913" s="44"/>
      <c r="K913" s="44"/>
      <c r="L913" s="44"/>
      <c r="M913" s="44"/>
      <c r="N913" s="44"/>
      <c r="O913" s="44"/>
    </row>
    <row r="914" spans="1:15" ht="17.25" customHeight="1">
      <c r="A914" s="44"/>
      <c r="B914" s="44"/>
      <c r="C914" s="44"/>
      <c r="D914" s="44"/>
      <c r="E914" s="44"/>
      <c r="F914" s="44"/>
      <c r="G914" s="44"/>
      <c r="H914" s="44"/>
      <c r="I914" s="44"/>
      <c r="J914" s="44"/>
      <c r="K914" s="44"/>
      <c r="L914" s="44"/>
      <c r="M914" s="44"/>
      <c r="N914" s="44"/>
      <c r="O914" s="44"/>
    </row>
    <row r="915" spans="1:15" ht="17.25" customHeight="1">
      <c r="A915" s="44"/>
      <c r="B915" s="44"/>
      <c r="C915" s="44"/>
      <c r="D915" s="44"/>
      <c r="E915" s="44"/>
      <c r="F915" s="44"/>
      <c r="G915" s="44"/>
      <c r="H915" s="44"/>
      <c r="I915" s="44"/>
      <c r="J915" s="44"/>
      <c r="K915" s="44"/>
      <c r="L915" s="44"/>
      <c r="M915" s="44"/>
      <c r="N915" s="44"/>
      <c r="O915" s="44"/>
    </row>
    <row r="916" spans="1:15" ht="17.25" customHeight="1">
      <c r="A916" s="44"/>
      <c r="B916" s="44"/>
      <c r="C916" s="44"/>
      <c r="D916" s="44"/>
      <c r="E916" s="44"/>
      <c r="F916" s="44"/>
      <c r="G916" s="44"/>
      <c r="H916" s="44"/>
      <c r="I916" s="44"/>
      <c r="J916" s="44"/>
      <c r="K916" s="44"/>
      <c r="L916" s="44"/>
      <c r="M916" s="44"/>
      <c r="N916" s="44"/>
      <c r="O916" s="44"/>
    </row>
    <row r="917" spans="1:15" ht="17.25" customHeight="1">
      <c r="A917" s="44"/>
      <c r="B917" s="44"/>
      <c r="C917" s="44"/>
      <c r="D917" s="44"/>
      <c r="E917" s="44"/>
      <c r="F917" s="44"/>
      <c r="G917" s="44"/>
      <c r="H917" s="44"/>
      <c r="I917" s="44"/>
      <c r="J917" s="44"/>
      <c r="K917" s="44"/>
      <c r="L917" s="44"/>
      <c r="M917" s="44"/>
      <c r="N917" s="44"/>
      <c r="O917" s="44"/>
    </row>
    <row r="918" spans="1:15" ht="17.25" customHeight="1">
      <c r="A918" s="44"/>
      <c r="B918" s="44"/>
      <c r="C918" s="44"/>
      <c r="D918" s="44"/>
      <c r="E918" s="44"/>
      <c r="F918" s="44"/>
      <c r="G918" s="44"/>
      <c r="H918" s="44"/>
      <c r="I918" s="44"/>
      <c r="J918" s="44"/>
      <c r="K918" s="44"/>
      <c r="L918" s="44"/>
      <c r="M918" s="44"/>
      <c r="N918" s="44"/>
      <c r="O918" s="44"/>
    </row>
    <row r="919" spans="1:15" ht="17.25" customHeight="1">
      <c r="A919" s="44"/>
      <c r="B919" s="44"/>
      <c r="C919" s="44"/>
      <c r="D919" s="44"/>
      <c r="E919" s="44"/>
      <c r="F919" s="44"/>
      <c r="G919" s="44"/>
      <c r="H919" s="44"/>
      <c r="I919" s="44"/>
      <c r="J919" s="44"/>
      <c r="K919" s="44"/>
      <c r="L919" s="44"/>
      <c r="M919" s="44"/>
      <c r="N919" s="44"/>
      <c r="O919" s="44"/>
    </row>
    <row r="920" spans="1:15" ht="17.25" customHeight="1">
      <c r="A920" s="44"/>
      <c r="B920" s="44"/>
      <c r="C920" s="44"/>
      <c r="D920" s="44"/>
      <c r="E920" s="44"/>
      <c r="F920" s="44"/>
      <c r="G920" s="44"/>
      <c r="H920" s="44"/>
      <c r="I920" s="44"/>
      <c r="J920" s="44"/>
      <c r="K920" s="44"/>
      <c r="L920" s="44"/>
      <c r="M920" s="44"/>
      <c r="N920" s="44"/>
      <c r="O920" s="44"/>
    </row>
    <row r="921" spans="1:15" ht="17.25" customHeight="1">
      <c r="A921" s="44"/>
      <c r="B921" s="44"/>
      <c r="C921" s="44"/>
      <c r="D921" s="44"/>
      <c r="E921" s="44"/>
      <c r="F921" s="44"/>
      <c r="G921" s="44"/>
      <c r="H921" s="44"/>
      <c r="I921" s="44"/>
      <c r="J921" s="44"/>
      <c r="K921" s="44"/>
      <c r="L921" s="44"/>
      <c r="M921" s="44"/>
      <c r="N921" s="44"/>
      <c r="O921" s="44"/>
    </row>
    <row r="922" spans="1:15" ht="17.25" customHeight="1">
      <c r="A922" s="44"/>
      <c r="B922" s="44"/>
      <c r="C922" s="44"/>
      <c r="D922" s="44"/>
      <c r="E922" s="44"/>
      <c r="F922" s="44"/>
      <c r="G922" s="44"/>
      <c r="H922" s="44"/>
      <c r="I922" s="44"/>
      <c r="J922" s="44"/>
      <c r="K922" s="44"/>
      <c r="L922" s="44"/>
      <c r="M922" s="44"/>
      <c r="N922" s="44"/>
      <c r="O922" s="44"/>
    </row>
    <row r="923" spans="1:15" ht="17.25" customHeight="1">
      <c r="A923" s="44"/>
      <c r="B923" s="44"/>
      <c r="C923" s="44"/>
      <c r="D923" s="44"/>
      <c r="E923" s="44"/>
      <c r="F923" s="44"/>
      <c r="G923" s="44"/>
      <c r="H923" s="44"/>
      <c r="I923" s="44"/>
      <c r="J923" s="44"/>
      <c r="K923" s="44"/>
      <c r="L923" s="44"/>
      <c r="M923" s="44"/>
      <c r="N923" s="44"/>
      <c r="O923" s="44"/>
    </row>
    <row r="924" spans="1:15" ht="17.25" customHeight="1">
      <c r="A924" s="44"/>
      <c r="B924" s="44"/>
      <c r="C924" s="44"/>
      <c r="D924" s="44"/>
      <c r="E924" s="44"/>
      <c r="F924" s="44"/>
      <c r="G924" s="44"/>
      <c r="H924" s="44"/>
      <c r="I924" s="44"/>
      <c r="J924" s="44"/>
      <c r="K924" s="44"/>
      <c r="L924" s="44"/>
      <c r="M924" s="44"/>
      <c r="N924" s="44"/>
      <c r="O924" s="44"/>
    </row>
    <row r="925" spans="1:15" ht="17.25" customHeight="1">
      <c r="A925" s="44"/>
      <c r="B925" s="44"/>
      <c r="C925" s="44"/>
      <c r="D925" s="44"/>
      <c r="E925" s="44"/>
      <c r="F925" s="44"/>
      <c r="G925" s="44"/>
      <c r="H925" s="44"/>
      <c r="I925" s="44"/>
      <c r="J925" s="44"/>
      <c r="K925" s="44"/>
      <c r="L925" s="44"/>
      <c r="M925" s="44"/>
      <c r="N925" s="44"/>
      <c r="O925" s="44"/>
    </row>
    <row r="926" spans="1:15" ht="17.25" customHeight="1">
      <c r="A926" s="44"/>
      <c r="B926" s="44"/>
      <c r="C926" s="44"/>
      <c r="D926" s="44"/>
      <c r="E926" s="44"/>
      <c r="F926" s="44"/>
      <c r="G926" s="44"/>
      <c r="H926" s="44"/>
      <c r="I926" s="44"/>
      <c r="J926" s="44"/>
      <c r="K926" s="44"/>
      <c r="L926" s="44"/>
      <c r="M926" s="44"/>
      <c r="N926" s="44"/>
      <c r="O926" s="44"/>
    </row>
    <row r="927" spans="1:15" ht="17.25" customHeight="1">
      <c r="A927" s="44"/>
      <c r="B927" s="44"/>
      <c r="C927" s="44"/>
      <c r="D927" s="44"/>
      <c r="E927" s="44"/>
      <c r="F927" s="44"/>
      <c r="G927" s="44"/>
      <c r="H927" s="44"/>
      <c r="I927" s="44"/>
      <c r="J927" s="44"/>
      <c r="K927" s="44"/>
      <c r="L927" s="44"/>
      <c r="M927" s="44"/>
      <c r="N927" s="44"/>
      <c r="O927" s="44"/>
    </row>
    <row r="928" spans="1:15" ht="17.25" customHeight="1">
      <c r="A928" s="44"/>
      <c r="B928" s="44"/>
      <c r="C928" s="44"/>
      <c r="D928" s="44"/>
      <c r="E928" s="44"/>
      <c r="F928" s="44"/>
      <c r="G928" s="44"/>
      <c r="H928" s="44"/>
      <c r="I928" s="44"/>
      <c r="J928" s="44"/>
      <c r="K928" s="44"/>
      <c r="L928" s="44"/>
      <c r="M928" s="44"/>
      <c r="N928" s="44"/>
      <c r="O928" s="44"/>
    </row>
    <row r="929" spans="1:15" ht="17.25" customHeight="1">
      <c r="A929" s="44"/>
      <c r="B929" s="44"/>
      <c r="C929" s="44"/>
      <c r="D929" s="44"/>
      <c r="E929" s="44"/>
      <c r="F929" s="44"/>
      <c r="G929" s="44"/>
      <c r="H929" s="44"/>
      <c r="I929" s="44"/>
      <c r="J929" s="44"/>
      <c r="K929" s="44"/>
      <c r="L929" s="44"/>
      <c r="M929" s="44"/>
      <c r="N929" s="44"/>
      <c r="O929" s="44"/>
    </row>
    <row r="930" spans="1:15" ht="17.25" customHeight="1">
      <c r="A930" s="44"/>
      <c r="B930" s="44"/>
      <c r="C930" s="44"/>
      <c r="D930" s="44"/>
      <c r="E930" s="44"/>
      <c r="F930" s="44"/>
      <c r="G930" s="44"/>
      <c r="H930" s="44"/>
      <c r="I930" s="44"/>
      <c r="J930" s="44"/>
      <c r="K930" s="44"/>
      <c r="L930" s="44"/>
      <c r="M930" s="44"/>
      <c r="N930" s="44"/>
      <c r="O930" s="44"/>
    </row>
    <row r="931" spans="1:15" ht="17.25" customHeight="1">
      <c r="A931" s="44"/>
      <c r="B931" s="44"/>
      <c r="C931" s="44"/>
      <c r="D931" s="44"/>
      <c r="E931" s="44"/>
      <c r="F931" s="44"/>
      <c r="G931" s="44"/>
      <c r="H931" s="44"/>
      <c r="I931" s="44"/>
      <c r="J931" s="44"/>
      <c r="K931" s="44"/>
      <c r="L931" s="44"/>
      <c r="M931" s="44"/>
      <c r="N931" s="44"/>
      <c r="O931" s="44"/>
    </row>
    <row r="932" spans="1:15" ht="17.25" customHeight="1">
      <c r="A932" s="44"/>
      <c r="B932" s="44"/>
      <c r="C932" s="44"/>
      <c r="D932" s="44"/>
      <c r="E932" s="44"/>
      <c r="F932" s="44"/>
      <c r="G932" s="44"/>
      <c r="H932" s="44"/>
      <c r="I932" s="44"/>
      <c r="J932" s="44"/>
      <c r="K932" s="44"/>
      <c r="L932" s="44"/>
      <c r="M932" s="44"/>
      <c r="N932" s="44"/>
      <c r="O932" s="44"/>
    </row>
    <row r="933" spans="1:15" ht="17.25" customHeight="1">
      <c r="A933" s="44"/>
      <c r="B933" s="44"/>
      <c r="C933" s="44"/>
      <c r="D933" s="44"/>
      <c r="E933" s="44"/>
      <c r="F933" s="44"/>
      <c r="G933" s="44"/>
      <c r="H933" s="44"/>
      <c r="I933" s="44"/>
      <c r="J933" s="44"/>
      <c r="K933" s="44"/>
      <c r="L933" s="44"/>
      <c r="M933" s="44"/>
      <c r="N933" s="44"/>
      <c r="O933" s="44"/>
    </row>
    <row r="934" spans="1:15" ht="17.25" customHeight="1">
      <c r="A934" s="44"/>
      <c r="B934" s="44"/>
      <c r="C934" s="44"/>
      <c r="D934" s="44"/>
      <c r="E934" s="44"/>
      <c r="F934" s="44"/>
      <c r="G934" s="44"/>
      <c r="H934" s="44"/>
      <c r="I934" s="44"/>
      <c r="J934" s="44"/>
      <c r="K934" s="44"/>
      <c r="L934" s="44"/>
      <c r="M934" s="44"/>
      <c r="N934" s="44"/>
      <c r="O934" s="44"/>
    </row>
    <row r="935" spans="1:15" ht="17.25" customHeight="1">
      <c r="A935" s="44"/>
      <c r="B935" s="44"/>
      <c r="C935" s="44"/>
      <c r="D935" s="44"/>
      <c r="E935" s="44"/>
      <c r="F935" s="44"/>
      <c r="G935" s="44"/>
      <c r="H935" s="44"/>
      <c r="I935" s="44"/>
      <c r="J935" s="44"/>
      <c r="K935" s="44"/>
      <c r="L935" s="44"/>
      <c r="M935" s="44"/>
      <c r="N935" s="44"/>
      <c r="O935" s="44"/>
    </row>
    <row r="936" spans="1:15" ht="17.25" customHeight="1">
      <c r="A936" s="44"/>
      <c r="B936" s="44"/>
      <c r="C936" s="44"/>
      <c r="D936" s="44"/>
      <c r="E936" s="44"/>
      <c r="F936" s="44"/>
      <c r="G936" s="44"/>
      <c r="H936" s="44"/>
      <c r="I936" s="44"/>
      <c r="J936" s="44"/>
      <c r="K936" s="44"/>
      <c r="L936" s="44"/>
      <c r="M936" s="44"/>
      <c r="N936" s="44"/>
      <c r="O936" s="44"/>
    </row>
    <row r="937" spans="1:15" ht="17.25" customHeight="1">
      <c r="A937" s="44"/>
      <c r="B937" s="44"/>
      <c r="C937" s="44"/>
      <c r="D937" s="44"/>
      <c r="E937" s="44"/>
      <c r="F937" s="44"/>
      <c r="G937" s="44"/>
      <c r="H937" s="44"/>
      <c r="I937" s="44"/>
      <c r="J937" s="44"/>
      <c r="K937" s="44"/>
      <c r="L937" s="44"/>
      <c r="M937" s="44"/>
      <c r="N937" s="44"/>
      <c r="O937" s="44"/>
    </row>
    <row r="938" spans="1:15" ht="17.25" customHeight="1">
      <c r="A938" s="44"/>
      <c r="B938" s="44"/>
      <c r="C938" s="44"/>
      <c r="D938" s="44"/>
      <c r="E938" s="44"/>
      <c r="F938" s="44"/>
      <c r="G938" s="44"/>
      <c r="H938" s="44"/>
      <c r="I938" s="44"/>
      <c r="J938" s="44"/>
      <c r="K938" s="44"/>
      <c r="L938" s="44"/>
      <c r="M938" s="44"/>
      <c r="N938" s="44"/>
      <c r="O938" s="44"/>
    </row>
    <row r="939" spans="1:15" ht="17.25" customHeight="1">
      <c r="A939" s="44"/>
      <c r="B939" s="44"/>
      <c r="C939" s="44"/>
      <c r="D939" s="44"/>
      <c r="E939" s="44"/>
      <c r="F939" s="44"/>
      <c r="G939" s="44"/>
      <c r="H939" s="44"/>
      <c r="I939" s="44"/>
      <c r="J939" s="44"/>
      <c r="K939" s="44"/>
      <c r="L939" s="44"/>
      <c r="M939" s="44"/>
      <c r="N939" s="44"/>
      <c r="O939" s="44"/>
    </row>
    <row r="940" spans="1:15" ht="17.25" customHeight="1">
      <c r="A940" s="44"/>
      <c r="B940" s="44"/>
      <c r="C940" s="44"/>
      <c r="D940" s="44"/>
      <c r="E940" s="44"/>
      <c r="F940" s="44"/>
      <c r="G940" s="44"/>
      <c r="H940" s="44"/>
      <c r="I940" s="44"/>
      <c r="J940" s="44"/>
      <c r="K940" s="44"/>
      <c r="L940" s="44"/>
      <c r="M940" s="44"/>
      <c r="N940" s="44"/>
      <c r="O940" s="44"/>
    </row>
    <row r="941" spans="1:15" ht="17.25" customHeight="1">
      <c r="A941" s="44"/>
      <c r="B941" s="44"/>
      <c r="C941" s="44"/>
      <c r="D941" s="44"/>
      <c r="E941" s="44"/>
      <c r="F941" s="44"/>
      <c r="G941" s="44"/>
      <c r="H941" s="44"/>
      <c r="I941" s="44"/>
      <c r="J941" s="44"/>
      <c r="K941" s="44"/>
      <c r="L941" s="44"/>
      <c r="M941" s="44"/>
      <c r="N941" s="44"/>
      <c r="O941" s="44"/>
    </row>
    <row r="942" spans="1:15" ht="17.25" customHeight="1">
      <c r="A942" s="44"/>
      <c r="B942" s="44"/>
      <c r="C942" s="44"/>
      <c r="D942" s="44"/>
      <c r="E942" s="44"/>
      <c r="F942" s="44"/>
      <c r="G942" s="44"/>
      <c r="H942" s="44"/>
      <c r="I942" s="44"/>
      <c r="J942" s="44"/>
      <c r="K942" s="44"/>
      <c r="L942" s="44"/>
      <c r="M942" s="44"/>
      <c r="N942" s="44"/>
      <c r="O942" s="44"/>
    </row>
    <row r="943" spans="1:15" ht="17.25" customHeight="1">
      <c r="A943" s="44"/>
      <c r="B943" s="44"/>
      <c r="C943" s="44"/>
      <c r="D943" s="44"/>
      <c r="E943" s="44"/>
      <c r="F943" s="44"/>
      <c r="G943" s="44"/>
      <c r="H943" s="44"/>
      <c r="I943" s="44"/>
      <c r="J943" s="44"/>
      <c r="K943" s="44"/>
      <c r="L943" s="44"/>
      <c r="M943" s="44"/>
      <c r="N943" s="44"/>
      <c r="O943" s="44"/>
    </row>
    <row r="944" spans="1:15" ht="17.25" customHeight="1">
      <c r="A944" s="44"/>
      <c r="B944" s="44"/>
      <c r="C944" s="44"/>
      <c r="D944" s="44"/>
      <c r="E944" s="44"/>
      <c r="F944" s="44"/>
      <c r="G944" s="44"/>
      <c r="H944" s="44"/>
      <c r="I944" s="44"/>
      <c r="J944" s="44"/>
      <c r="K944" s="44"/>
      <c r="L944" s="44"/>
      <c r="M944" s="44"/>
      <c r="N944" s="44"/>
      <c r="O944" s="44"/>
    </row>
    <row r="945" spans="1:15" ht="17.25" customHeight="1">
      <c r="A945" s="44"/>
      <c r="B945" s="44"/>
      <c r="C945" s="44"/>
      <c r="D945" s="44"/>
      <c r="E945" s="44"/>
      <c r="F945" s="44"/>
      <c r="G945" s="44"/>
      <c r="H945" s="44"/>
      <c r="I945" s="44"/>
      <c r="J945" s="44"/>
      <c r="K945" s="44"/>
      <c r="L945" s="44"/>
      <c r="M945" s="44"/>
      <c r="N945" s="44"/>
      <c r="O945" s="44"/>
    </row>
    <row r="946" spans="1:15" ht="17.25" customHeight="1">
      <c r="A946" s="44"/>
      <c r="B946" s="44"/>
      <c r="C946" s="44"/>
      <c r="D946" s="44"/>
      <c r="E946" s="44"/>
      <c r="F946" s="44"/>
      <c r="G946" s="44"/>
      <c r="H946" s="44"/>
      <c r="I946" s="44"/>
      <c r="J946" s="44"/>
      <c r="K946" s="44"/>
      <c r="L946" s="44"/>
      <c r="M946" s="44"/>
      <c r="N946" s="44"/>
      <c r="O946" s="44"/>
    </row>
    <row r="947" spans="1:15" ht="17.25" customHeight="1">
      <c r="A947" s="44"/>
      <c r="B947" s="44"/>
      <c r="C947" s="44"/>
      <c r="D947" s="44"/>
      <c r="E947" s="44"/>
      <c r="F947" s="44"/>
      <c r="G947" s="44"/>
      <c r="H947" s="44"/>
      <c r="I947" s="44"/>
      <c r="J947" s="44"/>
      <c r="K947" s="44"/>
      <c r="L947" s="44"/>
      <c r="M947" s="44"/>
      <c r="N947" s="44"/>
      <c r="O947" s="44"/>
    </row>
    <row r="948" spans="1:15" ht="17.25" customHeight="1">
      <c r="A948" s="44"/>
      <c r="B948" s="44"/>
      <c r="C948" s="44"/>
      <c r="D948" s="44"/>
      <c r="E948" s="44"/>
      <c r="F948" s="44"/>
      <c r="G948" s="44"/>
      <c r="H948" s="44"/>
      <c r="I948" s="44"/>
      <c r="J948" s="44"/>
      <c r="K948" s="44"/>
      <c r="L948" s="44"/>
      <c r="M948" s="44"/>
      <c r="N948" s="44"/>
      <c r="O948" s="44"/>
    </row>
    <row r="949" spans="1:15" ht="17.25" customHeight="1">
      <c r="A949" s="44"/>
      <c r="B949" s="44"/>
      <c r="C949" s="44"/>
      <c r="D949" s="44"/>
      <c r="E949" s="44"/>
      <c r="F949" s="44"/>
      <c r="G949" s="44"/>
      <c r="H949" s="44"/>
      <c r="I949" s="44"/>
      <c r="J949" s="44"/>
      <c r="K949" s="44"/>
      <c r="L949" s="44"/>
      <c r="M949" s="44"/>
      <c r="N949" s="44"/>
      <c r="O949" s="44"/>
    </row>
    <row r="950" spans="1:15" ht="17.25" customHeight="1">
      <c r="A950" s="44"/>
      <c r="B950" s="44"/>
      <c r="C950" s="44"/>
      <c r="D950" s="44"/>
      <c r="E950" s="44"/>
      <c r="F950" s="44"/>
      <c r="G950" s="44"/>
      <c r="H950" s="44"/>
      <c r="I950" s="44"/>
      <c r="J950" s="44"/>
      <c r="K950" s="44"/>
      <c r="L950" s="44"/>
      <c r="M950" s="44"/>
      <c r="N950" s="44"/>
      <c r="O950" s="44"/>
    </row>
    <row r="951" spans="1:15" ht="17.25" customHeight="1">
      <c r="A951" s="44"/>
      <c r="B951" s="44"/>
      <c r="C951" s="44"/>
      <c r="D951" s="44"/>
      <c r="E951" s="44"/>
      <c r="F951" s="44"/>
      <c r="G951" s="44"/>
      <c r="H951" s="44"/>
      <c r="I951" s="44"/>
      <c r="J951" s="44"/>
      <c r="K951" s="44"/>
      <c r="L951" s="44"/>
      <c r="M951" s="44"/>
      <c r="N951" s="44"/>
      <c r="O951" s="44"/>
    </row>
    <row r="952" spans="1:15" ht="17.25" customHeight="1">
      <c r="A952" s="44"/>
      <c r="B952" s="44"/>
      <c r="C952" s="44"/>
      <c r="D952" s="44"/>
      <c r="E952" s="44"/>
      <c r="F952" s="44"/>
      <c r="G952" s="44"/>
      <c r="H952" s="44"/>
      <c r="I952" s="44"/>
      <c r="J952" s="44"/>
      <c r="K952" s="44"/>
      <c r="L952" s="44"/>
      <c r="M952" s="44"/>
      <c r="N952" s="44"/>
      <c r="O952" s="44"/>
    </row>
    <row r="953" spans="1:15" ht="17.25" customHeight="1">
      <c r="A953" s="44"/>
      <c r="B953" s="44"/>
      <c r="C953" s="44"/>
      <c r="D953" s="44"/>
      <c r="E953" s="44"/>
      <c r="F953" s="44"/>
      <c r="G953" s="44"/>
      <c r="H953" s="44"/>
      <c r="I953" s="44"/>
      <c r="J953" s="44"/>
      <c r="K953" s="44"/>
      <c r="L953" s="44"/>
      <c r="M953" s="44"/>
      <c r="N953" s="44"/>
      <c r="O953" s="44"/>
    </row>
    <row r="954" spans="1:15" ht="17.25" customHeight="1">
      <c r="A954" s="44"/>
      <c r="B954" s="44"/>
      <c r="C954" s="44"/>
      <c r="D954" s="44"/>
      <c r="E954" s="44"/>
      <c r="F954" s="44"/>
      <c r="G954" s="44"/>
      <c r="H954" s="44"/>
      <c r="I954" s="44"/>
      <c r="J954" s="44"/>
      <c r="K954" s="44"/>
      <c r="L954" s="44"/>
      <c r="M954" s="44"/>
      <c r="N954" s="44"/>
      <c r="O954" s="44"/>
    </row>
    <row r="955" spans="1:15" ht="17.25" customHeight="1">
      <c r="A955" s="44"/>
      <c r="B955" s="44"/>
      <c r="C955" s="44"/>
      <c r="D955" s="44"/>
      <c r="E955" s="44"/>
      <c r="F955" s="44"/>
      <c r="G955" s="44"/>
      <c r="H955" s="44"/>
      <c r="I955" s="44"/>
      <c r="J955" s="44"/>
      <c r="K955" s="44"/>
      <c r="L955" s="44"/>
      <c r="M955" s="44"/>
      <c r="N955" s="44"/>
      <c r="O955" s="44"/>
    </row>
    <row r="956" spans="1:15" ht="17.25" customHeight="1">
      <c r="A956" s="44"/>
      <c r="B956" s="44"/>
      <c r="C956" s="44"/>
      <c r="D956" s="44"/>
      <c r="E956" s="44"/>
      <c r="F956" s="44"/>
      <c r="G956" s="44"/>
      <c r="H956" s="44"/>
      <c r="I956" s="44"/>
      <c r="J956" s="44"/>
      <c r="K956" s="44"/>
      <c r="L956" s="44"/>
      <c r="M956" s="44"/>
      <c r="N956" s="44"/>
      <c r="O956" s="44"/>
    </row>
    <row r="957" spans="1:15" ht="17.25" customHeight="1">
      <c r="A957" s="44"/>
      <c r="B957" s="44"/>
      <c r="C957" s="44"/>
      <c r="D957" s="44"/>
      <c r="E957" s="44"/>
      <c r="F957" s="44"/>
      <c r="G957" s="44"/>
      <c r="H957" s="44"/>
      <c r="I957" s="44"/>
      <c r="J957" s="44"/>
      <c r="K957" s="44"/>
      <c r="L957" s="44"/>
      <c r="M957" s="44"/>
      <c r="N957" s="44"/>
      <c r="O957" s="44"/>
    </row>
    <row r="958" spans="1:15" ht="17.25" customHeight="1">
      <c r="A958" s="44"/>
      <c r="B958" s="44"/>
      <c r="C958" s="44"/>
      <c r="D958" s="44"/>
      <c r="E958" s="44"/>
      <c r="F958" s="44"/>
      <c r="G958" s="44"/>
      <c r="H958" s="44"/>
      <c r="I958" s="44"/>
      <c r="J958" s="44"/>
      <c r="K958" s="44"/>
      <c r="L958" s="44"/>
      <c r="M958" s="44"/>
      <c r="N958" s="44"/>
      <c r="O958" s="44"/>
    </row>
    <row r="959" spans="1:15" ht="17.25" customHeight="1">
      <c r="A959" s="44"/>
      <c r="B959" s="44"/>
      <c r="C959" s="44"/>
      <c r="D959" s="44"/>
      <c r="E959" s="44"/>
      <c r="F959" s="44"/>
      <c r="G959" s="44"/>
      <c r="H959" s="44"/>
      <c r="I959" s="44"/>
      <c r="J959" s="44"/>
      <c r="K959" s="44"/>
      <c r="L959" s="44"/>
      <c r="M959" s="44"/>
      <c r="N959" s="44"/>
      <c r="O959" s="44"/>
    </row>
    <row r="960" spans="1:15" ht="17.25" customHeight="1">
      <c r="A960" s="44"/>
      <c r="B960" s="44"/>
      <c r="C960" s="44"/>
      <c r="D960" s="44"/>
      <c r="E960" s="44"/>
      <c r="F960" s="44"/>
      <c r="G960" s="44"/>
      <c r="H960" s="44"/>
      <c r="I960" s="44"/>
      <c r="J960" s="44"/>
      <c r="K960" s="44"/>
      <c r="L960" s="44"/>
      <c r="M960" s="44"/>
      <c r="N960" s="44"/>
      <c r="O960" s="44"/>
    </row>
    <row r="961" spans="1:15" ht="17.25" customHeight="1">
      <c r="A961" s="44"/>
      <c r="B961" s="44"/>
      <c r="C961" s="44"/>
      <c r="D961" s="44"/>
      <c r="E961" s="44"/>
      <c r="F961" s="44"/>
      <c r="G961" s="44"/>
      <c r="H961" s="44"/>
      <c r="I961" s="44"/>
      <c r="J961" s="44"/>
      <c r="K961" s="44"/>
      <c r="L961" s="44"/>
      <c r="M961" s="44"/>
      <c r="N961" s="44"/>
      <c r="O961" s="44"/>
    </row>
    <row r="962" spans="1:15" ht="17.25" customHeight="1">
      <c r="A962" s="44"/>
      <c r="B962" s="44"/>
      <c r="C962" s="44"/>
      <c r="D962" s="44"/>
      <c r="E962" s="44"/>
      <c r="F962" s="44"/>
      <c r="G962" s="44"/>
      <c r="H962" s="44"/>
      <c r="I962" s="44"/>
      <c r="J962" s="44"/>
      <c r="K962" s="44"/>
      <c r="L962" s="44"/>
      <c r="M962" s="44"/>
      <c r="N962" s="44"/>
      <c r="O962" s="44"/>
    </row>
    <row r="963" spans="1:15" ht="17.25" customHeight="1">
      <c r="A963" s="44"/>
      <c r="B963" s="44"/>
      <c r="C963" s="44"/>
      <c r="D963" s="44"/>
      <c r="E963" s="44"/>
      <c r="F963" s="44"/>
      <c r="G963" s="44"/>
      <c r="H963" s="44"/>
      <c r="I963" s="44"/>
      <c r="J963" s="44"/>
      <c r="K963" s="44"/>
      <c r="L963" s="44"/>
      <c r="M963" s="44"/>
      <c r="N963" s="44"/>
      <c r="O963" s="44"/>
    </row>
    <row r="964" spans="1:15" ht="17.25" customHeight="1">
      <c r="A964" s="44"/>
      <c r="B964" s="44"/>
      <c r="C964" s="44"/>
      <c r="D964" s="44"/>
      <c r="E964" s="44"/>
      <c r="F964" s="44"/>
      <c r="G964" s="44"/>
      <c r="H964" s="44"/>
      <c r="I964" s="44"/>
      <c r="J964" s="44"/>
      <c r="K964" s="44"/>
      <c r="L964" s="44"/>
      <c r="M964" s="44"/>
      <c r="N964" s="44"/>
      <c r="O964" s="44"/>
    </row>
    <row r="965" spans="1:15" ht="17.25" customHeight="1">
      <c r="A965" s="44"/>
      <c r="B965" s="44"/>
      <c r="C965" s="44"/>
      <c r="D965" s="44"/>
      <c r="E965" s="44"/>
      <c r="F965" s="44"/>
      <c r="G965" s="44"/>
      <c r="H965" s="44"/>
      <c r="I965" s="44"/>
      <c r="J965" s="44"/>
      <c r="K965" s="44"/>
      <c r="L965" s="44"/>
      <c r="M965" s="44"/>
      <c r="N965" s="44"/>
      <c r="O965" s="44"/>
    </row>
    <row r="966" spans="1:15" ht="17.25" customHeight="1">
      <c r="A966" s="44"/>
      <c r="B966" s="44"/>
      <c r="C966" s="44"/>
      <c r="D966" s="44"/>
      <c r="E966" s="44"/>
      <c r="F966" s="44"/>
      <c r="G966" s="44"/>
      <c r="H966" s="44"/>
      <c r="I966" s="44"/>
      <c r="J966" s="44"/>
      <c r="K966" s="44"/>
      <c r="L966" s="44"/>
      <c r="M966" s="44"/>
      <c r="N966" s="44"/>
      <c r="O966" s="44"/>
    </row>
    <row r="967" spans="1:15" ht="17.25" customHeight="1">
      <c r="A967" s="44"/>
      <c r="B967" s="44"/>
      <c r="C967" s="44"/>
      <c r="D967" s="44"/>
      <c r="E967" s="44"/>
      <c r="F967" s="44"/>
      <c r="G967" s="44"/>
      <c r="H967" s="44"/>
      <c r="I967" s="44"/>
      <c r="J967" s="44"/>
      <c r="K967" s="44"/>
      <c r="L967" s="44"/>
      <c r="M967" s="44"/>
      <c r="N967" s="44"/>
      <c r="O967" s="44"/>
    </row>
    <row r="968" spans="1:15" ht="17.25" customHeight="1">
      <c r="A968" s="44"/>
      <c r="B968" s="44"/>
      <c r="C968" s="44"/>
      <c r="D968" s="44"/>
      <c r="E968" s="44"/>
      <c r="F968" s="44"/>
      <c r="G968" s="44"/>
      <c r="H968" s="44"/>
      <c r="I968" s="44"/>
      <c r="J968" s="44"/>
      <c r="K968" s="44"/>
      <c r="L968" s="44"/>
      <c r="M968" s="44"/>
      <c r="N968" s="44"/>
      <c r="O968" s="44"/>
    </row>
    <row r="969" spans="1:15" ht="17.25" customHeight="1">
      <c r="A969" s="44"/>
      <c r="B969" s="44"/>
      <c r="C969" s="44"/>
      <c r="D969" s="44"/>
      <c r="E969" s="44"/>
      <c r="F969" s="44"/>
      <c r="G969" s="44"/>
      <c r="H969" s="44"/>
      <c r="I969" s="44"/>
      <c r="J969" s="44"/>
      <c r="K969" s="44"/>
      <c r="L969" s="44"/>
      <c r="M969" s="44"/>
      <c r="N969" s="44"/>
      <c r="O969" s="44"/>
    </row>
    <row r="970" spans="1:15" ht="17.25" customHeight="1">
      <c r="A970" s="44"/>
      <c r="B970" s="44"/>
      <c r="C970" s="44"/>
      <c r="D970" s="44"/>
      <c r="E970" s="44"/>
      <c r="F970" s="44"/>
      <c r="G970" s="44"/>
      <c r="H970" s="44"/>
      <c r="I970" s="44"/>
      <c r="J970" s="44"/>
      <c r="K970" s="44"/>
      <c r="L970" s="44"/>
      <c r="M970" s="44"/>
      <c r="N970" s="44"/>
      <c r="O970" s="44"/>
    </row>
    <row r="971" spans="1:15" ht="17.25" customHeight="1">
      <c r="A971" s="44"/>
      <c r="B971" s="44"/>
      <c r="C971" s="44"/>
      <c r="D971" s="44"/>
      <c r="E971" s="44"/>
      <c r="F971" s="44"/>
      <c r="G971" s="44"/>
      <c r="H971" s="44"/>
      <c r="I971" s="44"/>
      <c r="J971" s="44"/>
      <c r="K971" s="44"/>
      <c r="L971" s="44"/>
      <c r="M971" s="44"/>
      <c r="N971" s="44"/>
      <c r="O971" s="44"/>
    </row>
    <row r="972" spans="1:15" ht="17.25" customHeight="1">
      <c r="A972" s="44"/>
      <c r="B972" s="44"/>
      <c r="C972" s="44"/>
      <c r="D972" s="44"/>
      <c r="E972" s="44"/>
      <c r="F972" s="44"/>
      <c r="G972" s="44"/>
      <c r="H972" s="44"/>
      <c r="I972" s="44"/>
      <c r="J972" s="44"/>
      <c r="K972" s="44"/>
      <c r="L972" s="44"/>
      <c r="M972" s="44"/>
      <c r="N972" s="44"/>
      <c r="O972" s="44"/>
    </row>
    <row r="973" spans="1:15" ht="17.25" customHeight="1">
      <c r="A973" s="44"/>
      <c r="B973" s="44"/>
      <c r="C973" s="44"/>
      <c r="D973" s="44"/>
      <c r="E973" s="44"/>
      <c r="F973" s="44"/>
      <c r="G973" s="44"/>
      <c r="H973" s="44"/>
      <c r="I973" s="44"/>
      <c r="J973" s="44"/>
      <c r="K973" s="44"/>
      <c r="L973" s="44"/>
      <c r="M973" s="44"/>
      <c r="N973" s="44"/>
      <c r="O973" s="44"/>
    </row>
    <row r="974" spans="1:15" ht="17.25" customHeight="1">
      <c r="A974" s="44"/>
      <c r="B974" s="44"/>
      <c r="C974" s="44"/>
      <c r="D974" s="44"/>
      <c r="E974" s="44"/>
      <c r="F974" s="44"/>
      <c r="G974" s="44"/>
      <c r="H974" s="44"/>
      <c r="I974" s="44"/>
      <c r="J974" s="44"/>
      <c r="K974" s="44"/>
      <c r="L974" s="44"/>
      <c r="M974" s="44"/>
      <c r="N974" s="44"/>
      <c r="O974" s="44"/>
    </row>
    <row r="975" spans="1:15" ht="17.25" customHeight="1">
      <c r="A975" s="44"/>
      <c r="B975" s="44"/>
      <c r="C975" s="44"/>
      <c r="D975" s="44"/>
      <c r="E975" s="44"/>
      <c r="F975" s="44"/>
      <c r="G975" s="44"/>
      <c r="H975" s="44"/>
      <c r="I975" s="44"/>
      <c r="J975" s="44"/>
      <c r="K975" s="44"/>
      <c r="L975" s="44"/>
      <c r="M975" s="44"/>
      <c r="N975" s="44"/>
      <c r="O975" s="44"/>
    </row>
    <row r="976" spans="1:15" ht="17.25" customHeight="1">
      <c r="A976" s="44"/>
      <c r="B976" s="44"/>
      <c r="C976" s="44"/>
      <c r="D976" s="44"/>
      <c r="E976" s="44"/>
      <c r="F976" s="44"/>
      <c r="G976" s="44"/>
      <c r="H976" s="44"/>
      <c r="I976" s="44"/>
      <c r="J976" s="44"/>
      <c r="K976" s="44"/>
      <c r="L976" s="44"/>
      <c r="M976" s="44"/>
      <c r="N976" s="44"/>
      <c r="O976" s="44"/>
    </row>
    <row r="977" spans="1:15" ht="17.25" customHeight="1">
      <c r="A977" s="44"/>
      <c r="B977" s="44"/>
      <c r="C977" s="44"/>
      <c r="D977" s="44"/>
      <c r="E977" s="44"/>
      <c r="F977" s="44"/>
      <c r="G977" s="44"/>
      <c r="H977" s="44"/>
      <c r="I977" s="44"/>
      <c r="J977" s="44"/>
      <c r="K977" s="44"/>
      <c r="L977" s="44"/>
      <c r="M977" s="44"/>
      <c r="N977" s="44"/>
      <c r="O977" s="44"/>
    </row>
    <row r="978" spans="1:15" ht="17.25" customHeight="1">
      <c r="A978" s="44"/>
      <c r="B978" s="44"/>
      <c r="C978" s="44"/>
      <c r="D978" s="44"/>
      <c r="E978" s="44"/>
      <c r="F978" s="44"/>
      <c r="G978" s="44"/>
      <c r="H978" s="44"/>
      <c r="I978" s="44"/>
      <c r="J978" s="44"/>
      <c r="K978" s="44"/>
      <c r="L978" s="44"/>
      <c r="M978" s="44"/>
      <c r="N978" s="44"/>
      <c r="O978" s="44"/>
    </row>
    <row r="979" spans="1:15" ht="17.25" customHeight="1">
      <c r="A979" s="44"/>
      <c r="B979" s="44"/>
      <c r="C979" s="44"/>
      <c r="D979" s="44"/>
      <c r="E979" s="44"/>
      <c r="F979" s="44"/>
      <c r="G979" s="44"/>
      <c r="H979" s="44"/>
      <c r="I979" s="44"/>
      <c r="J979" s="44"/>
      <c r="K979" s="44"/>
      <c r="L979" s="44"/>
      <c r="M979" s="44"/>
      <c r="N979" s="44"/>
      <c r="O979" s="44"/>
    </row>
    <row r="980" spans="1:15" ht="17.25" customHeight="1">
      <c r="A980" s="44"/>
      <c r="B980" s="44"/>
      <c r="C980" s="44"/>
      <c r="D980" s="44"/>
      <c r="E980" s="44"/>
      <c r="F980" s="44"/>
      <c r="G980" s="44"/>
      <c r="H980" s="44"/>
      <c r="I980" s="44"/>
      <c r="J980" s="44"/>
      <c r="K980" s="44"/>
      <c r="L980" s="44"/>
      <c r="M980" s="44"/>
      <c r="N980" s="44"/>
      <c r="O980" s="44"/>
    </row>
    <row r="981" spans="1:15" ht="17.25" customHeight="1">
      <c r="A981" s="44"/>
      <c r="B981" s="44"/>
      <c r="C981" s="44"/>
      <c r="D981" s="44"/>
      <c r="E981" s="44"/>
      <c r="F981" s="44"/>
      <c r="G981" s="44"/>
      <c r="H981" s="44"/>
      <c r="I981" s="44"/>
      <c r="J981" s="44"/>
      <c r="K981" s="44"/>
      <c r="L981" s="44"/>
      <c r="M981" s="44"/>
      <c r="N981" s="44"/>
      <c r="O981" s="44"/>
    </row>
    <row r="982" spans="1:15" ht="17.25" customHeight="1">
      <c r="A982" s="44"/>
      <c r="B982" s="44"/>
      <c r="C982" s="44"/>
      <c r="D982" s="44"/>
      <c r="E982" s="44"/>
      <c r="F982" s="44"/>
      <c r="G982" s="44"/>
      <c r="H982" s="44"/>
      <c r="I982" s="44"/>
      <c r="J982" s="44"/>
      <c r="K982" s="44"/>
      <c r="L982" s="44"/>
      <c r="M982" s="44"/>
      <c r="N982" s="44"/>
      <c r="O982" s="44"/>
    </row>
    <row r="983" spans="1:15" ht="17.25" customHeight="1">
      <c r="A983" s="44"/>
      <c r="B983" s="44"/>
      <c r="C983" s="44"/>
      <c r="D983" s="44"/>
      <c r="E983" s="44"/>
      <c r="F983" s="44"/>
      <c r="G983" s="44"/>
      <c r="H983" s="44"/>
      <c r="I983" s="44"/>
      <c r="J983" s="44"/>
      <c r="K983" s="44"/>
      <c r="L983" s="44"/>
      <c r="M983" s="44"/>
      <c r="N983" s="44"/>
      <c r="O983" s="44"/>
    </row>
    <row r="984" spans="1:15" ht="17.25" customHeight="1">
      <c r="A984" s="44"/>
      <c r="B984" s="44"/>
      <c r="C984" s="44"/>
      <c r="D984" s="44"/>
      <c r="E984" s="44"/>
      <c r="F984" s="44"/>
      <c r="G984" s="44"/>
      <c r="H984" s="44"/>
      <c r="I984" s="44"/>
      <c r="J984" s="44"/>
      <c r="K984" s="44"/>
      <c r="L984" s="44"/>
      <c r="M984" s="44"/>
      <c r="N984" s="44"/>
      <c r="O984" s="44"/>
    </row>
    <row r="985" spans="1:15" ht="17.25" customHeight="1">
      <c r="A985" s="44"/>
      <c r="B985" s="44"/>
      <c r="C985" s="44"/>
      <c r="D985" s="44"/>
      <c r="E985" s="44"/>
      <c r="F985" s="44"/>
      <c r="G985" s="44"/>
      <c r="H985" s="44"/>
      <c r="I985" s="44"/>
      <c r="J985" s="44"/>
      <c r="K985" s="44"/>
      <c r="L985" s="44"/>
      <c r="M985" s="44"/>
      <c r="N985" s="44"/>
      <c r="O985" s="44"/>
    </row>
    <row r="986" spans="1:15" ht="17.25" customHeight="1">
      <c r="A986" s="44"/>
      <c r="B986" s="44"/>
      <c r="C986" s="44"/>
      <c r="D986" s="44"/>
      <c r="E986" s="44"/>
      <c r="F986" s="44"/>
      <c r="G986" s="44"/>
      <c r="H986" s="44"/>
      <c r="I986" s="44"/>
      <c r="J986" s="44"/>
      <c r="K986" s="44"/>
      <c r="L986" s="44"/>
      <c r="M986" s="44"/>
      <c r="N986" s="44"/>
      <c r="O986" s="44"/>
    </row>
  </sheetData>
  <mergeCells count="2">
    <mergeCell ref="G1:J2"/>
    <mergeCell ref="B4:C4"/>
  </mergeCells>
  <pageMargins left="0.7" right="0.7" top="0.75" bottom="0.75" header="0" footer="0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98"/>
  <sheetViews>
    <sheetView showGridLines="0" workbookViewId="0">
      <selection activeCell="J10" sqref="J10"/>
    </sheetView>
  </sheetViews>
  <sheetFormatPr baseColWidth="10" defaultColWidth="14.42578125" defaultRowHeight="15"/>
  <cols>
    <col min="1" max="1" width="5.28515625" style="46" customWidth="1"/>
    <col min="2" max="3" width="12.42578125" style="46" customWidth="1"/>
    <col min="4" max="4" width="6.140625" style="46" customWidth="1"/>
    <col min="5" max="5" width="4.85546875" style="46" customWidth="1"/>
    <col min="6" max="6" width="3.28515625" style="46" customWidth="1"/>
    <col min="7" max="10" width="11.42578125" style="46" customWidth="1"/>
    <col min="11" max="11" width="8.42578125" style="46" customWidth="1"/>
    <col min="12" max="12" width="11.42578125" style="46" customWidth="1"/>
    <col min="13" max="13" width="7" style="46" customWidth="1"/>
    <col min="14" max="14" width="13.85546875" style="46" customWidth="1"/>
    <col min="15" max="15" width="3.140625" style="46" customWidth="1"/>
    <col min="16" max="16" width="30.85546875" style="46" customWidth="1"/>
    <col min="17" max="16384" width="14.42578125" style="46"/>
  </cols>
  <sheetData>
    <row r="1" spans="1:18" ht="21.75" customHeight="1">
      <c r="A1" s="44"/>
      <c r="B1" s="44"/>
      <c r="C1" s="44"/>
      <c r="D1" s="45"/>
      <c r="E1" s="45"/>
      <c r="F1" s="45"/>
      <c r="G1" s="156" t="s">
        <v>68</v>
      </c>
      <c r="H1" s="157"/>
      <c r="I1" s="157"/>
      <c r="J1" s="157"/>
      <c r="K1" s="44"/>
      <c r="L1" s="44"/>
      <c r="M1" s="44"/>
      <c r="N1" s="44"/>
      <c r="O1" s="44"/>
    </row>
    <row r="2" spans="1:18" ht="25.5" customHeight="1">
      <c r="A2" s="44"/>
      <c r="B2" s="44"/>
      <c r="C2" s="44"/>
      <c r="D2" s="47"/>
      <c r="E2" s="47"/>
      <c r="F2" s="47"/>
      <c r="G2" s="157"/>
      <c r="H2" s="157"/>
      <c r="I2" s="157"/>
      <c r="J2" s="157"/>
      <c r="K2" s="44"/>
      <c r="L2" s="44"/>
      <c r="M2" s="44"/>
      <c r="N2" s="44"/>
      <c r="O2" s="44"/>
      <c r="P2" s="46" t="s">
        <v>56</v>
      </c>
    </row>
    <row r="3" spans="1:18" ht="17.25" customHeight="1" thickBot="1">
      <c r="A3" s="44"/>
      <c r="B3" s="44"/>
      <c r="C3" s="44"/>
      <c r="D3" s="48"/>
      <c r="E3" s="48"/>
      <c r="F3" s="48"/>
      <c r="G3" s="44"/>
      <c r="H3" s="44"/>
      <c r="I3" s="44"/>
      <c r="J3" s="44"/>
      <c r="K3" s="44"/>
      <c r="L3" s="44"/>
      <c r="M3" s="44"/>
      <c r="N3" s="44"/>
      <c r="O3" s="44"/>
    </row>
    <row r="4" spans="1:18" ht="17.25" customHeight="1">
      <c r="A4" s="44"/>
      <c r="B4" s="158" t="s">
        <v>92</v>
      </c>
      <c r="C4" s="159"/>
      <c r="D4" s="48"/>
      <c r="E4" s="48"/>
      <c r="F4" s="48"/>
      <c r="G4" s="44"/>
      <c r="H4" s="44"/>
      <c r="I4" s="44"/>
      <c r="J4" s="44"/>
      <c r="K4" s="44"/>
      <c r="L4" s="44"/>
      <c r="M4" s="44"/>
      <c r="N4" s="44"/>
      <c r="O4" s="44"/>
      <c r="P4" s="49"/>
      <c r="Q4" s="49" t="s">
        <v>69</v>
      </c>
      <c r="R4" s="49" t="s">
        <v>70</v>
      </c>
    </row>
    <row r="5" spans="1:18" ht="17.25" customHeight="1">
      <c r="A5" s="50" t="s">
        <v>71</v>
      </c>
      <c r="B5" s="50" t="s">
        <v>69</v>
      </c>
      <c r="C5" s="50" t="s">
        <v>70</v>
      </c>
      <c r="D5" s="48"/>
      <c r="E5" s="48"/>
      <c r="F5" s="48"/>
      <c r="G5" s="44"/>
      <c r="H5" s="44"/>
      <c r="I5" s="44"/>
      <c r="J5" s="105">
        <f>J7-J8</f>
        <v>-9.7277083333488501E-4</v>
      </c>
      <c r="K5" s="44"/>
      <c r="L5" s="44"/>
      <c r="M5" s="44"/>
      <c r="N5" s="44"/>
      <c r="O5" s="44"/>
      <c r="P5" s="51" t="s">
        <v>57</v>
      </c>
      <c r="Q5" s="52">
        <v>0.44317958101850902</v>
      </c>
      <c r="R5" s="52">
        <v>0.28883252777777418</v>
      </c>
    </row>
    <row r="6" spans="1:18" ht="17.25" customHeight="1">
      <c r="A6" s="53">
        <v>1</v>
      </c>
      <c r="B6" s="125">
        <v>0.16578837500003399</v>
      </c>
      <c r="C6" s="125">
        <v>0.18716637499991901</v>
      </c>
      <c r="D6" s="48"/>
      <c r="E6" s="48"/>
      <c r="F6" s="48"/>
      <c r="G6" s="44" t="s">
        <v>72</v>
      </c>
      <c r="H6" s="44"/>
      <c r="I6" s="44"/>
      <c r="J6" s="44"/>
      <c r="K6" s="44"/>
      <c r="L6" s="44"/>
      <c r="M6" s="44"/>
      <c r="N6" s="44"/>
      <c r="O6" s="44"/>
      <c r="P6" s="51" t="s">
        <v>58</v>
      </c>
      <c r="Q6" s="54">
        <v>0.14537412548986117</v>
      </c>
      <c r="R6" s="54">
        <v>3.3513903219751534E-2</v>
      </c>
    </row>
    <row r="7" spans="1:18" ht="17.25" customHeight="1">
      <c r="A7" s="53">
        <v>2</v>
      </c>
      <c r="B7" s="125">
        <v>7.4984999999998095E-2</v>
      </c>
      <c r="C7" s="125">
        <v>0.11965175000000272</v>
      </c>
      <c r="D7" s="48"/>
      <c r="E7" s="48"/>
      <c r="F7" s="48"/>
      <c r="G7" s="44"/>
      <c r="H7" s="44"/>
      <c r="I7" s="55" t="s">
        <v>73</v>
      </c>
      <c r="J7" s="56">
        <f>AVERAGE(B6:B23)</f>
        <v>0.18186765972221833</v>
      </c>
      <c r="K7" s="57" t="s">
        <v>74</v>
      </c>
      <c r="L7" s="58">
        <f>COUNT(B6:B23)</f>
        <v>18</v>
      </c>
      <c r="M7" s="57" t="s">
        <v>73</v>
      </c>
      <c r="N7" s="59">
        <f>_xlfn.VAR.S(B6:B23)</f>
        <v>2.2511685329278112E-2</v>
      </c>
      <c r="O7" s="44"/>
      <c r="P7" s="51" t="s">
        <v>59</v>
      </c>
      <c r="Q7" s="51">
        <v>18</v>
      </c>
      <c r="R7" s="51">
        <v>18</v>
      </c>
    </row>
    <row r="8" spans="1:18" ht="17.25" customHeight="1">
      <c r="A8" s="53">
        <v>3</v>
      </c>
      <c r="B8" s="125">
        <v>6.942112499999098E-2</v>
      </c>
      <c r="C8" s="125">
        <v>0.10924349999999095</v>
      </c>
      <c r="D8" s="48"/>
      <c r="E8" s="48"/>
      <c r="F8" s="48"/>
      <c r="G8" s="44"/>
      <c r="H8" s="44"/>
      <c r="I8" s="60" t="s">
        <v>73</v>
      </c>
      <c r="J8" s="56">
        <f>AVERAGE(C6:C23)</f>
        <v>0.18284043055555321</v>
      </c>
      <c r="K8" s="57" t="s">
        <v>75</v>
      </c>
      <c r="L8" s="58">
        <f>COUNT(C6:C23)</f>
        <v>18</v>
      </c>
      <c r="M8" s="57" t="s">
        <v>73</v>
      </c>
      <c r="N8" s="59">
        <f>_xlfn.VAR.S(C6:C23)</f>
        <v>1.6074128579478809E-2</v>
      </c>
      <c r="O8" s="44"/>
      <c r="P8" s="51" t="s">
        <v>60</v>
      </c>
      <c r="Q8" s="54">
        <v>8.9444014354806353E-2</v>
      </c>
      <c r="R8" s="51"/>
    </row>
    <row r="9" spans="1:18" ht="17.25" customHeight="1">
      <c r="A9" s="53">
        <v>4</v>
      </c>
      <c r="B9" s="125">
        <v>1.27507499999808E-2</v>
      </c>
      <c r="C9" s="125">
        <v>0.29924174999999298</v>
      </c>
      <c r="D9" s="48"/>
      <c r="E9" s="48"/>
      <c r="F9" s="48"/>
      <c r="G9" s="44"/>
      <c r="H9" s="44"/>
      <c r="I9" s="44"/>
      <c r="J9" s="44"/>
      <c r="K9" s="44"/>
      <c r="L9" s="44"/>
      <c r="M9" s="57" t="s">
        <v>73</v>
      </c>
      <c r="N9" s="59">
        <f>((L7-1)*N7+(L8-1)*N8)/(L7+L8-2)</f>
        <v>1.929290695437846E-2</v>
      </c>
      <c r="O9" s="44"/>
      <c r="P9" s="51" t="s">
        <v>61</v>
      </c>
      <c r="Q9" s="51">
        <v>0</v>
      </c>
      <c r="R9" s="51"/>
    </row>
    <row r="10" spans="1:18" ht="17.25" customHeight="1">
      <c r="A10" s="53">
        <v>5</v>
      </c>
      <c r="B10" s="125">
        <v>0.23399337500001099</v>
      </c>
      <c r="C10" s="125">
        <v>0.19705174999998601</v>
      </c>
      <c r="D10" s="48"/>
      <c r="E10" s="48"/>
      <c r="F10" s="48"/>
      <c r="G10" s="44"/>
      <c r="H10" s="44"/>
      <c r="I10" s="57" t="s">
        <v>76</v>
      </c>
      <c r="J10" s="61">
        <f>ABS((J7-J8)/SQRT(N7/L7+N8/L8))</f>
        <v>2.1010334195711366E-2</v>
      </c>
      <c r="K10" s="44"/>
      <c r="L10" s="44"/>
      <c r="M10" s="44"/>
      <c r="N10" s="44"/>
      <c r="O10" s="44"/>
      <c r="P10" s="51" t="s">
        <v>62</v>
      </c>
      <c r="Q10" s="51">
        <v>34</v>
      </c>
      <c r="R10" s="51"/>
    </row>
    <row r="11" spans="1:18" ht="17.25" customHeight="1" thickBot="1">
      <c r="A11" s="53">
        <v>6</v>
      </c>
      <c r="B11" s="125">
        <v>1.5785999999991401E-2</v>
      </c>
      <c r="C11" s="125">
        <v>9.8176250000022947E-2</v>
      </c>
      <c r="D11" s="48"/>
      <c r="E11" s="48"/>
      <c r="F11" s="48"/>
      <c r="G11" s="44"/>
      <c r="H11" s="44"/>
      <c r="I11" s="44"/>
      <c r="J11" s="44"/>
      <c r="K11" s="44"/>
      <c r="L11" s="44"/>
      <c r="M11" s="62"/>
      <c r="N11" s="44">
        <f>J10</f>
        <v>2.1010334195711366E-2</v>
      </c>
      <c r="O11" s="44"/>
      <c r="P11" s="51" t="s">
        <v>63</v>
      </c>
      <c r="Q11" s="81">
        <v>1.5482602214075776</v>
      </c>
      <c r="R11" s="51"/>
    </row>
    <row r="12" spans="1:18" ht="17.25" customHeight="1">
      <c r="A12" s="53">
        <v>1</v>
      </c>
      <c r="B12" s="30">
        <v>6.1314624999965872E-2</v>
      </c>
      <c r="C12" s="30">
        <v>7.3534875000007105E-2</v>
      </c>
      <c r="D12" s="48"/>
      <c r="E12" s="48"/>
      <c r="F12" s="48"/>
      <c r="G12" s="44"/>
      <c r="H12" s="44"/>
      <c r="I12" s="44"/>
      <c r="J12" s="44"/>
      <c r="K12" s="44"/>
      <c r="L12" s="44"/>
      <c r="M12" s="62"/>
      <c r="N12" s="44"/>
      <c r="O12" s="44"/>
      <c r="P12" s="51" t="s">
        <v>64</v>
      </c>
      <c r="Q12" s="51">
        <v>6.5409292048025119E-2</v>
      </c>
      <c r="R12" s="51"/>
    </row>
    <row r="13" spans="1:18" ht="17.25" customHeight="1">
      <c r="A13" s="53">
        <v>2</v>
      </c>
      <c r="B13" s="125">
        <v>0.15635724999995659</v>
      </c>
      <c r="C13" s="125">
        <v>1.8327250000055528E-2</v>
      </c>
      <c r="D13" s="48"/>
      <c r="E13" s="48"/>
      <c r="F13" s="48"/>
      <c r="G13" s="63" t="s">
        <v>77</v>
      </c>
      <c r="H13" s="63"/>
      <c r="I13" s="64" t="s">
        <v>78</v>
      </c>
      <c r="J13" s="65">
        <f>L7+L8-2</f>
        <v>34</v>
      </c>
      <c r="K13" s="44"/>
      <c r="L13" s="44"/>
      <c r="M13" s="62"/>
      <c r="N13" s="66"/>
      <c r="O13" s="44"/>
      <c r="P13" s="51" t="s">
        <v>65</v>
      </c>
      <c r="Q13" s="51">
        <v>1.6909242551868542</v>
      </c>
      <c r="R13" s="51"/>
    </row>
    <row r="14" spans="1:18" ht="17.25" customHeight="1">
      <c r="A14" s="53">
        <v>3</v>
      </c>
      <c r="B14" s="125">
        <v>0.22746662500000525</v>
      </c>
      <c r="C14" s="125">
        <v>5.3296375000002172E-2</v>
      </c>
      <c r="D14" s="48"/>
      <c r="E14" s="48"/>
      <c r="F14" s="48"/>
      <c r="G14" s="63"/>
      <c r="H14" s="63"/>
      <c r="I14" s="80" t="s">
        <v>79</v>
      </c>
      <c r="J14" s="67">
        <v>0.05</v>
      </c>
      <c r="K14" s="68"/>
      <c r="L14" s="44"/>
      <c r="M14" s="44"/>
      <c r="N14" s="66"/>
      <c r="O14" s="44"/>
      <c r="P14" s="51" t="s">
        <v>66</v>
      </c>
      <c r="Q14" s="54">
        <v>0.13081858409605024</v>
      </c>
      <c r="R14" s="51"/>
    </row>
    <row r="15" spans="1:18" ht="17.25" customHeight="1" thickBot="1">
      <c r="A15" s="53">
        <v>4</v>
      </c>
      <c r="B15" s="125">
        <v>0.113494875000015</v>
      </c>
      <c r="C15" s="125">
        <v>0.20231799999999112</v>
      </c>
      <c r="D15" s="48"/>
      <c r="E15" s="48"/>
      <c r="F15" s="48"/>
      <c r="G15" s="63"/>
      <c r="H15" s="63"/>
      <c r="I15" s="63"/>
      <c r="J15" s="63"/>
      <c r="K15" s="44"/>
      <c r="L15" s="44"/>
      <c r="M15" s="44"/>
      <c r="N15" s="44"/>
      <c r="O15" s="44"/>
      <c r="P15" s="69" t="s">
        <v>67</v>
      </c>
      <c r="Q15" s="70">
        <v>2.0322445093177191</v>
      </c>
      <c r="R15" s="69"/>
    </row>
    <row r="16" spans="1:18" ht="17.25" customHeight="1">
      <c r="A16" s="53">
        <v>5</v>
      </c>
      <c r="B16" s="125">
        <v>2.6454125000014983E-2</v>
      </c>
      <c r="C16" s="125">
        <v>3.3840249999997199E-2</v>
      </c>
      <c r="D16" s="48"/>
      <c r="E16" s="48"/>
      <c r="F16" s="48"/>
      <c r="G16" s="63"/>
      <c r="H16" s="63"/>
      <c r="I16" s="71" t="s">
        <v>73</v>
      </c>
      <c r="J16" s="72">
        <f>_xlfn.T.INV.2T(J14,J13)</f>
        <v>2.0322445093177191</v>
      </c>
      <c r="K16" s="73"/>
      <c r="L16" s="62">
        <f>-J16</f>
        <v>-2.0322445093177191</v>
      </c>
      <c r="M16" s="44"/>
      <c r="N16" s="74">
        <f>J16</f>
        <v>2.0322445093177191</v>
      </c>
      <c r="O16" s="44"/>
    </row>
    <row r="17" spans="1:15" ht="17.25" customHeight="1" thickBot="1">
      <c r="A17" s="53">
        <v>6</v>
      </c>
      <c r="B17" s="34">
        <v>0.21581412500000852</v>
      </c>
      <c r="C17" s="34">
        <v>0.25728387500001304</v>
      </c>
      <c r="D17" s="48"/>
      <c r="E17" s="48"/>
      <c r="F17" s="48"/>
      <c r="G17" s="63"/>
      <c r="H17" s="63"/>
      <c r="I17" s="63" t="s">
        <v>80</v>
      </c>
      <c r="J17" s="72">
        <f>ABS(_xlfn.T.DIST.2T(J10,J13))</f>
        <v>0.98336023266921258</v>
      </c>
      <c r="K17" s="44" t="s">
        <v>83</v>
      </c>
      <c r="L17" s="44"/>
      <c r="M17" s="44"/>
      <c r="N17" s="44"/>
      <c r="O17" s="44"/>
    </row>
    <row r="18" spans="1:15" ht="17.25" customHeight="1">
      <c r="A18" s="53">
        <v>1</v>
      </c>
      <c r="B18" s="30">
        <v>0.298945624999988</v>
      </c>
      <c r="C18" s="30">
        <v>0.431232749999992</v>
      </c>
      <c r="D18" s="48"/>
      <c r="E18" s="48"/>
      <c r="F18" s="48"/>
      <c r="G18" s="44"/>
      <c r="H18" s="75"/>
      <c r="I18" s="44"/>
      <c r="J18" s="44"/>
      <c r="K18" s="44"/>
      <c r="L18" s="44"/>
      <c r="M18" s="44"/>
      <c r="N18" s="44"/>
      <c r="O18" s="44"/>
    </row>
    <row r="19" spans="1:15" ht="17.25" customHeight="1">
      <c r="A19" s="53">
        <v>2</v>
      </c>
      <c r="B19" s="125">
        <v>0.57851137499997696</v>
      </c>
      <c r="C19" s="125">
        <v>0.38166787500000499</v>
      </c>
      <c r="D19" s="48"/>
      <c r="E19" s="48"/>
      <c r="F19" s="48"/>
      <c r="G19" s="57" t="s">
        <v>81</v>
      </c>
      <c r="H19" s="76" t="s">
        <v>116</v>
      </c>
      <c r="I19" s="44"/>
      <c r="J19" s="44"/>
      <c r="K19" s="44"/>
      <c r="L19" s="44"/>
      <c r="M19" s="44"/>
      <c r="N19" s="44"/>
      <c r="O19" s="44"/>
    </row>
    <row r="20" spans="1:15" ht="17.25" customHeight="1">
      <c r="A20" s="53">
        <v>3</v>
      </c>
      <c r="B20" s="125">
        <v>0.29432937500001799</v>
      </c>
      <c r="C20" s="125">
        <v>0.165738125000018</v>
      </c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</row>
    <row r="21" spans="1:15" ht="17.25" customHeight="1">
      <c r="A21" s="53">
        <v>4</v>
      </c>
      <c r="B21" s="125">
        <v>0.42474599999997098</v>
      </c>
      <c r="C21" s="125">
        <v>0.10586674999999</v>
      </c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</row>
    <row r="22" spans="1:15" ht="17.25" customHeight="1">
      <c r="A22" s="53">
        <v>5</v>
      </c>
      <c r="B22" s="125">
        <v>0.213938874999997</v>
      </c>
      <c r="C22" s="125">
        <v>0.14999587499997299</v>
      </c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</row>
    <row r="23" spans="1:15" ht="17.25" customHeight="1" thickBot="1">
      <c r="A23" s="53">
        <v>6</v>
      </c>
      <c r="B23" s="34">
        <v>8.9520375000006397E-2</v>
      </c>
      <c r="C23" s="34">
        <v>0.40749437499999902</v>
      </c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</row>
    <row r="24" spans="1:15" ht="17.25" customHeight="1">
      <c r="A24" s="44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</row>
    <row r="25" spans="1:15" ht="17.25" customHeight="1">
      <c r="A25" s="44"/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</row>
    <row r="26" spans="1:15" ht="17.25" customHeight="1">
      <c r="A26" s="44"/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</row>
    <row r="27" spans="1:15" ht="17.25" customHeight="1">
      <c r="A27" s="44"/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</row>
    <row r="28" spans="1:15" ht="17.25" customHeight="1">
      <c r="A28" s="44"/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</row>
    <row r="29" spans="1:15" ht="17.25" customHeight="1">
      <c r="A29" s="44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</row>
    <row r="30" spans="1:15" ht="17.25" customHeight="1">
      <c r="A30" s="44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</row>
    <row r="31" spans="1:15" ht="17.25" customHeight="1">
      <c r="A31" s="44"/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</row>
    <row r="32" spans="1:15" ht="17.25" customHeight="1">
      <c r="A32" s="44"/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</row>
    <row r="33" spans="1:15" ht="17.25" customHeight="1">
      <c r="A33" s="44"/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</row>
    <row r="34" spans="1:15" ht="17.25" customHeight="1">
      <c r="A34" s="44"/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</row>
    <row r="35" spans="1:15" ht="17.25" customHeight="1">
      <c r="A35" s="44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</row>
    <row r="36" spans="1:15" ht="17.25" customHeight="1">
      <c r="A36" s="44"/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</row>
    <row r="37" spans="1:15" ht="17.25" customHeight="1">
      <c r="A37" s="44"/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</row>
    <row r="38" spans="1:15" ht="17.25" customHeight="1">
      <c r="A38" s="44"/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</row>
    <row r="39" spans="1:15" ht="17.25" customHeight="1">
      <c r="A39" s="44"/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</row>
    <row r="40" spans="1:15" ht="17.25" customHeight="1">
      <c r="A40" s="44"/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</row>
    <row r="41" spans="1:15" ht="17.25" customHeight="1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</row>
    <row r="42" spans="1:15" ht="17.25" customHeight="1">
      <c r="A42" s="44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</row>
    <row r="43" spans="1:15" ht="17.25" customHeight="1">
      <c r="A43" s="44"/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</row>
    <row r="44" spans="1:15" ht="17.25" customHeight="1">
      <c r="A44" s="44"/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</row>
    <row r="45" spans="1:15" ht="17.25" customHeight="1">
      <c r="A45" s="44"/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</row>
    <row r="46" spans="1:15" ht="17.25" customHeight="1">
      <c r="A46" s="44"/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</row>
    <row r="47" spans="1:15" ht="17.25" customHeight="1">
      <c r="A47" s="44"/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</row>
    <row r="48" spans="1:15" ht="17.25" customHeight="1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</row>
    <row r="49" spans="1:15" ht="17.25" customHeight="1">
      <c r="A49" s="44"/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</row>
    <row r="50" spans="1:15" ht="17.25" customHeight="1">
      <c r="A50" s="44"/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</row>
    <row r="51" spans="1:15" ht="17.25" customHeight="1">
      <c r="A51" s="44"/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</row>
    <row r="52" spans="1:15" ht="17.25" customHeight="1">
      <c r="A52" s="44"/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</row>
    <row r="53" spans="1:15" ht="17.25" customHeight="1">
      <c r="A53" s="44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</row>
    <row r="54" spans="1:15" ht="17.25" customHeight="1">
      <c r="A54" s="44"/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</row>
    <row r="55" spans="1:15" ht="17.25" customHeight="1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</row>
    <row r="56" spans="1:15" ht="17.25" customHeight="1">
      <c r="A56" s="44"/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</row>
    <row r="57" spans="1:15" ht="17.25" customHeight="1">
      <c r="A57" s="44"/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</row>
    <row r="58" spans="1:15" ht="17.25" customHeight="1">
      <c r="A58" s="44"/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</row>
    <row r="59" spans="1:15" ht="17.25" customHeight="1">
      <c r="A59" s="44"/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</row>
    <row r="60" spans="1:15" ht="17.25" customHeight="1">
      <c r="A60" s="44"/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</row>
    <row r="61" spans="1:15" ht="17.25" customHeight="1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</row>
    <row r="62" spans="1:15" ht="17.25" customHeight="1">
      <c r="A62" s="44"/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</row>
    <row r="63" spans="1:15" ht="17.25" customHeight="1">
      <c r="A63" s="44"/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</row>
    <row r="64" spans="1:15" ht="17.25" customHeight="1">
      <c r="A64" s="44"/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</row>
    <row r="65" spans="1:15" ht="17.25" customHeight="1">
      <c r="A65" s="44"/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</row>
    <row r="66" spans="1:15" ht="17.25" customHeight="1">
      <c r="A66" s="44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</row>
    <row r="67" spans="1:15" ht="17.25" customHeight="1">
      <c r="A67" s="44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</row>
    <row r="68" spans="1:15" ht="17.25" customHeight="1">
      <c r="A68" s="44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</row>
    <row r="69" spans="1:15" ht="17.25" customHeight="1">
      <c r="A69" s="44"/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</row>
    <row r="70" spans="1:15" ht="17.25" customHeight="1">
      <c r="A70" s="44"/>
      <c r="B70" s="44"/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</row>
    <row r="71" spans="1:15" ht="17.25" customHeight="1">
      <c r="A71" s="44"/>
      <c r="B71" s="44"/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</row>
    <row r="72" spans="1:15" ht="17.25" customHeight="1">
      <c r="A72" s="44"/>
      <c r="B72" s="44"/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</row>
    <row r="73" spans="1:15" ht="17.25" customHeight="1">
      <c r="A73" s="44"/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</row>
    <row r="74" spans="1:15" ht="17.25" customHeight="1">
      <c r="A74" s="44"/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</row>
    <row r="75" spans="1:15" ht="17.25" customHeight="1">
      <c r="A75" s="44"/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</row>
    <row r="76" spans="1:15" ht="17.25" customHeight="1">
      <c r="A76" s="44"/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</row>
    <row r="77" spans="1:15" ht="17.25" customHeight="1">
      <c r="A77" s="44"/>
      <c r="B77" s="44"/>
      <c r="C77" s="44"/>
      <c r="D77" s="44"/>
      <c r="E77" s="44"/>
      <c r="F77" s="44"/>
      <c r="G77" s="44"/>
      <c r="H77" s="44"/>
      <c r="I77" s="44"/>
      <c r="J77" s="44"/>
      <c r="K77" s="44"/>
      <c r="L77" s="44"/>
      <c r="M77" s="44"/>
      <c r="N77" s="44"/>
      <c r="O77" s="44"/>
    </row>
    <row r="78" spans="1:15" ht="17.25" customHeight="1">
      <c r="A78" s="44"/>
      <c r="B78" s="44"/>
      <c r="C78" s="44"/>
      <c r="D78" s="44"/>
      <c r="E78" s="44"/>
      <c r="F78" s="44"/>
      <c r="G78" s="44"/>
      <c r="H78" s="44"/>
      <c r="I78" s="44"/>
      <c r="J78" s="44"/>
      <c r="K78" s="44"/>
      <c r="L78" s="44"/>
      <c r="M78" s="44"/>
      <c r="N78" s="44"/>
      <c r="O78" s="44"/>
    </row>
    <row r="79" spans="1:15" ht="17.25" customHeight="1">
      <c r="A79" s="44"/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</row>
    <row r="80" spans="1:15" ht="17.25" customHeight="1">
      <c r="A80" s="44"/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</row>
    <row r="81" spans="1:15" ht="17.25" customHeight="1">
      <c r="A81" s="44"/>
      <c r="B81" s="44"/>
      <c r="C81" s="44"/>
      <c r="D81" s="44"/>
      <c r="E81" s="44"/>
      <c r="F81" s="44"/>
      <c r="G81" s="44"/>
      <c r="H81" s="44"/>
      <c r="I81" s="44"/>
      <c r="J81" s="44"/>
      <c r="K81" s="44"/>
      <c r="L81" s="44"/>
      <c r="M81" s="44"/>
      <c r="N81" s="44"/>
      <c r="O81" s="44"/>
    </row>
    <row r="82" spans="1:15" ht="17.25" customHeight="1">
      <c r="A82" s="44"/>
      <c r="B82" s="44"/>
      <c r="C82" s="44"/>
      <c r="D82" s="44"/>
      <c r="E82" s="44"/>
      <c r="F82" s="44"/>
      <c r="G82" s="44"/>
      <c r="H82" s="44"/>
      <c r="I82" s="44"/>
      <c r="J82" s="44"/>
      <c r="K82" s="44"/>
      <c r="L82" s="44"/>
      <c r="M82" s="44"/>
      <c r="N82" s="44"/>
      <c r="O82" s="44"/>
    </row>
    <row r="83" spans="1:15" ht="17.25" customHeight="1">
      <c r="A83" s="44"/>
      <c r="B83" s="44"/>
      <c r="C83" s="44"/>
      <c r="D83" s="44"/>
      <c r="E83" s="44"/>
      <c r="F83" s="44"/>
      <c r="G83" s="44"/>
      <c r="H83" s="44"/>
      <c r="I83" s="44"/>
      <c r="J83" s="44"/>
      <c r="K83" s="44"/>
      <c r="L83" s="44"/>
      <c r="M83" s="44"/>
      <c r="N83" s="44"/>
      <c r="O83" s="44"/>
    </row>
    <row r="84" spans="1:15" ht="17.25" customHeight="1">
      <c r="A84" s="44"/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M84" s="44"/>
      <c r="N84" s="44"/>
      <c r="O84" s="44"/>
    </row>
    <row r="85" spans="1:15" ht="17.25" customHeight="1">
      <c r="A85" s="44"/>
      <c r="B85" s="44"/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</row>
    <row r="86" spans="1:15" ht="17.25" customHeight="1">
      <c r="A86" s="44"/>
      <c r="B86" s="44"/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</row>
    <row r="87" spans="1:15" ht="17.25" customHeight="1">
      <c r="A87" s="44"/>
      <c r="B87" s="44"/>
      <c r="C87" s="44"/>
      <c r="D87" s="44"/>
      <c r="E87" s="44"/>
      <c r="F87" s="44"/>
      <c r="G87" s="44"/>
      <c r="H87" s="44"/>
      <c r="I87" s="44"/>
      <c r="J87" s="44"/>
      <c r="K87" s="44"/>
      <c r="L87" s="44"/>
      <c r="M87" s="44"/>
      <c r="N87" s="44"/>
      <c r="O87" s="44"/>
    </row>
    <row r="88" spans="1:15" ht="17.25" customHeight="1">
      <c r="A88" s="44"/>
      <c r="B88" s="44"/>
      <c r="C88" s="44"/>
      <c r="D88" s="44"/>
      <c r="E88" s="44"/>
      <c r="F88" s="44"/>
      <c r="G88" s="44"/>
      <c r="H88" s="44"/>
      <c r="I88" s="44"/>
      <c r="J88" s="44"/>
      <c r="K88" s="44"/>
      <c r="L88" s="44"/>
      <c r="M88" s="44"/>
      <c r="N88" s="44"/>
      <c r="O88" s="44"/>
    </row>
    <row r="89" spans="1:15" ht="17.25" customHeight="1">
      <c r="A89" s="44"/>
      <c r="B89" s="44"/>
      <c r="C89" s="44"/>
      <c r="D89" s="44"/>
      <c r="E89" s="44"/>
      <c r="F89" s="44"/>
      <c r="G89" s="44"/>
      <c r="H89" s="44"/>
      <c r="I89" s="44"/>
      <c r="J89" s="44"/>
      <c r="K89" s="44"/>
      <c r="L89" s="44"/>
      <c r="M89" s="44"/>
      <c r="N89" s="44"/>
      <c r="O89" s="44"/>
    </row>
    <row r="90" spans="1:15" ht="17.25" customHeight="1">
      <c r="A90" s="44"/>
      <c r="B90" s="44"/>
      <c r="C90" s="44"/>
      <c r="D90" s="44"/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44"/>
    </row>
    <row r="91" spans="1:15" ht="17.25" customHeight="1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</row>
    <row r="92" spans="1:15" ht="17.25" customHeight="1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</row>
    <row r="93" spans="1:15" ht="17.25" customHeight="1">
      <c r="A93" s="44"/>
      <c r="B93" s="44"/>
      <c r="C93" s="44"/>
      <c r="D93" s="44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</row>
    <row r="94" spans="1:15" ht="17.25" customHeight="1">
      <c r="A94" s="44"/>
      <c r="B94" s="44"/>
      <c r="C94" s="44"/>
      <c r="D94" s="44"/>
      <c r="E94" s="44"/>
      <c r="F94" s="44"/>
      <c r="G94" s="44"/>
      <c r="H94" s="44"/>
      <c r="I94" s="44"/>
      <c r="J94" s="44"/>
      <c r="K94" s="44"/>
      <c r="L94" s="44"/>
      <c r="M94" s="44"/>
      <c r="N94" s="44"/>
      <c r="O94" s="44"/>
    </row>
    <row r="95" spans="1:15" ht="17.25" customHeight="1">
      <c r="A95" s="44"/>
      <c r="B95" s="44"/>
      <c r="C95" s="44"/>
      <c r="D95" s="44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</row>
    <row r="96" spans="1:15" ht="17.25" customHeight="1">
      <c r="A96" s="44"/>
      <c r="B96" s="44"/>
      <c r="C96" s="44"/>
      <c r="D96" s="44"/>
      <c r="E96" s="44"/>
      <c r="F96" s="44"/>
      <c r="G96" s="44"/>
      <c r="H96" s="44"/>
      <c r="I96" s="44"/>
      <c r="J96" s="44"/>
      <c r="K96" s="44"/>
      <c r="L96" s="44"/>
      <c r="M96" s="44"/>
      <c r="N96" s="44"/>
      <c r="O96" s="44"/>
    </row>
    <row r="97" spans="1:15" ht="17.25" customHeight="1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</row>
    <row r="98" spans="1:15" ht="17.25" customHeight="1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</row>
    <row r="99" spans="1:15" ht="17.25" customHeight="1">
      <c r="A99" s="44"/>
      <c r="B99" s="44"/>
      <c r="C99" s="44"/>
      <c r="D99" s="44"/>
      <c r="E99" s="44"/>
      <c r="F99" s="44"/>
      <c r="G99" s="44"/>
      <c r="H99" s="44"/>
      <c r="I99" s="44"/>
      <c r="J99" s="44"/>
      <c r="K99" s="44"/>
      <c r="L99" s="44"/>
      <c r="M99" s="44"/>
      <c r="N99" s="44"/>
      <c r="O99" s="44"/>
    </row>
    <row r="100" spans="1:15" ht="17.25" customHeight="1">
      <c r="A100" s="44"/>
      <c r="B100" s="44"/>
      <c r="C100" s="44"/>
      <c r="D100" s="44"/>
      <c r="E100" s="44"/>
      <c r="F100" s="44"/>
      <c r="G100" s="44"/>
      <c r="H100" s="44"/>
      <c r="I100" s="44"/>
      <c r="J100" s="44"/>
      <c r="K100" s="44"/>
      <c r="L100" s="44"/>
      <c r="M100" s="44"/>
      <c r="N100" s="44"/>
      <c r="O100" s="44"/>
    </row>
    <row r="101" spans="1:15" ht="17.25" customHeight="1">
      <c r="A101" s="44"/>
      <c r="B101" s="44"/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44"/>
    </row>
    <row r="102" spans="1:15" ht="17.25" customHeight="1">
      <c r="A102" s="44"/>
      <c r="B102" s="44"/>
      <c r="C102" s="44"/>
      <c r="D102" s="44"/>
      <c r="E102" s="44"/>
      <c r="F102" s="44"/>
      <c r="G102" s="44"/>
      <c r="H102" s="44"/>
      <c r="I102" s="44"/>
      <c r="J102" s="44"/>
      <c r="K102" s="44"/>
      <c r="L102" s="44"/>
      <c r="M102" s="44"/>
      <c r="N102" s="44"/>
      <c r="O102" s="44"/>
    </row>
    <row r="103" spans="1:15" ht="17.25" customHeight="1">
      <c r="A103" s="44"/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</row>
    <row r="104" spans="1:15" ht="17.25" customHeight="1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</row>
    <row r="105" spans="1:15" ht="17.25" customHeight="1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</row>
    <row r="106" spans="1:15" ht="17.25" customHeight="1">
      <c r="A106" s="44"/>
      <c r="B106" s="44"/>
      <c r="C106" s="44"/>
      <c r="D106" s="44"/>
      <c r="E106" s="44"/>
      <c r="F106" s="44"/>
      <c r="G106" s="44"/>
      <c r="H106" s="44"/>
      <c r="I106" s="44"/>
      <c r="J106" s="44"/>
      <c r="K106" s="44"/>
      <c r="L106" s="44"/>
      <c r="M106" s="44"/>
      <c r="N106" s="44"/>
      <c r="O106" s="44"/>
    </row>
    <row r="107" spans="1:15" ht="17.25" customHeight="1">
      <c r="A107" s="44"/>
      <c r="B107" s="44"/>
      <c r="C107" s="44"/>
      <c r="D107" s="44"/>
      <c r="E107" s="44"/>
      <c r="F107" s="44"/>
      <c r="G107" s="44"/>
      <c r="H107" s="44"/>
      <c r="I107" s="44"/>
      <c r="J107" s="44"/>
      <c r="K107" s="44"/>
      <c r="L107" s="44"/>
      <c r="M107" s="44"/>
      <c r="N107" s="44"/>
      <c r="O107" s="44"/>
    </row>
    <row r="108" spans="1:15" ht="17.25" customHeight="1">
      <c r="A108" s="44"/>
      <c r="B108" s="44"/>
      <c r="C108" s="44"/>
      <c r="D108" s="44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</row>
    <row r="109" spans="1:15" ht="17.25" customHeight="1">
      <c r="A109" s="44"/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  <c r="N109" s="44"/>
      <c r="O109" s="44"/>
    </row>
    <row r="110" spans="1:15" ht="17.25" customHeight="1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</row>
    <row r="111" spans="1:15" ht="17.25" customHeight="1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</row>
    <row r="112" spans="1:15" ht="17.25" customHeight="1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</row>
    <row r="113" spans="1:15" ht="17.25" customHeight="1">
      <c r="A113" s="44"/>
      <c r="B113" s="44"/>
      <c r="C113" s="44"/>
      <c r="D113" s="44"/>
      <c r="E113" s="44"/>
      <c r="F113" s="44"/>
      <c r="G113" s="44"/>
      <c r="H113" s="44"/>
      <c r="I113" s="44"/>
      <c r="J113" s="44"/>
      <c r="K113" s="44"/>
      <c r="L113" s="44"/>
      <c r="M113" s="44"/>
      <c r="N113" s="44"/>
      <c r="O113" s="44"/>
    </row>
    <row r="114" spans="1:15" ht="17.25" customHeight="1">
      <c r="A114" s="44"/>
      <c r="B114" s="44"/>
      <c r="C114" s="44"/>
      <c r="D114" s="44"/>
      <c r="E114" s="44"/>
      <c r="F114" s="44"/>
      <c r="G114" s="44"/>
      <c r="H114" s="44"/>
      <c r="I114" s="44"/>
      <c r="J114" s="44"/>
      <c r="K114" s="44"/>
      <c r="L114" s="44"/>
      <c r="M114" s="44"/>
      <c r="N114" s="44"/>
      <c r="O114" s="44"/>
    </row>
    <row r="115" spans="1:15" ht="17.25" customHeight="1">
      <c r="A115" s="44"/>
      <c r="B115" s="44"/>
      <c r="C115" s="44"/>
      <c r="D115" s="44"/>
      <c r="E115" s="44"/>
      <c r="F115" s="44"/>
      <c r="G115" s="44"/>
      <c r="H115" s="44"/>
      <c r="I115" s="44"/>
      <c r="J115" s="44"/>
      <c r="K115" s="44"/>
      <c r="L115" s="44"/>
      <c r="M115" s="44"/>
      <c r="N115" s="44"/>
      <c r="O115" s="44"/>
    </row>
    <row r="116" spans="1:15" ht="17.25" customHeight="1">
      <c r="A116" s="44"/>
      <c r="B116" s="44"/>
      <c r="C116" s="44"/>
      <c r="D116" s="44"/>
      <c r="E116" s="44"/>
      <c r="F116" s="44"/>
      <c r="G116" s="44"/>
      <c r="H116" s="44"/>
      <c r="I116" s="44"/>
      <c r="J116" s="44"/>
      <c r="K116" s="44"/>
      <c r="L116" s="44"/>
      <c r="M116" s="44"/>
      <c r="N116" s="44"/>
      <c r="O116" s="44"/>
    </row>
    <row r="117" spans="1:15" ht="17.25" customHeight="1">
      <c r="A117" s="44"/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</row>
    <row r="118" spans="1:15" ht="17.25" customHeight="1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</row>
    <row r="119" spans="1:15" ht="17.25" customHeight="1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</row>
    <row r="120" spans="1:15" ht="17.25" customHeight="1">
      <c r="A120" s="44"/>
      <c r="B120" s="44"/>
      <c r="C120" s="44"/>
      <c r="D120" s="44"/>
      <c r="E120" s="44"/>
      <c r="F120" s="44"/>
      <c r="G120" s="44"/>
      <c r="H120" s="44"/>
      <c r="I120" s="44"/>
      <c r="J120" s="44"/>
      <c r="K120" s="44"/>
      <c r="L120" s="44"/>
      <c r="M120" s="44"/>
      <c r="N120" s="44"/>
      <c r="O120" s="44"/>
    </row>
    <row r="121" spans="1:15" ht="17.25" customHeight="1">
      <c r="A121" s="44"/>
      <c r="B121" s="44"/>
      <c r="C121" s="44"/>
      <c r="D121" s="44"/>
      <c r="E121" s="44"/>
      <c r="F121" s="44"/>
      <c r="G121" s="44"/>
      <c r="H121" s="44"/>
      <c r="I121" s="44"/>
      <c r="J121" s="44"/>
      <c r="K121" s="44"/>
      <c r="L121" s="44"/>
      <c r="M121" s="44"/>
      <c r="N121" s="44"/>
      <c r="O121" s="44"/>
    </row>
    <row r="122" spans="1:15" ht="17.25" customHeight="1">
      <c r="A122" s="44"/>
      <c r="B122" s="44"/>
      <c r="C122" s="44"/>
      <c r="D122" s="44"/>
      <c r="E122" s="44"/>
      <c r="F122" s="44"/>
      <c r="G122" s="44"/>
      <c r="H122" s="44"/>
      <c r="I122" s="44"/>
      <c r="J122" s="44"/>
      <c r="K122" s="44"/>
      <c r="L122" s="44"/>
      <c r="M122" s="44"/>
      <c r="N122" s="44"/>
      <c r="O122" s="44"/>
    </row>
    <row r="123" spans="1:15" ht="17.25" customHeight="1">
      <c r="A123" s="44"/>
      <c r="B123" s="44"/>
      <c r="C123" s="44"/>
      <c r="D123" s="44"/>
      <c r="E123" s="44"/>
      <c r="F123" s="44"/>
      <c r="G123" s="44"/>
      <c r="H123" s="44"/>
      <c r="I123" s="44"/>
      <c r="J123" s="44"/>
      <c r="K123" s="44"/>
      <c r="L123" s="44"/>
      <c r="M123" s="44"/>
      <c r="N123" s="44"/>
      <c r="O123" s="44"/>
    </row>
    <row r="124" spans="1:15" ht="17.25" customHeight="1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</row>
    <row r="125" spans="1:15" ht="17.25" customHeight="1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</row>
    <row r="126" spans="1:15" ht="17.25" customHeight="1">
      <c r="A126" s="44"/>
      <c r="B126" s="44"/>
      <c r="C126" s="44"/>
      <c r="D126" s="44"/>
      <c r="E126" s="44"/>
      <c r="F126" s="44"/>
      <c r="G126" s="44"/>
      <c r="H126" s="44"/>
      <c r="I126" s="44"/>
      <c r="J126" s="44"/>
      <c r="K126" s="44"/>
      <c r="L126" s="44"/>
      <c r="M126" s="44"/>
      <c r="N126" s="44"/>
      <c r="O126" s="44"/>
    </row>
    <row r="127" spans="1:15" ht="17.25" customHeight="1">
      <c r="A127" s="44"/>
      <c r="B127" s="44"/>
      <c r="C127" s="44"/>
      <c r="D127" s="44"/>
      <c r="E127" s="44"/>
      <c r="F127" s="44"/>
      <c r="G127" s="44"/>
      <c r="H127" s="44"/>
      <c r="I127" s="44"/>
      <c r="J127" s="44"/>
      <c r="K127" s="44"/>
      <c r="L127" s="44"/>
      <c r="M127" s="44"/>
      <c r="N127" s="44"/>
      <c r="O127" s="44"/>
    </row>
    <row r="128" spans="1:15" ht="17.25" customHeight="1">
      <c r="A128" s="44"/>
      <c r="B128" s="44"/>
      <c r="C128" s="44"/>
      <c r="D128" s="44"/>
      <c r="E128" s="44"/>
      <c r="F128" s="44"/>
      <c r="G128" s="44"/>
      <c r="H128" s="44"/>
      <c r="I128" s="44"/>
      <c r="J128" s="44"/>
      <c r="K128" s="44"/>
      <c r="L128" s="44"/>
      <c r="M128" s="44"/>
      <c r="N128" s="44"/>
      <c r="O128" s="44"/>
    </row>
    <row r="129" spans="1:15" ht="17.25" customHeight="1">
      <c r="A129" s="44"/>
      <c r="B129" s="44"/>
      <c r="C129" s="44"/>
      <c r="D129" s="44"/>
      <c r="E129" s="44"/>
      <c r="F129" s="44"/>
      <c r="G129" s="44"/>
      <c r="H129" s="44"/>
      <c r="I129" s="44"/>
      <c r="J129" s="44"/>
      <c r="K129" s="44"/>
      <c r="L129" s="44"/>
      <c r="M129" s="44"/>
      <c r="N129" s="44"/>
      <c r="O129" s="44"/>
    </row>
    <row r="130" spans="1:15" ht="17.25" customHeight="1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</row>
    <row r="131" spans="1:15" ht="17.25" customHeight="1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</row>
    <row r="132" spans="1:15" ht="17.25" customHeight="1">
      <c r="A132" s="44"/>
      <c r="B132" s="44"/>
      <c r="C132" s="44"/>
      <c r="D132" s="44"/>
      <c r="E132" s="44"/>
      <c r="F132" s="44"/>
      <c r="G132" s="44"/>
      <c r="H132" s="44"/>
      <c r="I132" s="44"/>
      <c r="J132" s="44"/>
      <c r="K132" s="44"/>
      <c r="L132" s="44"/>
      <c r="M132" s="44"/>
      <c r="N132" s="44"/>
      <c r="O132" s="44"/>
    </row>
    <row r="133" spans="1:15" ht="17.25" customHeight="1">
      <c r="A133" s="44"/>
      <c r="B133" s="44"/>
      <c r="C133" s="44"/>
      <c r="D133" s="44"/>
      <c r="E133" s="44"/>
      <c r="F133" s="44"/>
      <c r="G133" s="44"/>
      <c r="H133" s="44"/>
      <c r="I133" s="44"/>
      <c r="J133" s="44"/>
      <c r="K133" s="44"/>
      <c r="L133" s="44"/>
      <c r="M133" s="44"/>
      <c r="N133" s="44"/>
      <c r="O133" s="44"/>
    </row>
    <row r="134" spans="1:15" ht="17.25" customHeight="1">
      <c r="A134" s="44"/>
      <c r="B134" s="44"/>
      <c r="C134" s="44"/>
      <c r="D134" s="44"/>
      <c r="E134" s="44"/>
      <c r="F134" s="44"/>
      <c r="G134" s="44"/>
      <c r="H134" s="44"/>
      <c r="I134" s="44"/>
      <c r="J134" s="44"/>
      <c r="K134" s="44"/>
      <c r="L134" s="44"/>
      <c r="M134" s="44"/>
      <c r="N134" s="44"/>
      <c r="O134" s="44"/>
    </row>
    <row r="135" spans="1:15" ht="17.25" customHeight="1">
      <c r="A135" s="44"/>
      <c r="B135" s="44"/>
      <c r="C135" s="44"/>
      <c r="D135" s="44"/>
      <c r="E135" s="44"/>
      <c r="F135" s="44"/>
      <c r="G135" s="44"/>
      <c r="H135" s="44"/>
      <c r="I135" s="44"/>
      <c r="J135" s="44"/>
      <c r="K135" s="44"/>
      <c r="L135" s="44"/>
      <c r="M135" s="44"/>
      <c r="N135" s="44"/>
      <c r="O135" s="44"/>
    </row>
    <row r="136" spans="1:15" ht="17.25" customHeight="1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</row>
    <row r="137" spans="1:15" ht="17.25" customHeight="1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</row>
    <row r="138" spans="1:15" ht="17.25" customHeight="1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</row>
    <row r="139" spans="1:15" ht="17.25" customHeight="1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</row>
    <row r="140" spans="1:15" ht="17.25" customHeight="1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</row>
    <row r="141" spans="1:15" ht="17.25" customHeight="1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</row>
    <row r="142" spans="1:15" ht="17.25" customHeight="1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</row>
    <row r="143" spans="1:15" ht="17.25" customHeight="1">
      <c r="A143" s="44"/>
      <c r="B143" s="44"/>
      <c r="C143" s="44"/>
      <c r="D143" s="44"/>
      <c r="E143" s="44"/>
      <c r="F143" s="44"/>
      <c r="G143" s="44"/>
      <c r="H143" s="44"/>
      <c r="I143" s="44"/>
      <c r="J143" s="44"/>
      <c r="K143" s="44"/>
      <c r="L143" s="44"/>
      <c r="M143" s="44"/>
      <c r="N143" s="44"/>
      <c r="O143" s="44"/>
    </row>
    <row r="144" spans="1:15" ht="17.25" customHeight="1">
      <c r="A144" s="44"/>
      <c r="B144" s="44"/>
      <c r="C144" s="44"/>
      <c r="D144" s="44"/>
      <c r="E144" s="44"/>
      <c r="F144" s="44"/>
      <c r="G144" s="44"/>
      <c r="H144" s="44"/>
      <c r="I144" s="44"/>
      <c r="J144" s="44"/>
      <c r="K144" s="44"/>
      <c r="L144" s="44"/>
      <c r="M144" s="44"/>
      <c r="N144" s="44"/>
      <c r="O144" s="44"/>
    </row>
    <row r="145" spans="1:15" ht="17.25" customHeight="1">
      <c r="A145" s="44"/>
      <c r="B145" s="44"/>
      <c r="C145" s="44"/>
      <c r="D145" s="44"/>
      <c r="E145" s="44"/>
      <c r="F145" s="44"/>
      <c r="G145" s="44"/>
      <c r="H145" s="44"/>
      <c r="I145" s="44"/>
      <c r="J145" s="44"/>
      <c r="K145" s="44"/>
      <c r="L145" s="44"/>
      <c r="M145" s="44"/>
      <c r="N145" s="44"/>
      <c r="O145" s="44"/>
    </row>
    <row r="146" spans="1:15" ht="17.25" customHeight="1">
      <c r="A146" s="44"/>
      <c r="B146" s="44"/>
      <c r="C146" s="44"/>
      <c r="D146" s="44"/>
      <c r="E146" s="44"/>
      <c r="F146" s="44"/>
      <c r="G146" s="44"/>
      <c r="H146" s="44"/>
      <c r="I146" s="44"/>
      <c r="J146" s="44"/>
      <c r="K146" s="44"/>
      <c r="L146" s="44"/>
      <c r="M146" s="44"/>
      <c r="N146" s="44"/>
      <c r="O146" s="44"/>
    </row>
    <row r="147" spans="1:15" ht="17.25" customHeight="1">
      <c r="A147" s="44"/>
      <c r="B147" s="44"/>
      <c r="C147" s="44"/>
      <c r="D147" s="44"/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44"/>
    </row>
    <row r="148" spans="1:15" ht="17.25" customHeight="1">
      <c r="A148" s="44"/>
      <c r="B148" s="44"/>
      <c r="C148" s="44"/>
      <c r="D148" s="44"/>
      <c r="E148" s="44"/>
      <c r="F148" s="44"/>
      <c r="G148" s="44"/>
      <c r="H148" s="44"/>
      <c r="I148" s="44"/>
      <c r="J148" s="44"/>
      <c r="K148" s="44"/>
      <c r="L148" s="44"/>
      <c r="M148" s="44"/>
      <c r="N148" s="44"/>
      <c r="O148" s="44"/>
    </row>
    <row r="149" spans="1:15" ht="17.25" customHeight="1">
      <c r="A149" s="44"/>
      <c r="B149" s="44"/>
      <c r="C149" s="44"/>
      <c r="D149" s="44"/>
      <c r="E149" s="44"/>
      <c r="F149" s="44"/>
      <c r="G149" s="44"/>
      <c r="H149" s="44"/>
      <c r="I149" s="44"/>
      <c r="J149" s="44"/>
      <c r="K149" s="44"/>
      <c r="L149" s="44"/>
      <c r="M149" s="44"/>
      <c r="N149" s="44"/>
      <c r="O149" s="44"/>
    </row>
    <row r="150" spans="1:15" ht="17.25" customHeight="1">
      <c r="A150" s="44"/>
      <c r="B150" s="44"/>
      <c r="C150" s="44"/>
      <c r="D150" s="44"/>
      <c r="E150" s="44"/>
      <c r="F150" s="44"/>
      <c r="G150" s="44"/>
      <c r="H150" s="44"/>
      <c r="I150" s="44"/>
      <c r="J150" s="44"/>
      <c r="K150" s="44"/>
      <c r="L150" s="44"/>
      <c r="M150" s="44"/>
      <c r="N150" s="44"/>
      <c r="O150" s="44"/>
    </row>
    <row r="151" spans="1:15" ht="17.25" customHeight="1">
      <c r="A151" s="44"/>
      <c r="B151" s="44"/>
      <c r="C151" s="44"/>
      <c r="D151" s="44"/>
      <c r="E151" s="44"/>
      <c r="F151" s="44"/>
      <c r="G151" s="44"/>
      <c r="H151" s="44"/>
      <c r="I151" s="44"/>
      <c r="J151" s="44"/>
      <c r="K151" s="44"/>
      <c r="L151" s="44"/>
      <c r="M151" s="44"/>
      <c r="N151" s="44"/>
      <c r="O151" s="44"/>
    </row>
    <row r="152" spans="1:15" ht="17.25" customHeight="1">
      <c r="A152" s="44"/>
      <c r="B152" s="44"/>
      <c r="C152" s="44"/>
      <c r="D152" s="44"/>
      <c r="E152" s="44"/>
      <c r="F152" s="44"/>
      <c r="G152" s="44"/>
      <c r="H152" s="44"/>
      <c r="I152" s="44"/>
      <c r="J152" s="44"/>
      <c r="K152" s="44"/>
      <c r="L152" s="44"/>
      <c r="M152" s="44"/>
      <c r="N152" s="44"/>
      <c r="O152" s="44"/>
    </row>
    <row r="153" spans="1:15" ht="17.25" customHeight="1">
      <c r="A153" s="44"/>
      <c r="B153" s="44"/>
      <c r="C153" s="44"/>
      <c r="D153" s="44"/>
      <c r="E153" s="44"/>
      <c r="F153" s="44"/>
      <c r="G153" s="44"/>
      <c r="H153" s="44"/>
      <c r="I153" s="44"/>
      <c r="J153" s="44"/>
      <c r="K153" s="44"/>
      <c r="L153" s="44"/>
      <c r="M153" s="44"/>
      <c r="N153" s="44"/>
      <c r="O153" s="44"/>
    </row>
    <row r="154" spans="1:15" ht="17.25" customHeight="1">
      <c r="A154" s="44"/>
      <c r="B154" s="44"/>
      <c r="C154" s="44"/>
      <c r="D154" s="44"/>
      <c r="E154" s="44"/>
      <c r="F154" s="44"/>
      <c r="G154" s="44"/>
      <c r="H154" s="44"/>
      <c r="I154" s="44"/>
      <c r="J154" s="44"/>
      <c r="K154" s="44"/>
      <c r="L154" s="44"/>
      <c r="M154" s="44"/>
      <c r="N154" s="44"/>
      <c r="O154" s="44"/>
    </row>
    <row r="155" spans="1:15" ht="17.25" customHeight="1">
      <c r="A155" s="44"/>
      <c r="B155" s="44"/>
      <c r="C155" s="44"/>
      <c r="D155" s="44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</row>
    <row r="156" spans="1:15" ht="17.25" customHeight="1">
      <c r="A156" s="44"/>
      <c r="B156" s="44"/>
      <c r="C156" s="44"/>
      <c r="D156" s="44"/>
      <c r="E156" s="44"/>
      <c r="F156" s="44"/>
      <c r="G156" s="44"/>
      <c r="H156" s="44"/>
      <c r="I156" s="44"/>
      <c r="J156" s="44"/>
      <c r="K156" s="44"/>
      <c r="L156" s="44"/>
      <c r="M156" s="44"/>
      <c r="N156" s="44"/>
      <c r="O156" s="44"/>
    </row>
    <row r="157" spans="1:15" ht="17.25" customHeight="1">
      <c r="A157" s="44"/>
      <c r="B157" s="44"/>
      <c r="C157" s="44"/>
      <c r="D157" s="44"/>
      <c r="E157" s="44"/>
      <c r="F157" s="44"/>
      <c r="G157" s="44"/>
      <c r="H157" s="44"/>
      <c r="I157" s="44"/>
      <c r="J157" s="44"/>
      <c r="K157" s="44"/>
      <c r="L157" s="44"/>
      <c r="M157" s="44"/>
      <c r="N157" s="44"/>
      <c r="O157" s="44"/>
    </row>
    <row r="158" spans="1:15" ht="17.25" customHeight="1">
      <c r="A158" s="44"/>
      <c r="B158" s="44"/>
      <c r="C158" s="44"/>
      <c r="D158" s="44"/>
      <c r="E158" s="44"/>
      <c r="F158" s="44"/>
      <c r="G158" s="44"/>
      <c r="H158" s="44"/>
      <c r="I158" s="44"/>
      <c r="J158" s="44"/>
      <c r="K158" s="44"/>
      <c r="L158" s="44"/>
      <c r="M158" s="44"/>
      <c r="N158" s="44"/>
      <c r="O158" s="44"/>
    </row>
    <row r="159" spans="1:15" ht="17.25" customHeight="1">
      <c r="A159" s="44"/>
      <c r="B159" s="44"/>
      <c r="C159" s="44"/>
      <c r="D159" s="44"/>
      <c r="E159" s="44"/>
      <c r="F159" s="44"/>
      <c r="G159" s="44"/>
      <c r="H159" s="44"/>
      <c r="I159" s="44"/>
      <c r="J159" s="44"/>
      <c r="K159" s="44"/>
      <c r="L159" s="44"/>
      <c r="M159" s="44"/>
      <c r="N159" s="44"/>
      <c r="O159" s="44"/>
    </row>
    <row r="160" spans="1:15" ht="17.25" customHeight="1">
      <c r="A160" s="44"/>
      <c r="B160" s="44"/>
      <c r="C160" s="44"/>
      <c r="D160" s="44"/>
      <c r="E160" s="44"/>
      <c r="F160" s="44"/>
      <c r="G160" s="44"/>
      <c r="H160" s="44"/>
      <c r="I160" s="44"/>
      <c r="J160" s="44"/>
      <c r="K160" s="44"/>
      <c r="L160" s="44"/>
      <c r="M160" s="44"/>
      <c r="N160" s="44"/>
      <c r="O160" s="44"/>
    </row>
    <row r="161" spans="1:15" ht="17.25" customHeight="1">
      <c r="A161" s="44"/>
      <c r="B161" s="44"/>
      <c r="C161" s="44"/>
      <c r="D161" s="44"/>
      <c r="E161" s="44"/>
      <c r="F161" s="44"/>
      <c r="G161" s="44"/>
      <c r="H161" s="44"/>
      <c r="I161" s="44"/>
      <c r="J161" s="44"/>
      <c r="K161" s="44"/>
      <c r="L161" s="44"/>
      <c r="M161" s="44"/>
      <c r="N161" s="44"/>
      <c r="O161" s="44"/>
    </row>
    <row r="162" spans="1:15" ht="17.25" customHeight="1">
      <c r="A162" s="44"/>
      <c r="B162" s="44"/>
      <c r="C162" s="44"/>
      <c r="D162" s="44"/>
      <c r="E162" s="44"/>
      <c r="F162" s="44"/>
      <c r="G162" s="44"/>
      <c r="H162" s="44"/>
      <c r="I162" s="44"/>
      <c r="J162" s="44"/>
      <c r="K162" s="44"/>
      <c r="L162" s="44"/>
      <c r="M162" s="44"/>
      <c r="N162" s="44"/>
      <c r="O162" s="44"/>
    </row>
    <row r="163" spans="1:15" ht="17.25" customHeight="1">
      <c r="A163" s="44"/>
      <c r="B163" s="44"/>
      <c r="C163" s="44"/>
      <c r="D163" s="44"/>
      <c r="E163" s="44"/>
      <c r="F163" s="44"/>
      <c r="G163" s="44"/>
      <c r="H163" s="44"/>
      <c r="I163" s="44"/>
      <c r="J163" s="44"/>
      <c r="K163" s="44"/>
      <c r="L163" s="44"/>
      <c r="M163" s="44"/>
      <c r="N163" s="44"/>
      <c r="O163" s="44"/>
    </row>
    <row r="164" spans="1:15" ht="17.25" customHeight="1">
      <c r="A164" s="44"/>
      <c r="B164" s="44"/>
      <c r="C164" s="44"/>
      <c r="D164" s="44"/>
      <c r="E164" s="44"/>
      <c r="F164" s="44"/>
      <c r="G164" s="44"/>
      <c r="H164" s="44"/>
      <c r="I164" s="44"/>
      <c r="J164" s="44"/>
      <c r="K164" s="44"/>
      <c r="L164" s="44"/>
      <c r="M164" s="44"/>
      <c r="N164" s="44"/>
      <c r="O164" s="44"/>
    </row>
    <row r="165" spans="1:15" ht="17.25" customHeight="1">
      <c r="A165" s="44"/>
      <c r="B165" s="44"/>
      <c r="C165" s="44"/>
      <c r="D165" s="44"/>
      <c r="E165" s="44"/>
      <c r="F165" s="44"/>
      <c r="G165" s="44"/>
      <c r="H165" s="44"/>
      <c r="I165" s="44"/>
      <c r="J165" s="44"/>
      <c r="K165" s="44"/>
      <c r="L165" s="44"/>
      <c r="M165" s="44"/>
      <c r="N165" s="44"/>
      <c r="O165" s="44"/>
    </row>
    <row r="166" spans="1:15" ht="17.25" customHeight="1">
      <c r="A166" s="44"/>
      <c r="B166" s="44"/>
      <c r="C166" s="44"/>
      <c r="D166" s="44"/>
      <c r="E166" s="44"/>
      <c r="F166" s="44"/>
      <c r="G166" s="44"/>
      <c r="H166" s="44"/>
      <c r="I166" s="44"/>
      <c r="J166" s="44"/>
      <c r="K166" s="44"/>
      <c r="L166" s="44"/>
      <c r="M166" s="44"/>
      <c r="N166" s="44"/>
      <c r="O166" s="44"/>
    </row>
    <row r="167" spans="1:15" ht="17.25" customHeight="1">
      <c r="A167" s="44"/>
      <c r="B167" s="44"/>
      <c r="C167" s="44"/>
      <c r="D167" s="44"/>
      <c r="E167" s="44"/>
      <c r="F167" s="44"/>
      <c r="G167" s="44"/>
      <c r="H167" s="44"/>
      <c r="I167" s="44"/>
      <c r="J167" s="44"/>
      <c r="K167" s="44"/>
      <c r="L167" s="44"/>
      <c r="M167" s="44"/>
      <c r="N167" s="44"/>
      <c r="O167" s="44"/>
    </row>
    <row r="168" spans="1:15" ht="17.25" customHeight="1">
      <c r="A168" s="44"/>
      <c r="B168" s="44"/>
      <c r="C168" s="44"/>
      <c r="D168" s="44"/>
      <c r="E168" s="44"/>
      <c r="F168" s="44"/>
      <c r="G168" s="44"/>
      <c r="H168" s="44"/>
      <c r="I168" s="44"/>
      <c r="J168" s="44"/>
      <c r="K168" s="44"/>
      <c r="L168" s="44"/>
      <c r="M168" s="44"/>
      <c r="N168" s="44"/>
      <c r="O168" s="44"/>
    </row>
    <row r="169" spans="1:15" ht="17.25" customHeight="1">
      <c r="A169" s="44"/>
      <c r="B169" s="44"/>
      <c r="C169" s="44"/>
      <c r="D169" s="44"/>
      <c r="E169" s="44"/>
      <c r="F169" s="44"/>
      <c r="G169" s="44"/>
      <c r="H169" s="44"/>
      <c r="I169" s="44"/>
      <c r="J169" s="44"/>
      <c r="K169" s="44"/>
      <c r="L169" s="44"/>
      <c r="M169" s="44"/>
      <c r="N169" s="44"/>
      <c r="O169" s="44"/>
    </row>
    <row r="170" spans="1:15" ht="17.25" customHeight="1">
      <c r="A170" s="44"/>
      <c r="B170" s="44"/>
      <c r="C170" s="44"/>
      <c r="D170" s="44"/>
      <c r="E170" s="44"/>
      <c r="F170" s="44"/>
      <c r="G170" s="44"/>
      <c r="H170" s="44"/>
      <c r="I170" s="44"/>
      <c r="J170" s="44"/>
      <c r="K170" s="44"/>
      <c r="L170" s="44"/>
      <c r="M170" s="44"/>
      <c r="N170" s="44"/>
      <c r="O170" s="44"/>
    </row>
    <row r="171" spans="1:15" ht="17.25" customHeight="1">
      <c r="A171" s="44"/>
      <c r="B171" s="44"/>
      <c r="C171" s="44"/>
      <c r="D171" s="44"/>
      <c r="E171" s="44"/>
      <c r="F171" s="44"/>
      <c r="G171" s="44"/>
      <c r="H171" s="44"/>
      <c r="I171" s="44"/>
      <c r="J171" s="44"/>
      <c r="K171" s="44"/>
      <c r="L171" s="44"/>
      <c r="M171" s="44"/>
      <c r="N171" s="44"/>
      <c r="O171" s="44"/>
    </row>
    <row r="172" spans="1:15" ht="17.25" customHeight="1">
      <c r="A172" s="44"/>
      <c r="B172" s="44"/>
      <c r="C172" s="44"/>
      <c r="D172" s="44"/>
      <c r="E172" s="44"/>
      <c r="F172" s="44"/>
      <c r="G172" s="44"/>
      <c r="H172" s="44"/>
      <c r="I172" s="44"/>
      <c r="J172" s="44"/>
      <c r="K172" s="44"/>
      <c r="L172" s="44"/>
      <c r="M172" s="44"/>
      <c r="N172" s="44"/>
      <c r="O172" s="44"/>
    </row>
    <row r="173" spans="1:15" ht="17.25" customHeight="1">
      <c r="A173" s="44"/>
      <c r="B173" s="44"/>
      <c r="C173" s="44"/>
      <c r="D173" s="44"/>
      <c r="E173" s="44"/>
      <c r="F173" s="44"/>
      <c r="G173" s="44"/>
      <c r="H173" s="44"/>
      <c r="I173" s="44"/>
      <c r="J173" s="44"/>
      <c r="K173" s="44"/>
      <c r="L173" s="44"/>
      <c r="M173" s="44"/>
      <c r="N173" s="44"/>
      <c r="O173" s="44"/>
    </row>
    <row r="174" spans="1:15" ht="17.25" customHeight="1">
      <c r="A174" s="44"/>
      <c r="B174" s="44"/>
      <c r="C174" s="44"/>
      <c r="D174" s="44"/>
      <c r="E174" s="44"/>
      <c r="F174" s="44"/>
      <c r="G174" s="44"/>
      <c r="H174" s="44"/>
      <c r="I174" s="44"/>
      <c r="J174" s="44"/>
      <c r="K174" s="44"/>
      <c r="L174" s="44"/>
      <c r="M174" s="44"/>
      <c r="N174" s="44"/>
      <c r="O174" s="44"/>
    </row>
    <row r="175" spans="1:15" ht="17.25" customHeight="1">
      <c r="A175" s="44"/>
      <c r="B175" s="44"/>
      <c r="C175" s="44"/>
      <c r="D175" s="44"/>
      <c r="E175" s="44"/>
      <c r="F175" s="44"/>
      <c r="G175" s="44"/>
      <c r="H175" s="44"/>
      <c r="I175" s="44"/>
      <c r="J175" s="44"/>
      <c r="K175" s="44"/>
      <c r="L175" s="44"/>
      <c r="M175" s="44"/>
      <c r="N175" s="44"/>
      <c r="O175" s="44"/>
    </row>
    <row r="176" spans="1:15" ht="17.25" customHeight="1">
      <c r="A176" s="44"/>
      <c r="B176" s="44"/>
      <c r="C176" s="44"/>
      <c r="D176" s="44"/>
      <c r="E176" s="44"/>
      <c r="F176" s="44"/>
      <c r="G176" s="44"/>
      <c r="H176" s="44"/>
      <c r="I176" s="44"/>
      <c r="J176" s="44"/>
      <c r="K176" s="44"/>
      <c r="L176" s="44"/>
      <c r="M176" s="44"/>
      <c r="N176" s="44"/>
      <c r="O176" s="44"/>
    </row>
    <row r="177" spans="1:15" ht="17.25" customHeight="1">
      <c r="A177" s="44"/>
      <c r="B177" s="44"/>
      <c r="C177" s="44"/>
      <c r="D177" s="44"/>
      <c r="E177" s="44"/>
      <c r="F177" s="44"/>
      <c r="G177" s="44"/>
      <c r="H177" s="44"/>
      <c r="I177" s="44"/>
      <c r="J177" s="44"/>
      <c r="K177" s="44"/>
      <c r="L177" s="44"/>
      <c r="M177" s="44"/>
      <c r="N177" s="44"/>
      <c r="O177" s="44"/>
    </row>
    <row r="178" spans="1:15" ht="17.25" customHeight="1">
      <c r="A178" s="44"/>
      <c r="B178" s="44"/>
      <c r="C178" s="44"/>
      <c r="D178" s="44"/>
      <c r="E178" s="44"/>
      <c r="F178" s="44"/>
      <c r="G178" s="44"/>
      <c r="H178" s="44"/>
      <c r="I178" s="44"/>
      <c r="J178" s="44"/>
      <c r="K178" s="44"/>
      <c r="L178" s="44"/>
      <c r="M178" s="44"/>
      <c r="N178" s="44"/>
      <c r="O178" s="44"/>
    </row>
    <row r="179" spans="1:15" ht="17.25" customHeight="1">
      <c r="A179" s="44"/>
      <c r="B179" s="44"/>
      <c r="C179" s="44"/>
      <c r="D179" s="44"/>
      <c r="E179" s="44"/>
      <c r="F179" s="44"/>
      <c r="G179" s="44"/>
      <c r="H179" s="44"/>
      <c r="I179" s="44"/>
      <c r="J179" s="44"/>
      <c r="K179" s="44"/>
      <c r="L179" s="44"/>
      <c r="M179" s="44"/>
      <c r="N179" s="44"/>
      <c r="O179" s="44"/>
    </row>
    <row r="180" spans="1:15" ht="17.25" customHeight="1">
      <c r="A180" s="44"/>
      <c r="B180" s="44"/>
      <c r="C180" s="44"/>
      <c r="D180" s="44"/>
      <c r="E180" s="44"/>
      <c r="F180" s="44"/>
      <c r="G180" s="44"/>
      <c r="H180" s="44"/>
      <c r="I180" s="44"/>
      <c r="J180" s="44"/>
      <c r="K180" s="44"/>
      <c r="L180" s="44"/>
      <c r="M180" s="44"/>
      <c r="N180" s="44"/>
      <c r="O180" s="44"/>
    </row>
    <row r="181" spans="1:15" ht="17.25" customHeight="1">
      <c r="A181" s="44"/>
      <c r="B181" s="44"/>
      <c r="C181" s="44"/>
      <c r="D181" s="44"/>
      <c r="E181" s="44"/>
      <c r="F181" s="44"/>
      <c r="G181" s="44"/>
      <c r="H181" s="44"/>
      <c r="I181" s="44"/>
      <c r="J181" s="44"/>
      <c r="K181" s="44"/>
      <c r="L181" s="44"/>
      <c r="M181" s="44"/>
      <c r="N181" s="44"/>
      <c r="O181" s="44"/>
    </row>
    <row r="182" spans="1:15" ht="17.25" customHeight="1">
      <c r="A182" s="44"/>
      <c r="B182" s="44"/>
      <c r="C182" s="44"/>
      <c r="D182" s="44"/>
      <c r="E182" s="44"/>
      <c r="F182" s="44"/>
      <c r="G182" s="44"/>
      <c r="H182" s="44"/>
      <c r="I182" s="44"/>
      <c r="J182" s="44"/>
      <c r="K182" s="44"/>
      <c r="L182" s="44"/>
      <c r="M182" s="44"/>
      <c r="N182" s="44"/>
      <c r="O182" s="44"/>
    </row>
    <row r="183" spans="1:15" ht="17.25" customHeight="1">
      <c r="A183" s="44"/>
      <c r="B183" s="44"/>
      <c r="C183" s="44"/>
      <c r="D183" s="44"/>
      <c r="E183" s="44"/>
      <c r="F183" s="44"/>
      <c r="G183" s="44"/>
      <c r="H183" s="44"/>
      <c r="I183" s="44"/>
      <c r="J183" s="44"/>
      <c r="K183" s="44"/>
      <c r="L183" s="44"/>
      <c r="M183" s="44"/>
      <c r="N183" s="44"/>
      <c r="O183" s="44"/>
    </row>
    <row r="184" spans="1:15" ht="17.25" customHeight="1">
      <c r="A184" s="44"/>
      <c r="B184" s="44"/>
      <c r="C184" s="44"/>
      <c r="D184" s="44"/>
      <c r="E184" s="44"/>
      <c r="F184" s="44"/>
      <c r="G184" s="44"/>
      <c r="H184" s="44"/>
      <c r="I184" s="44"/>
      <c r="J184" s="44"/>
      <c r="K184" s="44"/>
      <c r="L184" s="44"/>
      <c r="M184" s="44"/>
      <c r="N184" s="44"/>
      <c r="O184" s="44"/>
    </row>
    <row r="185" spans="1:15" ht="17.25" customHeight="1">
      <c r="A185" s="44"/>
      <c r="B185" s="44"/>
      <c r="C185" s="44"/>
      <c r="D185" s="44"/>
      <c r="E185" s="44"/>
      <c r="F185" s="44"/>
      <c r="G185" s="44"/>
      <c r="H185" s="44"/>
      <c r="I185" s="44"/>
      <c r="J185" s="44"/>
      <c r="K185" s="44"/>
      <c r="L185" s="44"/>
      <c r="M185" s="44"/>
      <c r="N185" s="44"/>
      <c r="O185" s="44"/>
    </row>
    <row r="186" spans="1:15" ht="17.25" customHeight="1">
      <c r="A186" s="44"/>
      <c r="B186" s="44"/>
      <c r="C186" s="44"/>
      <c r="D186" s="44"/>
      <c r="E186" s="44"/>
      <c r="F186" s="44"/>
      <c r="G186" s="44"/>
      <c r="H186" s="44"/>
      <c r="I186" s="44"/>
      <c r="J186" s="44"/>
      <c r="K186" s="44"/>
      <c r="L186" s="44"/>
      <c r="M186" s="44"/>
      <c r="N186" s="44"/>
      <c r="O186" s="44"/>
    </row>
    <row r="187" spans="1:15" ht="17.25" customHeight="1">
      <c r="A187" s="44"/>
      <c r="B187" s="44"/>
      <c r="C187" s="44"/>
      <c r="D187" s="44"/>
      <c r="E187" s="44"/>
      <c r="F187" s="44"/>
      <c r="G187" s="44"/>
      <c r="H187" s="44"/>
      <c r="I187" s="44"/>
      <c r="J187" s="44"/>
      <c r="K187" s="44"/>
      <c r="L187" s="44"/>
      <c r="M187" s="44"/>
      <c r="N187" s="44"/>
      <c r="O187" s="44"/>
    </row>
    <row r="188" spans="1:15" ht="17.25" customHeight="1">
      <c r="A188" s="44"/>
      <c r="B188" s="44"/>
      <c r="C188" s="44"/>
      <c r="D188" s="44"/>
      <c r="E188" s="44"/>
      <c r="F188" s="44"/>
      <c r="G188" s="44"/>
      <c r="H188" s="44"/>
      <c r="I188" s="44"/>
      <c r="J188" s="44"/>
      <c r="K188" s="44"/>
      <c r="L188" s="44"/>
      <c r="M188" s="44"/>
      <c r="N188" s="44"/>
      <c r="O188" s="44"/>
    </row>
    <row r="189" spans="1:15" ht="17.25" customHeight="1">
      <c r="A189" s="44"/>
      <c r="B189" s="44"/>
      <c r="C189" s="44"/>
      <c r="D189" s="44"/>
      <c r="E189" s="44"/>
      <c r="F189" s="44"/>
      <c r="G189" s="44"/>
      <c r="H189" s="44"/>
      <c r="I189" s="44"/>
      <c r="J189" s="44"/>
      <c r="K189" s="44"/>
      <c r="L189" s="44"/>
      <c r="M189" s="44"/>
      <c r="N189" s="44"/>
      <c r="O189" s="44"/>
    </row>
    <row r="190" spans="1:15" ht="17.25" customHeight="1">
      <c r="A190" s="44"/>
      <c r="B190" s="44"/>
      <c r="C190" s="44"/>
      <c r="D190" s="44"/>
      <c r="E190" s="44"/>
      <c r="F190" s="44"/>
      <c r="G190" s="44"/>
      <c r="H190" s="44"/>
      <c r="I190" s="44"/>
      <c r="J190" s="44"/>
      <c r="K190" s="44"/>
      <c r="L190" s="44"/>
      <c r="M190" s="44"/>
      <c r="N190" s="44"/>
      <c r="O190" s="44"/>
    </row>
    <row r="191" spans="1:15" ht="17.25" customHeight="1">
      <c r="A191" s="44"/>
      <c r="B191" s="44"/>
      <c r="C191" s="44"/>
      <c r="D191" s="44"/>
      <c r="E191" s="44"/>
      <c r="F191" s="44"/>
      <c r="G191" s="44"/>
      <c r="H191" s="44"/>
      <c r="I191" s="44"/>
      <c r="J191" s="44"/>
      <c r="K191" s="44"/>
      <c r="L191" s="44"/>
      <c r="M191" s="44"/>
      <c r="N191" s="44"/>
      <c r="O191" s="44"/>
    </row>
    <row r="192" spans="1:15" ht="17.25" customHeight="1">
      <c r="A192" s="44"/>
      <c r="B192" s="44"/>
      <c r="C192" s="44"/>
      <c r="D192" s="44"/>
      <c r="E192" s="44"/>
      <c r="F192" s="44"/>
      <c r="G192" s="44"/>
      <c r="H192" s="44"/>
      <c r="I192" s="44"/>
      <c r="J192" s="44"/>
      <c r="K192" s="44"/>
      <c r="L192" s="44"/>
      <c r="M192" s="44"/>
      <c r="N192" s="44"/>
      <c r="O192" s="44"/>
    </row>
    <row r="193" spans="1:15" ht="17.25" customHeight="1">
      <c r="A193" s="44"/>
      <c r="B193" s="44"/>
      <c r="C193" s="44"/>
      <c r="D193" s="44"/>
      <c r="E193" s="44"/>
      <c r="F193" s="44"/>
      <c r="G193" s="44"/>
      <c r="H193" s="44"/>
      <c r="I193" s="44"/>
      <c r="J193" s="44"/>
      <c r="K193" s="44"/>
      <c r="L193" s="44"/>
      <c r="M193" s="44"/>
      <c r="N193" s="44"/>
      <c r="O193" s="44"/>
    </row>
    <row r="194" spans="1:15" ht="17.25" customHeight="1">
      <c r="A194" s="44"/>
      <c r="B194" s="44"/>
      <c r="C194" s="44"/>
      <c r="D194" s="44"/>
      <c r="E194" s="44"/>
      <c r="F194" s="44"/>
      <c r="G194" s="44"/>
      <c r="H194" s="44"/>
      <c r="I194" s="44"/>
      <c r="J194" s="44"/>
      <c r="K194" s="44"/>
      <c r="L194" s="44"/>
      <c r="M194" s="44"/>
      <c r="N194" s="44"/>
      <c r="O194" s="44"/>
    </row>
    <row r="195" spans="1:15" ht="17.25" customHeight="1">
      <c r="A195" s="44"/>
      <c r="B195" s="44"/>
      <c r="C195" s="44"/>
      <c r="D195" s="44"/>
      <c r="E195" s="44"/>
      <c r="F195" s="44"/>
      <c r="G195" s="44"/>
      <c r="H195" s="44"/>
      <c r="I195" s="44"/>
      <c r="J195" s="44"/>
      <c r="K195" s="44"/>
      <c r="L195" s="44"/>
      <c r="M195" s="44"/>
      <c r="N195" s="44"/>
      <c r="O195" s="44"/>
    </row>
    <row r="196" spans="1:15" ht="17.25" customHeight="1">
      <c r="A196" s="44"/>
      <c r="B196" s="44"/>
      <c r="C196" s="44"/>
      <c r="D196" s="44"/>
      <c r="E196" s="44"/>
      <c r="F196" s="44"/>
      <c r="G196" s="44"/>
      <c r="H196" s="44"/>
      <c r="I196" s="44"/>
      <c r="J196" s="44"/>
      <c r="K196" s="44"/>
      <c r="L196" s="44"/>
      <c r="M196" s="44"/>
      <c r="N196" s="44"/>
      <c r="O196" s="44"/>
    </row>
    <row r="197" spans="1:15" ht="17.25" customHeight="1">
      <c r="A197" s="44"/>
      <c r="B197" s="44"/>
      <c r="C197" s="44"/>
      <c r="D197" s="44"/>
      <c r="E197" s="44"/>
      <c r="F197" s="44"/>
      <c r="G197" s="44"/>
      <c r="H197" s="44"/>
      <c r="I197" s="44"/>
      <c r="J197" s="44"/>
      <c r="K197" s="44"/>
      <c r="L197" s="44"/>
      <c r="M197" s="44"/>
      <c r="N197" s="44"/>
      <c r="O197" s="44"/>
    </row>
    <row r="198" spans="1:15" ht="17.25" customHeight="1">
      <c r="A198" s="44"/>
      <c r="B198" s="44"/>
      <c r="C198" s="44"/>
      <c r="D198" s="44"/>
      <c r="E198" s="44"/>
      <c r="F198" s="44"/>
      <c r="G198" s="44"/>
      <c r="H198" s="44"/>
      <c r="I198" s="44"/>
      <c r="J198" s="44"/>
      <c r="K198" s="44"/>
      <c r="L198" s="44"/>
      <c r="M198" s="44"/>
      <c r="N198" s="44"/>
      <c r="O198" s="44"/>
    </row>
    <row r="199" spans="1:15" ht="17.25" customHeight="1">
      <c r="A199" s="44"/>
      <c r="B199" s="44"/>
      <c r="C199" s="44"/>
      <c r="D199" s="44"/>
      <c r="E199" s="44"/>
      <c r="F199" s="44"/>
      <c r="G199" s="44"/>
      <c r="H199" s="44"/>
      <c r="I199" s="44"/>
      <c r="J199" s="44"/>
      <c r="K199" s="44"/>
      <c r="L199" s="44"/>
      <c r="M199" s="44"/>
      <c r="N199" s="44"/>
      <c r="O199" s="44"/>
    </row>
    <row r="200" spans="1:15" ht="17.25" customHeight="1">
      <c r="A200" s="44"/>
      <c r="B200" s="44"/>
      <c r="C200" s="44"/>
      <c r="D200" s="44"/>
      <c r="E200" s="44"/>
      <c r="F200" s="44"/>
      <c r="G200" s="44"/>
      <c r="H200" s="44"/>
      <c r="I200" s="44"/>
      <c r="J200" s="44"/>
      <c r="K200" s="44"/>
      <c r="L200" s="44"/>
      <c r="M200" s="44"/>
      <c r="N200" s="44"/>
      <c r="O200" s="44"/>
    </row>
    <row r="201" spans="1:15" ht="17.25" customHeight="1">
      <c r="A201" s="44"/>
      <c r="B201" s="44"/>
      <c r="C201" s="44"/>
      <c r="D201" s="44"/>
      <c r="E201" s="44"/>
      <c r="F201" s="44"/>
      <c r="G201" s="44"/>
      <c r="H201" s="44"/>
      <c r="I201" s="44"/>
      <c r="J201" s="44"/>
      <c r="K201" s="44"/>
      <c r="L201" s="44"/>
      <c r="M201" s="44"/>
      <c r="N201" s="44"/>
      <c r="O201" s="44"/>
    </row>
    <row r="202" spans="1:15" ht="17.25" customHeight="1">
      <c r="A202" s="44"/>
      <c r="B202" s="44"/>
      <c r="C202" s="44"/>
      <c r="D202" s="44"/>
      <c r="E202" s="44"/>
      <c r="F202" s="44"/>
      <c r="G202" s="44"/>
      <c r="H202" s="44"/>
      <c r="I202" s="44"/>
      <c r="J202" s="44"/>
      <c r="K202" s="44"/>
      <c r="L202" s="44"/>
      <c r="M202" s="44"/>
      <c r="N202" s="44"/>
      <c r="O202" s="44"/>
    </row>
    <row r="203" spans="1:15" ht="17.25" customHeight="1">
      <c r="A203" s="44"/>
      <c r="B203" s="44"/>
      <c r="C203" s="44"/>
      <c r="D203" s="44"/>
      <c r="E203" s="44"/>
      <c r="F203" s="44"/>
      <c r="G203" s="44"/>
      <c r="H203" s="44"/>
      <c r="I203" s="44"/>
      <c r="J203" s="44"/>
      <c r="K203" s="44"/>
      <c r="L203" s="44"/>
      <c r="M203" s="44"/>
      <c r="N203" s="44"/>
      <c r="O203" s="44"/>
    </row>
    <row r="204" spans="1:15" ht="17.25" customHeight="1">
      <c r="A204" s="44"/>
      <c r="B204" s="44"/>
      <c r="C204" s="44"/>
      <c r="D204" s="44"/>
      <c r="E204" s="44"/>
      <c r="F204" s="44"/>
      <c r="G204" s="44"/>
      <c r="H204" s="44"/>
      <c r="I204" s="44"/>
      <c r="J204" s="44"/>
      <c r="K204" s="44"/>
      <c r="L204" s="44"/>
      <c r="M204" s="44"/>
      <c r="N204" s="44"/>
      <c r="O204" s="44"/>
    </row>
    <row r="205" spans="1:15" ht="17.25" customHeight="1">
      <c r="A205" s="44"/>
      <c r="B205" s="44"/>
      <c r="C205" s="44"/>
      <c r="D205" s="44"/>
      <c r="E205" s="44"/>
      <c r="F205" s="44"/>
      <c r="G205" s="44"/>
      <c r="H205" s="44"/>
      <c r="I205" s="44"/>
      <c r="J205" s="44"/>
      <c r="K205" s="44"/>
      <c r="L205" s="44"/>
      <c r="M205" s="44"/>
      <c r="N205" s="44"/>
      <c r="O205" s="44"/>
    </row>
    <row r="206" spans="1:15" ht="17.25" customHeight="1">
      <c r="A206" s="44"/>
      <c r="B206" s="44"/>
      <c r="C206" s="44"/>
      <c r="D206" s="44"/>
      <c r="E206" s="44"/>
      <c r="F206" s="44"/>
      <c r="G206" s="44"/>
      <c r="H206" s="44"/>
      <c r="I206" s="44"/>
      <c r="J206" s="44"/>
      <c r="K206" s="44"/>
      <c r="L206" s="44"/>
      <c r="M206" s="44"/>
      <c r="N206" s="44"/>
      <c r="O206" s="44"/>
    </row>
    <row r="207" spans="1:15" ht="17.25" customHeight="1">
      <c r="A207" s="44"/>
      <c r="B207" s="44"/>
      <c r="C207" s="44"/>
      <c r="D207" s="44"/>
      <c r="E207" s="44"/>
      <c r="F207" s="44"/>
      <c r="G207" s="44"/>
      <c r="H207" s="44"/>
      <c r="I207" s="44"/>
      <c r="J207" s="44"/>
      <c r="K207" s="44"/>
      <c r="L207" s="44"/>
      <c r="M207" s="44"/>
      <c r="N207" s="44"/>
      <c r="O207" s="44"/>
    </row>
    <row r="208" spans="1:15" ht="17.25" customHeight="1">
      <c r="A208" s="44"/>
      <c r="B208" s="44"/>
      <c r="C208" s="44"/>
      <c r="D208" s="44"/>
      <c r="E208" s="44"/>
      <c r="F208" s="44"/>
      <c r="G208" s="44"/>
      <c r="H208" s="44"/>
      <c r="I208" s="44"/>
      <c r="J208" s="44"/>
      <c r="K208" s="44"/>
      <c r="L208" s="44"/>
      <c r="M208" s="44"/>
      <c r="N208" s="44"/>
      <c r="O208" s="44"/>
    </row>
    <row r="209" spans="1:15" ht="17.25" customHeight="1">
      <c r="A209" s="44"/>
      <c r="B209" s="44"/>
      <c r="C209" s="44"/>
      <c r="D209" s="44"/>
      <c r="E209" s="44"/>
      <c r="F209" s="44"/>
      <c r="G209" s="44"/>
      <c r="H209" s="44"/>
      <c r="I209" s="44"/>
      <c r="J209" s="44"/>
      <c r="K209" s="44"/>
      <c r="L209" s="44"/>
      <c r="M209" s="44"/>
      <c r="N209" s="44"/>
      <c r="O209" s="44"/>
    </row>
    <row r="210" spans="1:15" ht="17.25" customHeight="1">
      <c r="A210" s="44"/>
      <c r="B210" s="44"/>
      <c r="C210" s="44"/>
      <c r="D210" s="44"/>
      <c r="E210" s="44"/>
      <c r="F210" s="44"/>
      <c r="G210" s="44"/>
      <c r="H210" s="44"/>
      <c r="I210" s="44"/>
      <c r="J210" s="44"/>
      <c r="K210" s="44"/>
      <c r="L210" s="44"/>
      <c r="M210" s="44"/>
      <c r="N210" s="44"/>
      <c r="O210" s="44"/>
    </row>
    <row r="211" spans="1:15" ht="17.25" customHeight="1">
      <c r="A211" s="44"/>
      <c r="B211" s="44"/>
      <c r="C211" s="44"/>
      <c r="D211" s="44"/>
      <c r="E211" s="44"/>
      <c r="F211" s="44"/>
      <c r="G211" s="44"/>
      <c r="H211" s="44"/>
      <c r="I211" s="44"/>
      <c r="J211" s="44"/>
      <c r="K211" s="44"/>
      <c r="L211" s="44"/>
      <c r="M211" s="44"/>
      <c r="N211" s="44"/>
      <c r="O211" s="44"/>
    </row>
    <row r="212" spans="1:15" ht="17.25" customHeight="1">
      <c r="A212" s="44"/>
      <c r="B212" s="44"/>
      <c r="C212" s="44"/>
      <c r="D212" s="44"/>
      <c r="E212" s="44"/>
      <c r="F212" s="44"/>
      <c r="G212" s="44"/>
      <c r="H212" s="44"/>
      <c r="I212" s="44"/>
      <c r="J212" s="44"/>
      <c r="K212" s="44"/>
      <c r="L212" s="44"/>
      <c r="M212" s="44"/>
      <c r="N212" s="44"/>
      <c r="O212" s="44"/>
    </row>
    <row r="213" spans="1:15" ht="17.25" customHeight="1">
      <c r="A213" s="44"/>
      <c r="B213" s="44"/>
      <c r="C213" s="44"/>
      <c r="D213" s="44"/>
      <c r="E213" s="44"/>
      <c r="F213" s="44"/>
      <c r="G213" s="44"/>
      <c r="H213" s="44"/>
      <c r="I213" s="44"/>
      <c r="J213" s="44"/>
      <c r="K213" s="44"/>
      <c r="L213" s="44"/>
      <c r="M213" s="44"/>
      <c r="N213" s="44"/>
      <c r="O213" s="44"/>
    </row>
    <row r="214" spans="1:15" ht="17.25" customHeight="1">
      <c r="A214" s="44"/>
      <c r="B214" s="44"/>
      <c r="C214" s="44"/>
      <c r="D214" s="44"/>
      <c r="E214" s="44"/>
      <c r="F214" s="44"/>
      <c r="G214" s="44"/>
      <c r="H214" s="44"/>
      <c r="I214" s="44"/>
      <c r="J214" s="44"/>
      <c r="K214" s="44"/>
      <c r="L214" s="44"/>
      <c r="M214" s="44"/>
      <c r="N214" s="44"/>
      <c r="O214" s="44"/>
    </row>
    <row r="215" spans="1:15" ht="17.25" customHeight="1">
      <c r="A215" s="44"/>
      <c r="B215" s="44"/>
      <c r="C215" s="44"/>
      <c r="D215" s="44"/>
      <c r="E215" s="44"/>
      <c r="F215" s="44"/>
      <c r="G215" s="44"/>
      <c r="H215" s="44"/>
      <c r="I215" s="44"/>
      <c r="J215" s="44"/>
      <c r="K215" s="44"/>
      <c r="L215" s="44"/>
      <c r="M215" s="44"/>
      <c r="N215" s="44"/>
      <c r="O215" s="44"/>
    </row>
    <row r="216" spans="1:15" ht="17.25" customHeight="1">
      <c r="A216" s="44"/>
      <c r="B216" s="44"/>
      <c r="C216" s="44"/>
      <c r="D216" s="44"/>
      <c r="E216" s="44"/>
      <c r="F216" s="44"/>
      <c r="G216" s="44"/>
      <c r="H216" s="44"/>
      <c r="I216" s="44"/>
      <c r="J216" s="44"/>
      <c r="K216" s="44"/>
      <c r="L216" s="44"/>
      <c r="M216" s="44"/>
      <c r="N216" s="44"/>
      <c r="O216" s="44"/>
    </row>
    <row r="217" spans="1:15" ht="17.25" customHeight="1">
      <c r="A217" s="44"/>
      <c r="B217" s="44"/>
      <c r="C217" s="44"/>
      <c r="D217" s="44"/>
      <c r="E217" s="44"/>
      <c r="F217" s="44"/>
      <c r="G217" s="44"/>
      <c r="H217" s="44"/>
      <c r="I217" s="44"/>
      <c r="J217" s="44"/>
      <c r="K217" s="44"/>
      <c r="L217" s="44"/>
      <c r="M217" s="44"/>
      <c r="N217" s="44"/>
      <c r="O217" s="44"/>
    </row>
    <row r="218" spans="1:15" ht="17.25" customHeight="1">
      <c r="A218" s="44"/>
      <c r="B218" s="44"/>
      <c r="C218" s="44"/>
      <c r="D218" s="44"/>
      <c r="E218" s="44"/>
      <c r="F218" s="44"/>
      <c r="G218" s="44"/>
      <c r="H218" s="44"/>
      <c r="I218" s="44"/>
      <c r="J218" s="44"/>
      <c r="K218" s="44"/>
      <c r="L218" s="44"/>
      <c r="M218" s="44"/>
      <c r="N218" s="44"/>
      <c r="O218" s="44"/>
    </row>
    <row r="219" spans="1:15" ht="17.25" customHeight="1">
      <c r="A219" s="44"/>
      <c r="B219" s="44"/>
      <c r="C219" s="44"/>
      <c r="D219" s="44"/>
      <c r="E219" s="44"/>
      <c r="F219" s="44"/>
      <c r="G219" s="44"/>
      <c r="H219" s="44"/>
      <c r="I219" s="44"/>
      <c r="J219" s="44"/>
      <c r="K219" s="44"/>
      <c r="L219" s="44"/>
      <c r="M219" s="44"/>
      <c r="N219" s="44"/>
      <c r="O219" s="44"/>
    </row>
    <row r="220" spans="1:15" ht="17.25" customHeight="1">
      <c r="A220" s="44"/>
      <c r="B220" s="44"/>
      <c r="C220" s="44"/>
      <c r="D220" s="44"/>
      <c r="E220" s="44"/>
      <c r="F220" s="44"/>
      <c r="G220" s="44"/>
      <c r="H220" s="44"/>
      <c r="I220" s="44"/>
      <c r="J220" s="44"/>
      <c r="K220" s="44"/>
      <c r="L220" s="44"/>
      <c r="M220" s="44"/>
      <c r="N220" s="44"/>
      <c r="O220" s="44"/>
    </row>
    <row r="221" spans="1:15" ht="17.25" customHeight="1">
      <c r="A221" s="44"/>
      <c r="B221" s="44"/>
      <c r="C221" s="44"/>
      <c r="D221" s="44"/>
      <c r="E221" s="44"/>
      <c r="F221" s="44"/>
      <c r="G221" s="44"/>
      <c r="H221" s="44"/>
      <c r="I221" s="44"/>
      <c r="J221" s="44"/>
      <c r="K221" s="44"/>
      <c r="L221" s="44"/>
      <c r="M221" s="44"/>
      <c r="N221" s="44"/>
      <c r="O221" s="44"/>
    </row>
    <row r="222" spans="1:15" ht="17.25" customHeight="1">
      <c r="A222" s="44"/>
      <c r="B222" s="44"/>
      <c r="C222" s="44"/>
      <c r="D222" s="44"/>
      <c r="E222" s="44"/>
      <c r="F222" s="44"/>
      <c r="G222" s="44"/>
      <c r="H222" s="44"/>
      <c r="I222" s="44"/>
      <c r="J222" s="44"/>
      <c r="K222" s="44"/>
      <c r="L222" s="44"/>
      <c r="M222" s="44"/>
      <c r="N222" s="44"/>
      <c r="O222" s="44"/>
    </row>
    <row r="223" spans="1:15" ht="17.25" customHeight="1">
      <c r="A223" s="44"/>
      <c r="B223" s="44"/>
      <c r="C223" s="44"/>
      <c r="D223" s="44"/>
      <c r="E223" s="44"/>
      <c r="F223" s="44"/>
      <c r="G223" s="44"/>
      <c r="H223" s="44"/>
      <c r="I223" s="44"/>
      <c r="J223" s="44"/>
      <c r="K223" s="44"/>
      <c r="L223" s="44"/>
      <c r="M223" s="44"/>
      <c r="N223" s="44"/>
      <c r="O223" s="44"/>
    </row>
    <row r="224" spans="1:15" ht="17.25" customHeight="1">
      <c r="A224" s="44"/>
      <c r="B224" s="44"/>
      <c r="C224" s="44"/>
      <c r="D224" s="44"/>
      <c r="E224" s="44"/>
      <c r="F224" s="44"/>
      <c r="G224" s="44"/>
      <c r="H224" s="44"/>
      <c r="I224" s="44"/>
      <c r="J224" s="44"/>
      <c r="K224" s="44"/>
      <c r="L224" s="44"/>
      <c r="M224" s="44"/>
      <c r="N224" s="44"/>
      <c r="O224" s="44"/>
    </row>
    <row r="225" spans="1:15" ht="17.25" customHeight="1">
      <c r="A225" s="44"/>
      <c r="B225" s="44"/>
      <c r="C225" s="44"/>
      <c r="D225" s="44"/>
      <c r="E225" s="44"/>
      <c r="F225" s="44"/>
      <c r="G225" s="44"/>
      <c r="H225" s="44"/>
      <c r="I225" s="44"/>
      <c r="J225" s="44"/>
      <c r="K225" s="44"/>
      <c r="L225" s="44"/>
      <c r="M225" s="44"/>
      <c r="N225" s="44"/>
      <c r="O225" s="44"/>
    </row>
    <row r="226" spans="1:15" ht="17.25" customHeight="1">
      <c r="A226" s="44"/>
      <c r="B226" s="44"/>
      <c r="C226" s="44"/>
      <c r="D226" s="44"/>
      <c r="E226" s="44"/>
      <c r="F226" s="44"/>
      <c r="G226" s="44"/>
      <c r="H226" s="44"/>
      <c r="I226" s="44"/>
      <c r="J226" s="44"/>
      <c r="K226" s="44"/>
      <c r="L226" s="44"/>
      <c r="M226" s="44"/>
      <c r="N226" s="44"/>
      <c r="O226" s="44"/>
    </row>
    <row r="227" spans="1:15" ht="17.25" customHeight="1">
      <c r="A227" s="44"/>
      <c r="B227" s="44"/>
      <c r="C227" s="44"/>
      <c r="D227" s="44"/>
      <c r="E227" s="44"/>
      <c r="F227" s="44"/>
      <c r="G227" s="44"/>
      <c r="H227" s="44"/>
      <c r="I227" s="44"/>
      <c r="J227" s="44"/>
      <c r="K227" s="44"/>
      <c r="L227" s="44"/>
      <c r="M227" s="44"/>
      <c r="N227" s="44"/>
      <c r="O227" s="44"/>
    </row>
    <row r="228" spans="1:15" ht="17.25" customHeight="1">
      <c r="A228" s="44"/>
      <c r="B228" s="44"/>
      <c r="C228" s="44"/>
      <c r="D228" s="44"/>
      <c r="E228" s="44"/>
      <c r="F228" s="44"/>
      <c r="G228" s="44"/>
      <c r="H228" s="44"/>
      <c r="I228" s="44"/>
      <c r="J228" s="44"/>
      <c r="K228" s="44"/>
      <c r="L228" s="44"/>
      <c r="M228" s="44"/>
      <c r="N228" s="44"/>
      <c r="O228" s="44"/>
    </row>
    <row r="229" spans="1:15" ht="17.25" customHeight="1">
      <c r="A229" s="44"/>
      <c r="B229" s="44"/>
      <c r="C229" s="44"/>
      <c r="D229" s="44"/>
      <c r="E229" s="44"/>
      <c r="F229" s="44"/>
      <c r="G229" s="44"/>
      <c r="H229" s="44"/>
      <c r="I229" s="44"/>
      <c r="J229" s="44"/>
      <c r="K229" s="44"/>
      <c r="L229" s="44"/>
      <c r="M229" s="44"/>
      <c r="N229" s="44"/>
      <c r="O229" s="44"/>
    </row>
    <row r="230" spans="1:15" ht="17.25" customHeight="1">
      <c r="A230" s="44"/>
      <c r="B230" s="44"/>
      <c r="C230" s="44"/>
      <c r="D230" s="44"/>
      <c r="E230" s="44"/>
      <c r="F230" s="44"/>
      <c r="G230" s="44"/>
      <c r="H230" s="44"/>
      <c r="I230" s="44"/>
      <c r="J230" s="44"/>
      <c r="K230" s="44"/>
      <c r="L230" s="44"/>
      <c r="M230" s="44"/>
      <c r="N230" s="44"/>
      <c r="O230" s="44"/>
    </row>
    <row r="231" spans="1:15" ht="17.25" customHeight="1">
      <c r="A231" s="44"/>
      <c r="B231" s="44"/>
      <c r="C231" s="44"/>
      <c r="D231" s="44"/>
      <c r="E231" s="44"/>
      <c r="F231" s="44"/>
      <c r="G231" s="44"/>
      <c r="H231" s="44"/>
      <c r="I231" s="44"/>
      <c r="J231" s="44"/>
      <c r="K231" s="44"/>
      <c r="L231" s="44"/>
      <c r="M231" s="44"/>
      <c r="N231" s="44"/>
      <c r="O231" s="44"/>
    </row>
    <row r="232" spans="1:15" ht="17.25" customHeight="1">
      <c r="A232" s="44"/>
      <c r="B232" s="44"/>
      <c r="C232" s="44"/>
      <c r="D232" s="44"/>
      <c r="E232" s="44"/>
      <c r="F232" s="44"/>
      <c r="G232" s="44"/>
      <c r="H232" s="44"/>
      <c r="I232" s="44"/>
      <c r="J232" s="44"/>
      <c r="K232" s="44"/>
      <c r="L232" s="44"/>
      <c r="M232" s="44"/>
      <c r="N232" s="44"/>
      <c r="O232" s="44"/>
    </row>
    <row r="233" spans="1:15" ht="17.25" customHeight="1">
      <c r="A233" s="44"/>
      <c r="B233" s="44"/>
      <c r="C233" s="44"/>
      <c r="D233" s="44"/>
      <c r="E233" s="44"/>
      <c r="F233" s="44"/>
      <c r="G233" s="44"/>
      <c r="H233" s="44"/>
      <c r="I233" s="44"/>
      <c r="J233" s="44"/>
      <c r="K233" s="44"/>
      <c r="L233" s="44"/>
      <c r="M233" s="44"/>
      <c r="N233" s="44"/>
      <c r="O233" s="44"/>
    </row>
    <row r="234" spans="1:15" ht="17.25" customHeight="1">
      <c r="A234" s="44"/>
      <c r="B234" s="44"/>
      <c r="C234" s="44"/>
      <c r="D234" s="44"/>
      <c r="E234" s="44"/>
      <c r="F234" s="44"/>
      <c r="G234" s="44"/>
      <c r="H234" s="44"/>
      <c r="I234" s="44"/>
      <c r="J234" s="44"/>
      <c r="K234" s="44"/>
      <c r="L234" s="44"/>
      <c r="M234" s="44"/>
      <c r="N234" s="44"/>
      <c r="O234" s="44"/>
    </row>
    <row r="235" spans="1:15" ht="17.25" customHeight="1">
      <c r="A235" s="44"/>
      <c r="B235" s="44"/>
      <c r="C235" s="44"/>
      <c r="D235" s="44"/>
      <c r="E235" s="44"/>
      <c r="F235" s="44"/>
      <c r="G235" s="44"/>
      <c r="H235" s="44"/>
      <c r="I235" s="44"/>
      <c r="J235" s="44"/>
      <c r="K235" s="44"/>
      <c r="L235" s="44"/>
      <c r="M235" s="44"/>
      <c r="N235" s="44"/>
      <c r="O235" s="44"/>
    </row>
    <row r="236" spans="1:15" ht="17.25" customHeight="1">
      <c r="A236" s="44"/>
      <c r="B236" s="44"/>
      <c r="C236" s="44"/>
      <c r="D236" s="44"/>
      <c r="E236" s="44"/>
      <c r="F236" s="44"/>
      <c r="G236" s="44"/>
      <c r="H236" s="44"/>
      <c r="I236" s="44"/>
      <c r="J236" s="44"/>
      <c r="K236" s="44"/>
      <c r="L236" s="44"/>
      <c r="M236" s="44"/>
      <c r="N236" s="44"/>
      <c r="O236" s="44"/>
    </row>
    <row r="237" spans="1:15" ht="17.25" customHeight="1">
      <c r="A237" s="44"/>
      <c r="B237" s="44"/>
      <c r="C237" s="44"/>
      <c r="D237" s="44"/>
      <c r="E237" s="44"/>
      <c r="F237" s="44"/>
      <c r="G237" s="44"/>
      <c r="H237" s="44"/>
      <c r="I237" s="44"/>
      <c r="J237" s="44"/>
      <c r="K237" s="44"/>
      <c r="L237" s="44"/>
      <c r="M237" s="44"/>
      <c r="N237" s="44"/>
      <c r="O237" s="44"/>
    </row>
    <row r="238" spans="1:15" ht="17.25" customHeight="1">
      <c r="A238" s="44"/>
      <c r="B238" s="44"/>
      <c r="C238" s="44"/>
      <c r="D238" s="44"/>
      <c r="E238" s="44"/>
      <c r="F238" s="44"/>
      <c r="G238" s="44"/>
      <c r="H238" s="44"/>
      <c r="I238" s="44"/>
      <c r="J238" s="44"/>
      <c r="K238" s="44"/>
      <c r="L238" s="44"/>
      <c r="M238" s="44"/>
      <c r="N238" s="44"/>
      <c r="O238" s="44"/>
    </row>
    <row r="239" spans="1:15" ht="17.25" customHeight="1">
      <c r="A239" s="44"/>
      <c r="B239" s="44"/>
      <c r="C239" s="44"/>
      <c r="D239" s="44"/>
      <c r="E239" s="44"/>
      <c r="F239" s="44"/>
      <c r="G239" s="44"/>
      <c r="H239" s="44"/>
      <c r="I239" s="44"/>
      <c r="J239" s="44"/>
      <c r="K239" s="44"/>
      <c r="L239" s="44"/>
      <c r="M239" s="44"/>
      <c r="N239" s="44"/>
      <c r="O239" s="44"/>
    </row>
    <row r="240" spans="1:15" ht="17.25" customHeight="1">
      <c r="A240" s="44"/>
      <c r="B240" s="44"/>
      <c r="C240" s="44"/>
      <c r="D240" s="44"/>
      <c r="E240" s="44"/>
      <c r="F240" s="44"/>
      <c r="G240" s="44"/>
      <c r="H240" s="44"/>
      <c r="I240" s="44"/>
      <c r="J240" s="44"/>
      <c r="K240" s="44"/>
      <c r="L240" s="44"/>
      <c r="M240" s="44"/>
      <c r="N240" s="44"/>
      <c r="O240" s="44"/>
    </row>
    <row r="241" spans="1:15" ht="17.25" customHeight="1">
      <c r="A241" s="44"/>
      <c r="B241" s="44"/>
      <c r="C241" s="44"/>
      <c r="D241" s="44"/>
      <c r="E241" s="44"/>
      <c r="F241" s="44"/>
      <c r="G241" s="44"/>
      <c r="H241" s="44"/>
      <c r="I241" s="44"/>
      <c r="J241" s="44"/>
      <c r="K241" s="44"/>
      <c r="L241" s="44"/>
      <c r="M241" s="44"/>
      <c r="N241" s="44"/>
      <c r="O241" s="44"/>
    </row>
    <row r="242" spans="1:15" ht="17.25" customHeight="1">
      <c r="A242" s="44"/>
      <c r="B242" s="44"/>
      <c r="C242" s="44"/>
      <c r="D242" s="44"/>
      <c r="E242" s="44"/>
      <c r="F242" s="44"/>
      <c r="G242" s="44"/>
      <c r="H242" s="44"/>
      <c r="I242" s="44"/>
      <c r="J242" s="44"/>
      <c r="K242" s="44"/>
      <c r="L242" s="44"/>
      <c r="M242" s="44"/>
      <c r="N242" s="44"/>
      <c r="O242" s="44"/>
    </row>
    <row r="243" spans="1:15" ht="17.25" customHeight="1">
      <c r="A243" s="44"/>
      <c r="B243" s="44"/>
      <c r="C243" s="44"/>
      <c r="D243" s="44"/>
      <c r="E243" s="44"/>
      <c r="F243" s="44"/>
      <c r="G243" s="44"/>
      <c r="H243" s="44"/>
      <c r="I243" s="44"/>
      <c r="J243" s="44"/>
      <c r="K243" s="44"/>
      <c r="L243" s="44"/>
      <c r="M243" s="44"/>
      <c r="N243" s="44"/>
      <c r="O243" s="44"/>
    </row>
    <row r="244" spans="1:15" ht="17.25" customHeight="1">
      <c r="A244" s="44"/>
      <c r="B244" s="44"/>
      <c r="C244" s="44"/>
      <c r="D244" s="44"/>
      <c r="E244" s="44"/>
      <c r="F244" s="44"/>
      <c r="G244" s="44"/>
      <c r="H244" s="44"/>
      <c r="I244" s="44"/>
      <c r="J244" s="44"/>
      <c r="K244" s="44"/>
      <c r="L244" s="44"/>
      <c r="M244" s="44"/>
      <c r="N244" s="44"/>
      <c r="O244" s="44"/>
    </row>
    <row r="245" spans="1:15" ht="17.25" customHeight="1">
      <c r="A245" s="44"/>
      <c r="B245" s="44"/>
      <c r="C245" s="44"/>
      <c r="D245" s="44"/>
      <c r="E245" s="44"/>
      <c r="F245" s="44"/>
      <c r="G245" s="44"/>
      <c r="H245" s="44"/>
      <c r="I245" s="44"/>
      <c r="J245" s="44"/>
      <c r="K245" s="44"/>
      <c r="L245" s="44"/>
      <c r="M245" s="44"/>
      <c r="N245" s="44"/>
      <c r="O245" s="44"/>
    </row>
    <row r="246" spans="1:15" ht="17.25" customHeight="1">
      <c r="A246" s="44"/>
      <c r="B246" s="44"/>
      <c r="C246" s="44"/>
      <c r="D246" s="44"/>
      <c r="E246" s="44"/>
      <c r="F246" s="44"/>
      <c r="G246" s="44"/>
      <c r="H246" s="44"/>
      <c r="I246" s="44"/>
      <c r="J246" s="44"/>
      <c r="K246" s="44"/>
      <c r="L246" s="44"/>
      <c r="M246" s="44"/>
      <c r="N246" s="44"/>
      <c r="O246" s="44"/>
    </row>
    <row r="247" spans="1:15" ht="17.25" customHeight="1">
      <c r="A247" s="44"/>
      <c r="B247" s="44"/>
      <c r="C247" s="44"/>
      <c r="D247" s="44"/>
      <c r="E247" s="44"/>
      <c r="F247" s="44"/>
      <c r="G247" s="44"/>
      <c r="H247" s="44"/>
      <c r="I247" s="44"/>
      <c r="J247" s="44"/>
      <c r="K247" s="44"/>
      <c r="L247" s="44"/>
      <c r="M247" s="44"/>
      <c r="N247" s="44"/>
      <c r="O247" s="44"/>
    </row>
    <row r="248" spans="1:15" ht="17.25" customHeight="1">
      <c r="A248" s="44"/>
      <c r="B248" s="44"/>
      <c r="C248" s="44"/>
      <c r="D248" s="44"/>
      <c r="E248" s="44"/>
      <c r="F248" s="44"/>
      <c r="G248" s="44"/>
      <c r="H248" s="44"/>
      <c r="I248" s="44"/>
      <c r="J248" s="44"/>
      <c r="K248" s="44"/>
      <c r="L248" s="44"/>
      <c r="M248" s="44"/>
      <c r="N248" s="44"/>
      <c r="O248" s="44"/>
    </row>
    <row r="249" spans="1:15" ht="17.25" customHeight="1">
      <c r="A249" s="44"/>
      <c r="B249" s="44"/>
      <c r="C249" s="44"/>
      <c r="D249" s="44"/>
      <c r="E249" s="44"/>
      <c r="F249" s="44"/>
      <c r="G249" s="44"/>
      <c r="H249" s="44"/>
      <c r="I249" s="44"/>
      <c r="J249" s="44"/>
      <c r="K249" s="44"/>
      <c r="L249" s="44"/>
      <c r="M249" s="44"/>
      <c r="N249" s="44"/>
      <c r="O249" s="44"/>
    </row>
    <row r="250" spans="1:15" ht="17.25" customHeight="1">
      <c r="A250" s="44"/>
      <c r="B250" s="44"/>
      <c r="C250" s="44"/>
      <c r="D250" s="44"/>
      <c r="E250" s="44"/>
      <c r="F250" s="44"/>
      <c r="G250" s="44"/>
      <c r="H250" s="44"/>
      <c r="I250" s="44"/>
      <c r="J250" s="44"/>
      <c r="K250" s="44"/>
      <c r="L250" s="44"/>
      <c r="M250" s="44"/>
      <c r="N250" s="44"/>
      <c r="O250" s="44"/>
    </row>
    <row r="251" spans="1:15" ht="17.25" customHeight="1">
      <c r="A251" s="44"/>
      <c r="B251" s="44"/>
      <c r="C251" s="44"/>
      <c r="D251" s="44"/>
      <c r="E251" s="44"/>
      <c r="F251" s="44"/>
      <c r="G251" s="44"/>
      <c r="H251" s="44"/>
      <c r="I251" s="44"/>
      <c r="J251" s="44"/>
      <c r="K251" s="44"/>
      <c r="L251" s="44"/>
      <c r="M251" s="44"/>
      <c r="N251" s="44"/>
      <c r="O251" s="44"/>
    </row>
    <row r="252" spans="1:15" ht="17.25" customHeight="1">
      <c r="A252" s="44"/>
      <c r="B252" s="44"/>
      <c r="C252" s="44"/>
      <c r="D252" s="44"/>
      <c r="E252" s="44"/>
      <c r="F252" s="44"/>
      <c r="G252" s="44"/>
      <c r="H252" s="44"/>
      <c r="I252" s="44"/>
      <c r="J252" s="44"/>
      <c r="K252" s="44"/>
      <c r="L252" s="44"/>
      <c r="M252" s="44"/>
      <c r="N252" s="44"/>
      <c r="O252" s="44"/>
    </row>
    <row r="253" spans="1:15" ht="17.25" customHeight="1">
      <c r="A253" s="44"/>
      <c r="B253" s="44"/>
      <c r="C253" s="44"/>
      <c r="D253" s="44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4"/>
    </row>
    <row r="254" spans="1:15" ht="17.25" customHeight="1">
      <c r="A254" s="44"/>
      <c r="B254" s="44"/>
      <c r="C254" s="44"/>
      <c r="D254" s="44"/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O254" s="44"/>
    </row>
    <row r="255" spans="1:15" ht="17.25" customHeight="1">
      <c r="A255" s="44"/>
      <c r="B255" s="44"/>
      <c r="C255" s="44"/>
      <c r="D255" s="44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</row>
    <row r="256" spans="1:15" ht="17.25" customHeight="1">
      <c r="A256" s="44"/>
      <c r="B256" s="44"/>
      <c r="C256" s="44"/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</row>
    <row r="257" spans="1:15" ht="17.25" customHeight="1">
      <c r="A257" s="44"/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</row>
    <row r="258" spans="1:15" ht="17.25" customHeight="1">
      <c r="A258" s="44"/>
      <c r="B258" s="44"/>
      <c r="C258" s="44"/>
      <c r="D258" s="44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</row>
    <row r="259" spans="1:15" ht="17.25" customHeight="1">
      <c r="A259" s="44"/>
      <c r="B259" s="44"/>
      <c r="C259" s="44"/>
      <c r="D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</row>
    <row r="260" spans="1:15" ht="17.25" customHeight="1">
      <c r="A260" s="44"/>
      <c r="B260" s="44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</row>
    <row r="261" spans="1:15" ht="17.25" customHeight="1">
      <c r="A261" s="44"/>
      <c r="B261" s="44"/>
      <c r="C261" s="44"/>
      <c r="D261" s="44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</row>
    <row r="262" spans="1:15" ht="17.25" customHeight="1">
      <c r="A262" s="44"/>
      <c r="B262" s="44"/>
      <c r="C262" s="44"/>
      <c r="D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</row>
    <row r="263" spans="1:15" ht="17.25" customHeight="1">
      <c r="A263" s="44"/>
      <c r="B263" s="44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</row>
    <row r="264" spans="1:15" ht="17.25" customHeight="1">
      <c r="A264" s="44"/>
      <c r="B264" s="44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</row>
    <row r="265" spans="1:15" ht="17.25" customHeight="1">
      <c r="A265" s="44"/>
      <c r="B265" s="44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</row>
    <row r="266" spans="1:15" ht="17.25" customHeight="1">
      <c r="A266" s="44"/>
      <c r="B266" s="44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</row>
    <row r="267" spans="1:15" ht="17.25" customHeight="1">
      <c r="A267" s="44"/>
      <c r="B267" s="44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</row>
    <row r="268" spans="1:15" ht="17.25" customHeight="1">
      <c r="A268" s="44"/>
      <c r="B268" s="44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</row>
    <row r="269" spans="1:15" ht="17.25" customHeight="1">
      <c r="A269" s="44"/>
      <c r="B269" s="44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</row>
    <row r="270" spans="1:15" ht="17.25" customHeight="1">
      <c r="A270" s="44"/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</row>
    <row r="271" spans="1:15" ht="17.25" customHeight="1">
      <c r="A271" s="44"/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</row>
    <row r="272" spans="1:15" ht="17.25" customHeight="1">
      <c r="A272" s="44"/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</row>
    <row r="273" spans="1:15" ht="17.25" customHeight="1">
      <c r="A273" s="44"/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</row>
    <row r="274" spans="1:15" ht="17.25" customHeight="1">
      <c r="A274" s="44"/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</row>
    <row r="275" spans="1:15" ht="17.25" customHeight="1">
      <c r="A275" s="44"/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</row>
    <row r="276" spans="1:15" ht="17.25" customHeight="1">
      <c r="A276" s="44"/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</row>
    <row r="277" spans="1:15" ht="17.25" customHeight="1">
      <c r="A277" s="44"/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</row>
    <row r="278" spans="1:15" ht="17.25" customHeight="1">
      <c r="A278" s="44"/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</row>
    <row r="279" spans="1:15" ht="17.25" customHeight="1">
      <c r="A279" s="44"/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</row>
    <row r="280" spans="1:15" ht="17.25" customHeight="1">
      <c r="A280" s="44"/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</row>
    <row r="281" spans="1:15" ht="17.25" customHeight="1">
      <c r="A281" s="44"/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</row>
    <row r="282" spans="1:15" ht="17.25" customHeight="1">
      <c r="A282" s="44"/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</row>
    <row r="283" spans="1:15" ht="17.25" customHeight="1">
      <c r="A283" s="44"/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</row>
    <row r="284" spans="1:15" ht="17.25" customHeight="1">
      <c r="A284" s="44"/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</row>
    <row r="285" spans="1:15" ht="17.25" customHeight="1">
      <c r="A285" s="44"/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</row>
    <row r="286" spans="1:15" ht="17.25" customHeight="1">
      <c r="A286" s="44"/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</row>
    <row r="287" spans="1:15" ht="17.25" customHeight="1">
      <c r="A287" s="44"/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</row>
    <row r="288" spans="1:15" ht="17.25" customHeight="1">
      <c r="A288" s="44"/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</row>
    <row r="289" spans="1:15" ht="17.25" customHeight="1">
      <c r="A289" s="44"/>
      <c r="B289" s="44"/>
      <c r="C289" s="44"/>
      <c r="D289" s="44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</row>
    <row r="290" spans="1:15" ht="17.25" customHeight="1">
      <c r="A290" s="44"/>
      <c r="B290" s="44"/>
      <c r="C290" s="44"/>
      <c r="D290" s="44"/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44"/>
    </row>
    <row r="291" spans="1:15" ht="17.25" customHeight="1">
      <c r="A291" s="44"/>
      <c r="B291" s="44"/>
      <c r="C291" s="44"/>
      <c r="D291" s="44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</row>
    <row r="292" spans="1:15" ht="17.25" customHeight="1">
      <c r="A292" s="44"/>
      <c r="B292" s="44"/>
      <c r="C292" s="44"/>
      <c r="D292" s="44"/>
      <c r="E292" s="44"/>
      <c r="F292" s="44"/>
      <c r="G292" s="44"/>
      <c r="H292" s="44"/>
      <c r="I292" s="44"/>
      <c r="J292" s="44"/>
      <c r="K292" s="44"/>
      <c r="L292" s="44"/>
      <c r="M292" s="44"/>
      <c r="N292" s="44"/>
      <c r="O292" s="44"/>
    </row>
    <row r="293" spans="1:15" ht="17.25" customHeight="1">
      <c r="A293" s="44"/>
      <c r="B293" s="44"/>
      <c r="C293" s="44"/>
      <c r="D293" s="44"/>
      <c r="E293" s="44"/>
      <c r="F293" s="44"/>
      <c r="G293" s="44"/>
      <c r="H293" s="44"/>
      <c r="I293" s="44"/>
      <c r="J293" s="44"/>
      <c r="K293" s="44"/>
      <c r="L293" s="44"/>
      <c r="M293" s="44"/>
      <c r="N293" s="44"/>
      <c r="O293" s="44"/>
    </row>
    <row r="294" spans="1:15" ht="17.25" customHeight="1">
      <c r="A294" s="44"/>
      <c r="B294" s="44"/>
      <c r="C294" s="44"/>
      <c r="D294" s="44"/>
      <c r="E294" s="44"/>
      <c r="F294" s="44"/>
      <c r="G294" s="44"/>
      <c r="H294" s="44"/>
      <c r="I294" s="44"/>
      <c r="J294" s="44"/>
      <c r="K294" s="44"/>
      <c r="L294" s="44"/>
      <c r="M294" s="44"/>
      <c r="N294" s="44"/>
      <c r="O294" s="44"/>
    </row>
    <row r="295" spans="1:15" ht="17.25" customHeight="1">
      <c r="A295" s="44"/>
      <c r="B295" s="44"/>
      <c r="C295" s="44"/>
      <c r="D295" s="44"/>
      <c r="E295" s="44"/>
      <c r="F295" s="44"/>
      <c r="G295" s="44"/>
      <c r="H295" s="44"/>
      <c r="I295" s="44"/>
      <c r="J295" s="44"/>
      <c r="K295" s="44"/>
      <c r="L295" s="44"/>
      <c r="M295" s="44"/>
      <c r="N295" s="44"/>
      <c r="O295" s="44"/>
    </row>
    <row r="296" spans="1:15" ht="17.25" customHeight="1">
      <c r="A296" s="44"/>
      <c r="B296" s="44"/>
      <c r="C296" s="44"/>
      <c r="D296" s="44"/>
      <c r="E296" s="44"/>
      <c r="F296" s="44"/>
      <c r="G296" s="44"/>
      <c r="H296" s="44"/>
      <c r="I296" s="44"/>
      <c r="J296" s="44"/>
      <c r="K296" s="44"/>
      <c r="L296" s="44"/>
      <c r="M296" s="44"/>
      <c r="N296" s="44"/>
      <c r="O296" s="44"/>
    </row>
    <row r="297" spans="1:15" ht="17.25" customHeight="1">
      <c r="A297" s="44"/>
      <c r="B297" s="44"/>
      <c r="C297" s="44"/>
      <c r="D297" s="44"/>
      <c r="E297" s="44"/>
      <c r="F297" s="44"/>
      <c r="G297" s="44"/>
      <c r="H297" s="44"/>
      <c r="I297" s="44"/>
      <c r="J297" s="44"/>
      <c r="K297" s="44"/>
      <c r="L297" s="44"/>
      <c r="M297" s="44"/>
      <c r="N297" s="44"/>
      <c r="O297" s="44"/>
    </row>
    <row r="298" spans="1:15" ht="17.25" customHeight="1">
      <c r="A298" s="44"/>
      <c r="B298" s="44"/>
      <c r="C298" s="44"/>
      <c r="D298" s="44"/>
      <c r="E298" s="44"/>
      <c r="F298" s="44"/>
      <c r="G298" s="44"/>
      <c r="H298" s="44"/>
      <c r="I298" s="44"/>
      <c r="J298" s="44"/>
      <c r="K298" s="44"/>
      <c r="L298" s="44"/>
      <c r="M298" s="44"/>
      <c r="N298" s="44"/>
      <c r="O298" s="44"/>
    </row>
    <row r="299" spans="1:15" ht="17.25" customHeight="1">
      <c r="A299" s="44"/>
      <c r="B299" s="44"/>
      <c r="C299" s="44"/>
      <c r="D299" s="44"/>
      <c r="E299" s="44"/>
      <c r="F299" s="44"/>
      <c r="G299" s="44"/>
      <c r="H299" s="44"/>
      <c r="I299" s="44"/>
      <c r="J299" s="44"/>
      <c r="K299" s="44"/>
      <c r="L299" s="44"/>
      <c r="M299" s="44"/>
      <c r="N299" s="44"/>
      <c r="O299" s="44"/>
    </row>
    <row r="300" spans="1:15" ht="17.25" customHeight="1">
      <c r="A300" s="44"/>
      <c r="B300" s="44"/>
      <c r="C300" s="44"/>
      <c r="D300" s="44"/>
      <c r="E300" s="44"/>
      <c r="F300" s="44"/>
      <c r="G300" s="44"/>
      <c r="H300" s="44"/>
      <c r="I300" s="44"/>
      <c r="J300" s="44"/>
      <c r="K300" s="44"/>
      <c r="L300" s="44"/>
      <c r="M300" s="44"/>
      <c r="N300" s="44"/>
      <c r="O300" s="44"/>
    </row>
    <row r="301" spans="1:15" ht="17.25" customHeight="1">
      <c r="A301" s="44"/>
      <c r="B301" s="44"/>
      <c r="C301" s="44"/>
      <c r="D301" s="44"/>
      <c r="E301" s="44"/>
      <c r="F301" s="44"/>
      <c r="G301" s="44"/>
      <c r="H301" s="44"/>
      <c r="I301" s="44"/>
      <c r="J301" s="44"/>
      <c r="K301" s="44"/>
      <c r="L301" s="44"/>
      <c r="M301" s="44"/>
      <c r="N301" s="44"/>
      <c r="O301" s="44"/>
    </row>
    <row r="302" spans="1:15" ht="17.25" customHeight="1">
      <c r="A302" s="44"/>
      <c r="B302" s="44"/>
      <c r="C302" s="44"/>
      <c r="D302" s="44"/>
      <c r="E302" s="44"/>
      <c r="F302" s="44"/>
      <c r="G302" s="44"/>
      <c r="H302" s="44"/>
      <c r="I302" s="44"/>
      <c r="J302" s="44"/>
      <c r="K302" s="44"/>
      <c r="L302" s="44"/>
      <c r="M302" s="44"/>
      <c r="N302" s="44"/>
      <c r="O302" s="44"/>
    </row>
    <row r="303" spans="1:15" ht="17.25" customHeight="1">
      <c r="A303" s="44"/>
      <c r="B303" s="44"/>
      <c r="C303" s="44"/>
      <c r="D303" s="44"/>
      <c r="E303" s="44"/>
      <c r="F303" s="44"/>
      <c r="G303" s="44"/>
      <c r="H303" s="44"/>
      <c r="I303" s="44"/>
      <c r="J303" s="44"/>
      <c r="K303" s="44"/>
      <c r="L303" s="44"/>
      <c r="M303" s="44"/>
      <c r="N303" s="44"/>
      <c r="O303" s="44"/>
    </row>
    <row r="304" spans="1:15" ht="17.25" customHeight="1">
      <c r="A304" s="44"/>
      <c r="B304" s="44"/>
      <c r="C304" s="44"/>
      <c r="D304" s="44"/>
      <c r="E304" s="44"/>
      <c r="F304" s="44"/>
      <c r="G304" s="44"/>
      <c r="H304" s="44"/>
      <c r="I304" s="44"/>
      <c r="J304" s="44"/>
      <c r="K304" s="44"/>
      <c r="L304" s="44"/>
      <c r="M304" s="44"/>
      <c r="N304" s="44"/>
      <c r="O304" s="44"/>
    </row>
    <row r="305" spans="1:15" ht="17.25" customHeight="1">
      <c r="A305" s="44"/>
      <c r="B305" s="44"/>
      <c r="C305" s="44"/>
      <c r="D305" s="44"/>
      <c r="E305" s="44"/>
      <c r="F305" s="44"/>
      <c r="G305" s="44"/>
      <c r="H305" s="44"/>
      <c r="I305" s="44"/>
      <c r="J305" s="44"/>
      <c r="K305" s="44"/>
      <c r="L305" s="44"/>
      <c r="M305" s="44"/>
      <c r="N305" s="44"/>
      <c r="O305" s="44"/>
    </row>
    <row r="306" spans="1:15" ht="17.25" customHeight="1">
      <c r="A306" s="44"/>
      <c r="B306" s="44"/>
      <c r="C306" s="44"/>
      <c r="D306" s="44"/>
      <c r="E306" s="44"/>
      <c r="F306" s="44"/>
      <c r="G306" s="44"/>
      <c r="H306" s="44"/>
      <c r="I306" s="44"/>
      <c r="J306" s="44"/>
      <c r="K306" s="44"/>
      <c r="L306" s="44"/>
      <c r="M306" s="44"/>
      <c r="N306" s="44"/>
      <c r="O306" s="44"/>
    </row>
    <row r="307" spans="1:15" ht="17.25" customHeight="1">
      <c r="A307" s="44"/>
      <c r="B307" s="44"/>
      <c r="C307" s="44"/>
      <c r="D307" s="44"/>
      <c r="E307" s="44"/>
      <c r="F307" s="44"/>
      <c r="G307" s="44"/>
      <c r="H307" s="44"/>
      <c r="I307" s="44"/>
      <c r="J307" s="44"/>
      <c r="K307" s="44"/>
      <c r="L307" s="44"/>
      <c r="M307" s="44"/>
      <c r="N307" s="44"/>
      <c r="O307" s="44"/>
    </row>
    <row r="308" spans="1:15" ht="17.25" customHeight="1">
      <c r="A308" s="44"/>
      <c r="B308" s="44"/>
      <c r="C308" s="44"/>
      <c r="D308" s="44"/>
      <c r="E308" s="44"/>
      <c r="F308" s="44"/>
      <c r="G308" s="44"/>
      <c r="H308" s="44"/>
      <c r="I308" s="44"/>
      <c r="J308" s="44"/>
      <c r="K308" s="44"/>
      <c r="L308" s="44"/>
      <c r="M308" s="44"/>
      <c r="N308" s="44"/>
      <c r="O308" s="44"/>
    </row>
    <row r="309" spans="1:15" ht="17.25" customHeight="1">
      <c r="A309" s="44"/>
      <c r="B309" s="44"/>
      <c r="C309" s="44"/>
      <c r="D309" s="44"/>
      <c r="E309" s="44"/>
      <c r="F309" s="44"/>
      <c r="G309" s="44"/>
      <c r="H309" s="44"/>
      <c r="I309" s="44"/>
      <c r="J309" s="44"/>
      <c r="K309" s="44"/>
      <c r="L309" s="44"/>
      <c r="M309" s="44"/>
      <c r="N309" s="44"/>
      <c r="O309" s="44"/>
    </row>
    <row r="310" spans="1:15" ht="17.25" customHeight="1">
      <c r="A310" s="44"/>
      <c r="B310" s="44"/>
      <c r="C310" s="44"/>
      <c r="D310" s="44"/>
      <c r="E310" s="44"/>
      <c r="F310" s="44"/>
      <c r="G310" s="44"/>
      <c r="H310" s="44"/>
      <c r="I310" s="44"/>
      <c r="J310" s="44"/>
      <c r="K310" s="44"/>
      <c r="L310" s="44"/>
      <c r="M310" s="44"/>
      <c r="N310" s="44"/>
      <c r="O310" s="44"/>
    </row>
    <row r="311" spans="1:15" ht="17.25" customHeight="1">
      <c r="A311" s="44"/>
      <c r="B311" s="44"/>
      <c r="C311" s="44"/>
      <c r="D311" s="44"/>
      <c r="E311" s="44"/>
      <c r="F311" s="44"/>
      <c r="G311" s="44"/>
      <c r="H311" s="44"/>
      <c r="I311" s="44"/>
      <c r="J311" s="44"/>
      <c r="K311" s="44"/>
      <c r="L311" s="44"/>
      <c r="M311" s="44"/>
      <c r="N311" s="44"/>
      <c r="O311" s="44"/>
    </row>
    <row r="312" spans="1:15" ht="17.25" customHeight="1">
      <c r="A312" s="44"/>
      <c r="B312" s="44"/>
      <c r="C312" s="44"/>
      <c r="D312" s="44"/>
      <c r="E312" s="44"/>
      <c r="F312" s="44"/>
      <c r="G312" s="44"/>
      <c r="H312" s="44"/>
      <c r="I312" s="44"/>
      <c r="J312" s="44"/>
      <c r="K312" s="44"/>
      <c r="L312" s="44"/>
      <c r="M312" s="44"/>
      <c r="N312" s="44"/>
      <c r="O312" s="44"/>
    </row>
    <row r="313" spans="1:15" ht="17.25" customHeight="1">
      <c r="A313" s="44"/>
      <c r="B313" s="44"/>
      <c r="C313" s="44"/>
      <c r="D313" s="44"/>
      <c r="E313" s="44"/>
      <c r="F313" s="44"/>
      <c r="G313" s="44"/>
      <c r="H313" s="44"/>
      <c r="I313" s="44"/>
      <c r="J313" s="44"/>
      <c r="K313" s="44"/>
      <c r="L313" s="44"/>
      <c r="M313" s="44"/>
      <c r="N313" s="44"/>
      <c r="O313" s="44"/>
    </row>
    <row r="314" spans="1:15" ht="17.25" customHeight="1">
      <c r="A314" s="44"/>
      <c r="B314" s="44"/>
      <c r="C314" s="44"/>
      <c r="D314" s="44"/>
      <c r="E314" s="44"/>
      <c r="F314" s="44"/>
      <c r="G314" s="44"/>
      <c r="H314" s="44"/>
      <c r="I314" s="44"/>
      <c r="J314" s="44"/>
      <c r="K314" s="44"/>
      <c r="L314" s="44"/>
      <c r="M314" s="44"/>
      <c r="N314" s="44"/>
      <c r="O314" s="44"/>
    </row>
    <row r="315" spans="1:15" ht="17.25" customHeight="1">
      <c r="A315" s="44"/>
      <c r="B315" s="44"/>
      <c r="C315" s="44"/>
      <c r="D315" s="44"/>
      <c r="E315" s="44"/>
      <c r="F315" s="44"/>
      <c r="G315" s="44"/>
      <c r="H315" s="44"/>
      <c r="I315" s="44"/>
      <c r="J315" s="44"/>
      <c r="K315" s="44"/>
      <c r="L315" s="44"/>
      <c r="M315" s="44"/>
      <c r="N315" s="44"/>
      <c r="O315" s="44"/>
    </row>
    <row r="316" spans="1:15" ht="17.25" customHeight="1">
      <c r="A316" s="44"/>
      <c r="B316" s="44"/>
      <c r="C316" s="44"/>
      <c r="D316" s="44"/>
      <c r="E316" s="44"/>
      <c r="F316" s="44"/>
      <c r="G316" s="44"/>
      <c r="H316" s="44"/>
      <c r="I316" s="44"/>
      <c r="J316" s="44"/>
      <c r="K316" s="44"/>
      <c r="L316" s="44"/>
      <c r="M316" s="44"/>
      <c r="N316" s="44"/>
      <c r="O316" s="44"/>
    </row>
    <row r="317" spans="1:15" ht="17.25" customHeight="1">
      <c r="A317" s="44"/>
      <c r="B317" s="44"/>
      <c r="C317" s="44"/>
      <c r="D317" s="44"/>
      <c r="E317" s="44"/>
      <c r="F317" s="44"/>
      <c r="G317" s="44"/>
      <c r="H317" s="44"/>
      <c r="I317" s="44"/>
      <c r="J317" s="44"/>
      <c r="K317" s="44"/>
      <c r="L317" s="44"/>
      <c r="M317" s="44"/>
      <c r="N317" s="44"/>
      <c r="O317" s="44"/>
    </row>
    <row r="318" spans="1:15" ht="17.25" customHeight="1">
      <c r="A318" s="44"/>
      <c r="B318" s="44"/>
      <c r="C318" s="44"/>
      <c r="D318" s="44"/>
      <c r="E318" s="44"/>
      <c r="F318" s="44"/>
      <c r="G318" s="44"/>
      <c r="H318" s="44"/>
      <c r="I318" s="44"/>
      <c r="J318" s="44"/>
      <c r="K318" s="44"/>
      <c r="L318" s="44"/>
      <c r="M318" s="44"/>
      <c r="N318" s="44"/>
      <c r="O318" s="44"/>
    </row>
    <row r="319" spans="1:15" ht="17.25" customHeight="1">
      <c r="A319" s="44"/>
      <c r="B319" s="44"/>
      <c r="C319" s="44"/>
      <c r="D319" s="44"/>
      <c r="E319" s="44"/>
      <c r="F319" s="44"/>
      <c r="G319" s="44"/>
      <c r="H319" s="44"/>
      <c r="I319" s="44"/>
      <c r="J319" s="44"/>
      <c r="K319" s="44"/>
      <c r="L319" s="44"/>
      <c r="M319" s="44"/>
      <c r="N319" s="44"/>
      <c r="O319" s="44"/>
    </row>
    <row r="320" spans="1:15" ht="17.25" customHeight="1">
      <c r="A320" s="44"/>
      <c r="B320" s="44"/>
      <c r="C320" s="44"/>
      <c r="D320" s="44"/>
      <c r="E320" s="44"/>
      <c r="F320" s="44"/>
      <c r="G320" s="44"/>
      <c r="H320" s="44"/>
      <c r="I320" s="44"/>
      <c r="J320" s="44"/>
      <c r="K320" s="44"/>
      <c r="L320" s="44"/>
      <c r="M320" s="44"/>
      <c r="N320" s="44"/>
      <c r="O320" s="44"/>
    </row>
    <row r="321" spans="1:15" ht="17.25" customHeight="1">
      <c r="A321" s="44"/>
      <c r="B321" s="44"/>
      <c r="C321" s="44"/>
      <c r="D321" s="44"/>
      <c r="E321" s="44"/>
      <c r="F321" s="44"/>
      <c r="G321" s="44"/>
      <c r="H321" s="44"/>
      <c r="I321" s="44"/>
      <c r="J321" s="44"/>
      <c r="K321" s="44"/>
      <c r="L321" s="44"/>
      <c r="M321" s="44"/>
      <c r="N321" s="44"/>
      <c r="O321" s="44"/>
    </row>
    <row r="322" spans="1:15" ht="17.25" customHeight="1">
      <c r="A322" s="44"/>
      <c r="B322" s="44"/>
      <c r="C322" s="44"/>
      <c r="D322" s="44"/>
      <c r="E322" s="44"/>
      <c r="F322" s="44"/>
      <c r="G322" s="44"/>
      <c r="H322" s="44"/>
      <c r="I322" s="44"/>
      <c r="J322" s="44"/>
      <c r="K322" s="44"/>
      <c r="L322" s="44"/>
      <c r="M322" s="44"/>
      <c r="N322" s="44"/>
      <c r="O322" s="44"/>
    </row>
    <row r="323" spans="1:15" ht="17.25" customHeight="1">
      <c r="A323" s="44"/>
      <c r="B323" s="44"/>
      <c r="C323" s="44"/>
      <c r="D323" s="44"/>
      <c r="E323" s="44"/>
      <c r="F323" s="44"/>
      <c r="G323" s="44"/>
      <c r="H323" s="44"/>
      <c r="I323" s="44"/>
      <c r="J323" s="44"/>
      <c r="K323" s="44"/>
      <c r="L323" s="44"/>
      <c r="M323" s="44"/>
      <c r="N323" s="44"/>
      <c r="O323" s="44"/>
    </row>
    <row r="324" spans="1:15" ht="17.25" customHeight="1">
      <c r="A324" s="44"/>
      <c r="B324" s="44"/>
      <c r="C324" s="44"/>
      <c r="D324" s="44"/>
      <c r="E324" s="44"/>
      <c r="F324" s="44"/>
      <c r="G324" s="44"/>
      <c r="H324" s="44"/>
      <c r="I324" s="44"/>
      <c r="J324" s="44"/>
      <c r="K324" s="44"/>
      <c r="L324" s="44"/>
      <c r="M324" s="44"/>
      <c r="N324" s="44"/>
      <c r="O324" s="44"/>
    </row>
    <row r="325" spans="1:15" ht="17.25" customHeight="1">
      <c r="A325" s="44"/>
      <c r="B325" s="44"/>
      <c r="C325" s="44"/>
      <c r="D325" s="44"/>
      <c r="E325" s="44"/>
      <c r="F325" s="44"/>
      <c r="G325" s="44"/>
      <c r="H325" s="44"/>
      <c r="I325" s="44"/>
      <c r="J325" s="44"/>
      <c r="K325" s="44"/>
      <c r="L325" s="44"/>
      <c r="M325" s="44"/>
      <c r="N325" s="44"/>
      <c r="O325" s="44"/>
    </row>
    <row r="326" spans="1:15" ht="17.25" customHeight="1">
      <c r="A326" s="44"/>
      <c r="B326" s="44"/>
      <c r="C326" s="44"/>
      <c r="D326" s="44"/>
      <c r="E326" s="44"/>
      <c r="F326" s="44"/>
      <c r="G326" s="44"/>
      <c r="H326" s="44"/>
      <c r="I326" s="44"/>
      <c r="J326" s="44"/>
      <c r="K326" s="44"/>
      <c r="L326" s="44"/>
      <c r="M326" s="44"/>
      <c r="N326" s="44"/>
      <c r="O326" s="44"/>
    </row>
    <row r="327" spans="1:15" ht="17.25" customHeight="1">
      <c r="A327" s="44"/>
      <c r="B327" s="44"/>
      <c r="C327" s="44"/>
      <c r="D327" s="44"/>
      <c r="E327" s="44"/>
      <c r="F327" s="44"/>
      <c r="G327" s="44"/>
      <c r="H327" s="44"/>
      <c r="I327" s="44"/>
      <c r="J327" s="44"/>
      <c r="K327" s="44"/>
      <c r="L327" s="44"/>
      <c r="M327" s="44"/>
      <c r="N327" s="44"/>
      <c r="O327" s="44"/>
    </row>
    <row r="328" spans="1:15" ht="17.25" customHeight="1">
      <c r="A328" s="44"/>
      <c r="B328" s="44"/>
      <c r="C328" s="44"/>
      <c r="D328" s="44"/>
      <c r="E328" s="44"/>
      <c r="F328" s="44"/>
      <c r="G328" s="44"/>
      <c r="H328" s="44"/>
      <c r="I328" s="44"/>
      <c r="J328" s="44"/>
      <c r="K328" s="44"/>
      <c r="L328" s="44"/>
      <c r="M328" s="44"/>
      <c r="N328" s="44"/>
      <c r="O328" s="44"/>
    </row>
    <row r="329" spans="1:15" ht="17.25" customHeight="1">
      <c r="A329" s="44"/>
      <c r="B329" s="44"/>
      <c r="C329" s="44"/>
      <c r="D329" s="44"/>
      <c r="E329" s="44"/>
      <c r="F329" s="44"/>
      <c r="G329" s="44"/>
      <c r="H329" s="44"/>
      <c r="I329" s="44"/>
      <c r="J329" s="44"/>
      <c r="K329" s="44"/>
      <c r="L329" s="44"/>
      <c r="M329" s="44"/>
      <c r="N329" s="44"/>
      <c r="O329" s="44"/>
    </row>
    <row r="330" spans="1:15" ht="17.25" customHeight="1">
      <c r="A330" s="44"/>
      <c r="B330" s="44"/>
      <c r="C330" s="44"/>
      <c r="D330" s="44"/>
      <c r="E330" s="44"/>
      <c r="F330" s="44"/>
      <c r="G330" s="44"/>
      <c r="H330" s="44"/>
      <c r="I330" s="44"/>
      <c r="J330" s="44"/>
      <c r="K330" s="44"/>
      <c r="L330" s="44"/>
      <c r="M330" s="44"/>
      <c r="N330" s="44"/>
      <c r="O330" s="44"/>
    </row>
    <row r="331" spans="1:15" ht="17.25" customHeight="1">
      <c r="A331" s="44"/>
      <c r="B331" s="44"/>
      <c r="C331" s="44"/>
      <c r="D331" s="44"/>
      <c r="E331" s="44"/>
      <c r="F331" s="44"/>
      <c r="G331" s="44"/>
      <c r="H331" s="44"/>
      <c r="I331" s="44"/>
      <c r="J331" s="44"/>
      <c r="K331" s="44"/>
      <c r="L331" s="44"/>
      <c r="M331" s="44"/>
      <c r="N331" s="44"/>
      <c r="O331" s="44"/>
    </row>
    <row r="332" spans="1:15" ht="17.25" customHeight="1">
      <c r="A332" s="44"/>
      <c r="B332" s="44"/>
      <c r="C332" s="44"/>
      <c r="D332" s="44"/>
      <c r="E332" s="44"/>
      <c r="F332" s="44"/>
      <c r="G332" s="44"/>
      <c r="H332" s="44"/>
      <c r="I332" s="44"/>
      <c r="J332" s="44"/>
      <c r="K332" s="44"/>
      <c r="L332" s="44"/>
      <c r="M332" s="44"/>
      <c r="N332" s="44"/>
      <c r="O332" s="44"/>
    </row>
    <row r="333" spans="1:15" ht="17.25" customHeight="1">
      <c r="A333" s="44"/>
      <c r="B333" s="44"/>
      <c r="C333" s="44"/>
      <c r="D333" s="44"/>
      <c r="E333" s="44"/>
      <c r="F333" s="44"/>
      <c r="G333" s="44"/>
      <c r="H333" s="44"/>
      <c r="I333" s="44"/>
      <c r="J333" s="44"/>
      <c r="K333" s="44"/>
      <c r="L333" s="44"/>
      <c r="M333" s="44"/>
      <c r="N333" s="44"/>
      <c r="O333" s="44"/>
    </row>
    <row r="334" spans="1:15" ht="17.25" customHeight="1">
      <c r="A334" s="44"/>
      <c r="B334" s="44"/>
      <c r="C334" s="44"/>
      <c r="D334" s="44"/>
      <c r="E334" s="44"/>
      <c r="F334" s="44"/>
      <c r="G334" s="44"/>
      <c r="H334" s="44"/>
      <c r="I334" s="44"/>
      <c r="J334" s="44"/>
      <c r="K334" s="44"/>
      <c r="L334" s="44"/>
      <c r="M334" s="44"/>
      <c r="N334" s="44"/>
      <c r="O334" s="44"/>
    </row>
    <row r="335" spans="1:15" ht="17.25" customHeight="1">
      <c r="A335" s="44"/>
      <c r="B335" s="44"/>
      <c r="C335" s="44"/>
      <c r="D335" s="44"/>
      <c r="E335" s="44"/>
      <c r="F335" s="44"/>
      <c r="G335" s="44"/>
      <c r="H335" s="44"/>
      <c r="I335" s="44"/>
      <c r="J335" s="44"/>
      <c r="K335" s="44"/>
      <c r="L335" s="44"/>
      <c r="M335" s="44"/>
      <c r="N335" s="44"/>
      <c r="O335" s="44"/>
    </row>
    <row r="336" spans="1:15" ht="17.25" customHeight="1">
      <c r="A336" s="44"/>
      <c r="B336" s="44"/>
      <c r="C336" s="44"/>
      <c r="D336" s="44"/>
      <c r="E336" s="44"/>
      <c r="F336" s="44"/>
      <c r="G336" s="44"/>
      <c r="H336" s="44"/>
      <c r="I336" s="44"/>
      <c r="J336" s="44"/>
      <c r="K336" s="44"/>
      <c r="L336" s="44"/>
      <c r="M336" s="44"/>
      <c r="N336" s="44"/>
      <c r="O336" s="44"/>
    </row>
    <row r="337" spans="1:15" ht="17.25" customHeight="1">
      <c r="A337" s="44"/>
      <c r="B337" s="44"/>
      <c r="C337" s="44"/>
      <c r="D337" s="44"/>
      <c r="E337" s="44"/>
      <c r="F337" s="44"/>
      <c r="G337" s="44"/>
      <c r="H337" s="44"/>
      <c r="I337" s="44"/>
      <c r="J337" s="44"/>
      <c r="K337" s="44"/>
      <c r="L337" s="44"/>
      <c r="M337" s="44"/>
      <c r="N337" s="44"/>
      <c r="O337" s="44"/>
    </row>
    <row r="338" spans="1:15" ht="17.25" customHeight="1">
      <c r="A338" s="44"/>
      <c r="B338" s="44"/>
      <c r="C338" s="44"/>
      <c r="D338" s="44"/>
      <c r="E338" s="44"/>
      <c r="F338" s="44"/>
      <c r="G338" s="44"/>
      <c r="H338" s="44"/>
      <c r="I338" s="44"/>
      <c r="J338" s="44"/>
      <c r="K338" s="44"/>
      <c r="L338" s="44"/>
      <c r="M338" s="44"/>
      <c r="N338" s="44"/>
      <c r="O338" s="44"/>
    </row>
    <row r="339" spans="1:15" ht="17.25" customHeight="1">
      <c r="A339" s="44"/>
      <c r="B339" s="44"/>
      <c r="C339" s="44"/>
      <c r="D339" s="44"/>
      <c r="E339" s="44"/>
      <c r="F339" s="44"/>
      <c r="G339" s="44"/>
      <c r="H339" s="44"/>
      <c r="I339" s="44"/>
      <c r="J339" s="44"/>
      <c r="K339" s="44"/>
      <c r="L339" s="44"/>
      <c r="M339" s="44"/>
      <c r="N339" s="44"/>
      <c r="O339" s="44"/>
    </row>
    <row r="340" spans="1:15" ht="17.25" customHeight="1">
      <c r="A340" s="44"/>
      <c r="B340" s="44"/>
      <c r="C340" s="44"/>
      <c r="D340" s="44"/>
      <c r="E340" s="44"/>
      <c r="F340" s="44"/>
      <c r="G340" s="44"/>
      <c r="H340" s="44"/>
      <c r="I340" s="44"/>
      <c r="J340" s="44"/>
      <c r="K340" s="44"/>
      <c r="L340" s="44"/>
      <c r="M340" s="44"/>
      <c r="N340" s="44"/>
      <c r="O340" s="44"/>
    </row>
    <row r="341" spans="1:15" ht="17.25" customHeight="1">
      <c r="A341" s="44"/>
      <c r="B341" s="44"/>
      <c r="C341" s="44"/>
      <c r="D341" s="44"/>
      <c r="E341" s="44"/>
      <c r="F341" s="44"/>
      <c r="G341" s="44"/>
      <c r="H341" s="44"/>
      <c r="I341" s="44"/>
      <c r="J341" s="44"/>
      <c r="K341" s="44"/>
      <c r="L341" s="44"/>
      <c r="M341" s="44"/>
      <c r="N341" s="44"/>
      <c r="O341" s="44"/>
    </row>
    <row r="342" spans="1:15" ht="17.25" customHeight="1">
      <c r="A342" s="44"/>
      <c r="B342" s="44"/>
      <c r="C342" s="44"/>
      <c r="D342" s="44"/>
      <c r="E342" s="44"/>
      <c r="F342" s="44"/>
      <c r="G342" s="44"/>
      <c r="H342" s="44"/>
      <c r="I342" s="44"/>
      <c r="J342" s="44"/>
      <c r="K342" s="44"/>
      <c r="L342" s="44"/>
      <c r="M342" s="44"/>
      <c r="N342" s="44"/>
      <c r="O342" s="44"/>
    </row>
    <row r="343" spans="1:15" ht="17.25" customHeight="1">
      <c r="A343" s="44"/>
      <c r="B343" s="44"/>
      <c r="C343" s="44"/>
      <c r="D343" s="44"/>
      <c r="E343" s="44"/>
      <c r="F343" s="44"/>
      <c r="G343" s="44"/>
      <c r="H343" s="44"/>
      <c r="I343" s="44"/>
      <c r="J343" s="44"/>
      <c r="K343" s="44"/>
      <c r="L343" s="44"/>
      <c r="M343" s="44"/>
      <c r="N343" s="44"/>
      <c r="O343" s="44"/>
    </row>
    <row r="344" spans="1:15" ht="17.25" customHeight="1">
      <c r="A344" s="44"/>
      <c r="B344" s="44"/>
      <c r="C344" s="44"/>
      <c r="D344" s="44"/>
      <c r="E344" s="44"/>
      <c r="F344" s="44"/>
      <c r="G344" s="44"/>
      <c r="H344" s="44"/>
      <c r="I344" s="44"/>
      <c r="J344" s="44"/>
      <c r="K344" s="44"/>
      <c r="L344" s="44"/>
      <c r="M344" s="44"/>
      <c r="N344" s="44"/>
      <c r="O344" s="44"/>
    </row>
    <row r="345" spans="1:15" ht="17.25" customHeight="1">
      <c r="A345" s="44"/>
      <c r="B345" s="44"/>
      <c r="C345" s="44"/>
      <c r="D345" s="44"/>
      <c r="E345" s="44"/>
      <c r="F345" s="44"/>
      <c r="G345" s="44"/>
      <c r="H345" s="44"/>
      <c r="I345" s="44"/>
      <c r="J345" s="44"/>
      <c r="K345" s="44"/>
      <c r="L345" s="44"/>
      <c r="M345" s="44"/>
      <c r="N345" s="44"/>
      <c r="O345" s="44"/>
    </row>
    <row r="346" spans="1:15" ht="17.25" customHeight="1">
      <c r="A346" s="44"/>
      <c r="B346" s="44"/>
      <c r="C346" s="44"/>
      <c r="D346" s="44"/>
      <c r="E346" s="44"/>
      <c r="F346" s="44"/>
      <c r="G346" s="44"/>
      <c r="H346" s="44"/>
      <c r="I346" s="44"/>
      <c r="J346" s="44"/>
      <c r="K346" s="44"/>
      <c r="L346" s="44"/>
      <c r="M346" s="44"/>
      <c r="N346" s="44"/>
      <c r="O346" s="44"/>
    </row>
    <row r="347" spans="1:15" ht="17.25" customHeight="1">
      <c r="A347" s="44"/>
      <c r="B347" s="44"/>
      <c r="C347" s="44"/>
      <c r="D347" s="44"/>
      <c r="E347" s="44"/>
      <c r="F347" s="44"/>
      <c r="G347" s="44"/>
      <c r="H347" s="44"/>
      <c r="I347" s="44"/>
      <c r="J347" s="44"/>
      <c r="K347" s="44"/>
      <c r="L347" s="44"/>
      <c r="M347" s="44"/>
      <c r="N347" s="44"/>
      <c r="O347" s="44"/>
    </row>
    <row r="348" spans="1:15" ht="17.25" customHeight="1">
      <c r="A348" s="44"/>
      <c r="B348" s="44"/>
      <c r="C348" s="44"/>
      <c r="D348" s="44"/>
      <c r="E348" s="44"/>
      <c r="F348" s="44"/>
      <c r="G348" s="44"/>
      <c r="H348" s="44"/>
      <c r="I348" s="44"/>
      <c r="J348" s="44"/>
      <c r="K348" s="44"/>
      <c r="L348" s="44"/>
      <c r="M348" s="44"/>
      <c r="N348" s="44"/>
      <c r="O348" s="44"/>
    </row>
    <row r="349" spans="1:15" ht="17.25" customHeight="1">
      <c r="A349" s="44"/>
      <c r="B349" s="44"/>
      <c r="C349" s="44"/>
      <c r="D349" s="44"/>
      <c r="E349" s="44"/>
      <c r="F349" s="44"/>
      <c r="G349" s="44"/>
      <c r="H349" s="44"/>
      <c r="I349" s="44"/>
      <c r="J349" s="44"/>
      <c r="K349" s="44"/>
      <c r="L349" s="44"/>
      <c r="M349" s="44"/>
      <c r="N349" s="44"/>
      <c r="O349" s="44"/>
    </row>
    <row r="350" spans="1:15" ht="17.25" customHeight="1">
      <c r="A350" s="44"/>
      <c r="B350" s="44"/>
      <c r="C350" s="44"/>
      <c r="D350" s="44"/>
      <c r="E350" s="44"/>
      <c r="F350" s="44"/>
      <c r="G350" s="44"/>
      <c r="H350" s="44"/>
      <c r="I350" s="44"/>
      <c r="J350" s="44"/>
      <c r="K350" s="44"/>
      <c r="L350" s="44"/>
      <c r="M350" s="44"/>
      <c r="N350" s="44"/>
      <c r="O350" s="44"/>
    </row>
    <row r="351" spans="1:15" ht="17.25" customHeight="1">
      <c r="A351" s="44"/>
      <c r="B351" s="44"/>
      <c r="C351" s="44"/>
      <c r="D351" s="44"/>
      <c r="E351" s="44"/>
      <c r="F351" s="44"/>
      <c r="G351" s="44"/>
      <c r="H351" s="44"/>
      <c r="I351" s="44"/>
      <c r="J351" s="44"/>
      <c r="K351" s="44"/>
      <c r="L351" s="44"/>
      <c r="M351" s="44"/>
      <c r="N351" s="44"/>
      <c r="O351" s="44"/>
    </row>
    <row r="352" spans="1:15" ht="17.25" customHeight="1">
      <c r="A352" s="44"/>
      <c r="B352" s="44"/>
      <c r="C352" s="44"/>
      <c r="D352" s="44"/>
      <c r="E352" s="44"/>
      <c r="F352" s="44"/>
      <c r="G352" s="44"/>
      <c r="H352" s="44"/>
      <c r="I352" s="44"/>
      <c r="J352" s="44"/>
      <c r="K352" s="44"/>
      <c r="L352" s="44"/>
      <c r="M352" s="44"/>
      <c r="N352" s="44"/>
      <c r="O352" s="44"/>
    </row>
    <row r="353" spans="1:15" ht="17.25" customHeight="1">
      <c r="A353" s="44"/>
      <c r="B353" s="44"/>
      <c r="C353" s="44"/>
      <c r="D353" s="44"/>
      <c r="E353" s="44"/>
      <c r="F353" s="44"/>
      <c r="G353" s="44"/>
      <c r="H353" s="44"/>
      <c r="I353" s="44"/>
      <c r="J353" s="44"/>
      <c r="K353" s="44"/>
      <c r="L353" s="44"/>
      <c r="M353" s="44"/>
      <c r="N353" s="44"/>
      <c r="O353" s="44"/>
    </row>
    <row r="354" spans="1:15" ht="17.25" customHeight="1">
      <c r="A354" s="44"/>
      <c r="B354" s="44"/>
      <c r="C354" s="44"/>
      <c r="D354" s="44"/>
      <c r="E354" s="44"/>
      <c r="F354" s="44"/>
      <c r="G354" s="44"/>
      <c r="H354" s="44"/>
      <c r="I354" s="44"/>
      <c r="J354" s="44"/>
      <c r="K354" s="44"/>
      <c r="L354" s="44"/>
      <c r="M354" s="44"/>
      <c r="N354" s="44"/>
      <c r="O354" s="44"/>
    </row>
    <row r="355" spans="1:15" ht="17.25" customHeight="1">
      <c r="A355" s="44"/>
      <c r="B355" s="44"/>
      <c r="C355" s="44"/>
      <c r="D355" s="44"/>
      <c r="E355" s="44"/>
      <c r="F355" s="44"/>
      <c r="G355" s="44"/>
      <c r="H355" s="44"/>
      <c r="I355" s="44"/>
      <c r="J355" s="44"/>
      <c r="K355" s="44"/>
      <c r="L355" s="44"/>
      <c r="M355" s="44"/>
      <c r="N355" s="44"/>
      <c r="O355" s="44"/>
    </row>
    <row r="356" spans="1:15" ht="17.25" customHeight="1">
      <c r="A356" s="44"/>
      <c r="B356" s="44"/>
      <c r="C356" s="44"/>
      <c r="D356" s="44"/>
      <c r="E356" s="44"/>
      <c r="F356" s="44"/>
      <c r="G356" s="44"/>
      <c r="H356" s="44"/>
      <c r="I356" s="44"/>
      <c r="J356" s="44"/>
      <c r="K356" s="44"/>
      <c r="L356" s="44"/>
      <c r="M356" s="44"/>
      <c r="N356" s="44"/>
      <c r="O356" s="44"/>
    </row>
    <row r="357" spans="1:15" ht="17.25" customHeight="1">
      <c r="A357" s="44"/>
      <c r="B357" s="44"/>
      <c r="C357" s="44"/>
      <c r="D357" s="44"/>
      <c r="E357" s="44"/>
      <c r="F357" s="44"/>
      <c r="G357" s="44"/>
      <c r="H357" s="44"/>
      <c r="I357" s="44"/>
      <c r="J357" s="44"/>
      <c r="K357" s="44"/>
      <c r="L357" s="44"/>
      <c r="M357" s="44"/>
      <c r="N357" s="44"/>
      <c r="O357" s="44"/>
    </row>
    <row r="358" spans="1:15" ht="17.25" customHeight="1">
      <c r="A358" s="44"/>
      <c r="B358" s="44"/>
      <c r="C358" s="44"/>
      <c r="D358" s="44"/>
      <c r="E358" s="44"/>
      <c r="F358" s="44"/>
      <c r="G358" s="44"/>
      <c r="H358" s="44"/>
      <c r="I358" s="44"/>
      <c r="J358" s="44"/>
      <c r="K358" s="44"/>
      <c r="L358" s="44"/>
      <c r="M358" s="44"/>
      <c r="N358" s="44"/>
      <c r="O358" s="44"/>
    </row>
    <row r="359" spans="1:15" ht="17.25" customHeight="1">
      <c r="A359" s="44"/>
      <c r="B359" s="44"/>
      <c r="C359" s="44"/>
      <c r="D359" s="44"/>
      <c r="E359" s="44"/>
      <c r="F359" s="44"/>
      <c r="G359" s="44"/>
      <c r="H359" s="44"/>
      <c r="I359" s="44"/>
      <c r="J359" s="44"/>
      <c r="K359" s="44"/>
      <c r="L359" s="44"/>
      <c r="M359" s="44"/>
      <c r="N359" s="44"/>
      <c r="O359" s="44"/>
    </row>
    <row r="360" spans="1:15" ht="17.25" customHeight="1">
      <c r="A360" s="44"/>
      <c r="B360" s="44"/>
      <c r="C360" s="44"/>
      <c r="D360" s="44"/>
      <c r="E360" s="44"/>
      <c r="F360" s="44"/>
      <c r="G360" s="44"/>
      <c r="H360" s="44"/>
      <c r="I360" s="44"/>
      <c r="J360" s="44"/>
      <c r="K360" s="44"/>
      <c r="L360" s="44"/>
      <c r="M360" s="44"/>
      <c r="N360" s="44"/>
      <c r="O360" s="44"/>
    </row>
    <row r="361" spans="1:15" ht="17.25" customHeight="1">
      <c r="A361" s="44"/>
      <c r="B361" s="44"/>
      <c r="C361" s="44"/>
      <c r="D361" s="44"/>
      <c r="E361" s="44"/>
      <c r="F361" s="44"/>
      <c r="G361" s="44"/>
      <c r="H361" s="44"/>
      <c r="I361" s="44"/>
      <c r="J361" s="44"/>
      <c r="K361" s="44"/>
      <c r="L361" s="44"/>
      <c r="M361" s="44"/>
      <c r="N361" s="44"/>
      <c r="O361" s="44"/>
    </row>
    <row r="362" spans="1:15" ht="17.25" customHeight="1">
      <c r="A362" s="44"/>
      <c r="B362" s="44"/>
      <c r="C362" s="44"/>
      <c r="D362" s="44"/>
      <c r="E362" s="44"/>
      <c r="F362" s="44"/>
      <c r="G362" s="44"/>
      <c r="H362" s="44"/>
      <c r="I362" s="44"/>
      <c r="J362" s="44"/>
      <c r="K362" s="44"/>
      <c r="L362" s="44"/>
      <c r="M362" s="44"/>
      <c r="N362" s="44"/>
      <c r="O362" s="44"/>
    </row>
    <row r="363" spans="1:15" ht="17.25" customHeight="1">
      <c r="A363" s="44"/>
      <c r="B363" s="44"/>
      <c r="C363" s="44"/>
      <c r="D363" s="44"/>
      <c r="E363" s="44"/>
      <c r="F363" s="44"/>
      <c r="G363" s="44"/>
      <c r="H363" s="44"/>
      <c r="I363" s="44"/>
      <c r="J363" s="44"/>
      <c r="K363" s="44"/>
      <c r="L363" s="44"/>
      <c r="M363" s="44"/>
      <c r="N363" s="44"/>
      <c r="O363" s="44"/>
    </row>
    <row r="364" spans="1:15" ht="17.25" customHeight="1">
      <c r="A364" s="44"/>
      <c r="B364" s="44"/>
      <c r="C364" s="44"/>
      <c r="D364" s="44"/>
      <c r="E364" s="44"/>
      <c r="F364" s="44"/>
      <c r="G364" s="44"/>
      <c r="H364" s="44"/>
      <c r="I364" s="44"/>
      <c r="J364" s="44"/>
      <c r="K364" s="44"/>
      <c r="L364" s="44"/>
      <c r="M364" s="44"/>
      <c r="N364" s="44"/>
      <c r="O364" s="44"/>
    </row>
    <row r="365" spans="1:15" ht="17.25" customHeight="1">
      <c r="A365" s="44"/>
      <c r="B365" s="44"/>
      <c r="C365" s="44"/>
      <c r="D365" s="44"/>
      <c r="E365" s="44"/>
      <c r="F365" s="44"/>
      <c r="G365" s="44"/>
      <c r="H365" s="44"/>
      <c r="I365" s="44"/>
      <c r="J365" s="44"/>
      <c r="K365" s="44"/>
      <c r="L365" s="44"/>
      <c r="M365" s="44"/>
      <c r="N365" s="44"/>
      <c r="O365" s="44"/>
    </row>
    <row r="366" spans="1:15" ht="17.25" customHeight="1">
      <c r="A366" s="44"/>
      <c r="B366" s="44"/>
      <c r="C366" s="44"/>
      <c r="D366" s="44"/>
      <c r="E366" s="44"/>
      <c r="F366" s="44"/>
      <c r="G366" s="44"/>
      <c r="H366" s="44"/>
      <c r="I366" s="44"/>
      <c r="J366" s="44"/>
      <c r="K366" s="44"/>
      <c r="L366" s="44"/>
      <c r="M366" s="44"/>
      <c r="N366" s="44"/>
      <c r="O366" s="44"/>
    </row>
    <row r="367" spans="1:15" ht="17.25" customHeight="1">
      <c r="A367" s="44"/>
      <c r="B367" s="44"/>
      <c r="C367" s="44"/>
      <c r="D367" s="44"/>
      <c r="E367" s="44"/>
      <c r="F367" s="44"/>
      <c r="G367" s="44"/>
      <c r="H367" s="44"/>
      <c r="I367" s="44"/>
      <c r="J367" s="44"/>
      <c r="K367" s="44"/>
      <c r="L367" s="44"/>
      <c r="M367" s="44"/>
      <c r="N367" s="44"/>
      <c r="O367" s="44"/>
    </row>
    <row r="368" spans="1:15" ht="17.25" customHeight="1">
      <c r="A368" s="44"/>
      <c r="B368" s="44"/>
      <c r="C368" s="44"/>
      <c r="D368" s="44"/>
      <c r="E368" s="44"/>
      <c r="F368" s="44"/>
      <c r="G368" s="44"/>
      <c r="H368" s="44"/>
      <c r="I368" s="44"/>
      <c r="J368" s="44"/>
      <c r="K368" s="44"/>
      <c r="L368" s="44"/>
      <c r="M368" s="44"/>
      <c r="N368" s="44"/>
      <c r="O368" s="44"/>
    </row>
    <row r="369" spans="1:15" ht="17.25" customHeight="1">
      <c r="A369" s="44"/>
      <c r="B369" s="44"/>
      <c r="C369" s="44"/>
      <c r="D369" s="44"/>
      <c r="E369" s="44"/>
      <c r="F369" s="44"/>
      <c r="G369" s="44"/>
      <c r="H369" s="44"/>
      <c r="I369" s="44"/>
      <c r="J369" s="44"/>
      <c r="K369" s="44"/>
      <c r="L369" s="44"/>
      <c r="M369" s="44"/>
      <c r="N369" s="44"/>
      <c r="O369" s="44"/>
    </row>
    <row r="370" spans="1:15" ht="17.25" customHeight="1">
      <c r="A370" s="44"/>
      <c r="B370" s="44"/>
      <c r="C370" s="44"/>
      <c r="D370" s="44"/>
      <c r="E370" s="44"/>
      <c r="F370" s="44"/>
      <c r="G370" s="44"/>
      <c r="H370" s="44"/>
      <c r="I370" s="44"/>
      <c r="J370" s="44"/>
      <c r="K370" s="44"/>
      <c r="L370" s="44"/>
      <c r="M370" s="44"/>
      <c r="N370" s="44"/>
      <c r="O370" s="44"/>
    </row>
    <row r="371" spans="1:15" ht="17.25" customHeight="1">
      <c r="A371" s="44"/>
      <c r="B371" s="44"/>
      <c r="C371" s="44"/>
      <c r="D371" s="44"/>
      <c r="E371" s="44"/>
      <c r="F371" s="44"/>
      <c r="G371" s="44"/>
      <c r="H371" s="44"/>
      <c r="I371" s="44"/>
      <c r="J371" s="44"/>
      <c r="K371" s="44"/>
      <c r="L371" s="44"/>
      <c r="M371" s="44"/>
      <c r="N371" s="44"/>
      <c r="O371" s="44"/>
    </row>
    <row r="372" spans="1:15" ht="17.25" customHeight="1">
      <c r="A372" s="44"/>
      <c r="B372" s="44"/>
      <c r="C372" s="44"/>
      <c r="D372" s="44"/>
      <c r="E372" s="44"/>
      <c r="F372" s="44"/>
      <c r="G372" s="44"/>
      <c r="H372" s="44"/>
      <c r="I372" s="44"/>
      <c r="J372" s="44"/>
      <c r="K372" s="44"/>
      <c r="L372" s="44"/>
      <c r="M372" s="44"/>
      <c r="N372" s="44"/>
      <c r="O372" s="44"/>
    </row>
    <row r="373" spans="1:15" ht="17.25" customHeight="1">
      <c r="A373" s="44"/>
      <c r="B373" s="44"/>
      <c r="C373" s="44"/>
      <c r="D373" s="44"/>
      <c r="E373" s="44"/>
      <c r="F373" s="44"/>
      <c r="G373" s="44"/>
      <c r="H373" s="44"/>
      <c r="I373" s="44"/>
      <c r="J373" s="44"/>
      <c r="K373" s="44"/>
      <c r="L373" s="44"/>
      <c r="M373" s="44"/>
      <c r="N373" s="44"/>
      <c r="O373" s="44"/>
    </row>
    <row r="374" spans="1:15" ht="17.25" customHeight="1">
      <c r="A374" s="44"/>
      <c r="B374" s="44"/>
      <c r="C374" s="44"/>
      <c r="D374" s="44"/>
      <c r="E374" s="44"/>
      <c r="F374" s="44"/>
      <c r="G374" s="44"/>
      <c r="H374" s="44"/>
      <c r="I374" s="44"/>
      <c r="J374" s="44"/>
      <c r="K374" s="44"/>
      <c r="L374" s="44"/>
      <c r="M374" s="44"/>
      <c r="N374" s="44"/>
      <c r="O374" s="44"/>
    </row>
    <row r="375" spans="1:15" ht="17.25" customHeight="1">
      <c r="A375" s="44"/>
      <c r="B375" s="44"/>
      <c r="C375" s="44"/>
      <c r="D375" s="44"/>
      <c r="E375" s="44"/>
      <c r="F375" s="44"/>
      <c r="G375" s="44"/>
      <c r="H375" s="44"/>
      <c r="I375" s="44"/>
      <c r="J375" s="44"/>
      <c r="K375" s="44"/>
      <c r="L375" s="44"/>
      <c r="M375" s="44"/>
      <c r="N375" s="44"/>
      <c r="O375" s="44"/>
    </row>
    <row r="376" spans="1:15" ht="17.25" customHeight="1">
      <c r="A376" s="44"/>
      <c r="B376" s="44"/>
      <c r="C376" s="44"/>
      <c r="D376" s="44"/>
      <c r="E376" s="44"/>
      <c r="F376" s="44"/>
      <c r="G376" s="44"/>
      <c r="H376" s="44"/>
      <c r="I376" s="44"/>
      <c r="J376" s="44"/>
      <c r="K376" s="44"/>
      <c r="L376" s="44"/>
      <c r="M376" s="44"/>
      <c r="N376" s="44"/>
      <c r="O376" s="44"/>
    </row>
    <row r="377" spans="1:15" ht="17.25" customHeight="1">
      <c r="A377" s="44"/>
      <c r="B377" s="44"/>
      <c r="C377" s="44"/>
      <c r="D377" s="44"/>
      <c r="E377" s="44"/>
      <c r="F377" s="44"/>
      <c r="G377" s="44"/>
      <c r="H377" s="44"/>
      <c r="I377" s="44"/>
      <c r="J377" s="44"/>
      <c r="K377" s="44"/>
      <c r="L377" s="44"/>
      <c r="M377" s="44"/>
      <c r="N377" s="44"/>
      <c r="O377" s="44"/>
    </row>
    <row r="378" spans="1:15" ht="17.25" customHeight="1">
      <c r="A378" s="44"/>
      <c r="B378" s="44"/>
      <c r="C378" s="44"/>
      <c r="D378" s="44"/>
      <c r="E378" s="44"/>
      <c r="F378" s="44"/>
      <c r="G378" s="44"/>
      <c r="H378" s="44"/>
      <c r="I378" s="44"/>
      <c r="J378" s="44"/>
      <c r="K378" s="44"/>
      <c r="L378" s="44"/>
      <c r="M378" s="44"/>
      <c r="N378" s="44"/>
      <c r="O378" s="44"/>
    </row>
    <row r="379" spans="1:15" ht="17.25" customHeight="1">
      <c r="A379" s="44"/>
      <c r="B379" s="44"/>
      <c r="C379" s="44"/>
      <c r="D379" s="44"/>
      <c r="E379" s="44"/>
      <c r="F379" s="44"/>
      <c r="G379" s="44"/>
      <c r="H379" s="44"/>
      <c r="I379" s="44"/>
      <c r="J379" s="44"/>
      <c r="K379" s="44"/>
      <c r="L379" s="44"/>
      <c r="M379" s="44"/>
      <c r="N379" s="44"/>
      <c r="O379" s="44"/>
    </row>
    <row r="380" spans="1:15" ht="17.25" customHeight="1">
      <c r="A380" s="44"/>
      <c r="B380" s="44"/>
      <c r="C380" s="44"/>
      <c r="D380" s="44"/>
      <c r="E380" s="44"/>
      <c r="F380" s="44"/>
      <c r="G380" s="44"/>
      <c r="H380" s="44"/>
      <c r="I380" s="44"/>
      <c r="J380" s="44"/>
      <c r="K380" s="44"/>
      <c r="L380" s="44"/>
      <c r="M380" s="44"/>
      <c r="N380" s="44"/>
      <c r="O380" s="44"/>
    </row>
    <row r="381" spans="1:15" ht="17.25" customHeight="1">
      <c r="A381" s="44"/>
      <c r="B381" s="44"/>
      <c r="C381" s="44"/>
      <c r="D381" s="44"/>
      <c r="E381" s="44"/>
      <c r="F381" s="44"/>
      <c r="G381" s="44"/>
      <c r="H381" s="44"/>
      <c r="I381" s="44"/>
      <c r="J381" s="44"/>
      <c r="K381" s="44"/>
      <c r="L381" s="44"/>
      <c r="M381" s="44"/>
      <c r="N381" s="44"/>
      <c r="O381" s="44"/>
    </row>
    <row r="382" spans="1:15" ht="17.25" customHeight="1">
      <c r="A382" s="44"/>
      <c r="B382" s="44"/>
      <c r="C382" s="44"/>
      <c r="D382" s="44"/>
      <c r="E382" s="44"/>
      <c r="F382" s="44"/>
      <c r="G382" s="44"/>
      <c r="H382" s="44"/>
      <c r="I382" s="44"/>
      <c r="J382" s="44"/>
      <c r="K382" s="44"/>
      <c r="L382" s="44"/>
      <c r="M382" s="44"/>
      <c r="N382" s="44"/>
      <c r="O382" s="44"/>
    </row>
    <row r="383" spans="1:15" ht="17.25" customHeight="1">
      <c r="A383" s="44"/>
      <c r="B383" s="44"/>
      <c r="C383" s="44"/>
      <c r="D383" s="44"/>
      <c r="E383" s="44"/>
      <c r="F383" s="44"/>
      <c r="G383" s="44"/>
      <c r="H383" s="44"/>
      <c r="I383" s="44"/>
      <c r="J383" s="44"/>
      <c r="K383" s="44"/>
      <c r="L383" s="44"/>
      <c r="M383" s="44"/>
      <c r="N383" s="44"/>
      <c r="O383" s="44"/>
    </row>
    <row r="384" spans="1:15" ht="17.25" customHeight="1">
      <c r="A384" s="44"/>
      <c r="B384" s="44"/>
      <c r="C384" s="44"/>
      <c r="D384" s="44"/>
      <c r="E384" s="44"/>
      <c r="F384" s="44"/>
      <c r="G384" s="44"/>
      <c r="H384" s="44"/>
      <c r="I384" s="44"/>
      <c r="J384" s="44"/>
      <c r="K384" s="44"/>
      <c r="L384" s="44"/>
      <c r="M384" s="44"/>
      <c r="N384" s="44"/>
      <c r="O384" s="44"/>
    </row>
    <row r="385" spans="1:15" ht="17.25" customHeight="1">
      <c r="A385" s="44"/>
      <c r="B385" s="44"/>
      <c r="C385" s="44"/>
      <c r="D385" s="44"/>
      <c r="E385" s="44"/>
      <c r="F385" s="44"/>
      <c r="G385" s="44"/>
      <c r="H385" s="44"/>
      <c r="I385" s="44"/>
      <c r="J385" s="44"/>
      <c r="K385" s="44"/>
      <c r="L385" s="44"/>
      <c r="M385" s="44"/>
      <c r="N385" s="44"/>
      <c r="O385" s="44"/>
    </row>
    <row r="386" spans="1:15" ht="17.25" customHeight="1">
      <c r="A386" s="44"/>
      <c r="B386" s="44"/>
      <c r="C386" s="44"/>
      <c r="D386" s="44"/>
      <c r="E386" s="44"/>
      <c r="F386" s="44"/>
      <c r="G386" s="44"/>
      <c r="H386" s="44"/>
      <c r="I386" s="44"/>
      <c r="J386" s="44"/>
      <c r="K386" s="44"/>
      <c r="L386" s="44"/>
      <c r="M386" s="44"/>
      <c r="N386" s="44"/>
      <c r="O386" s="44"/>
    </row>
    <row r="387" spans="1:15" ht="17.25" customHeight="1">
      <c r="A387" s="44"/>
      <c r="B387" s="44"/>
      <c r="C387" s="44"/>
      <c r="D387" s="44"/>
      <c r="E387" s="44"/>
      <c r="F387" s="44"/>
      <c r="G387" s="44"/>
      <c r="H387" s="44"/>
      <c r="I387" s="44"/>
      <c r="J387" s="44"/>
      <c r="K387" s="44"/>
      <c r="L387" s="44"/>
      <c r="M387" s="44"/>
      <c r="N387" s="44"/>
      <c r="O387" s="44"/>
    </row>
    <row r="388" spans="1:15" ht="17.25" customHeight="1">
      <c r="A388" s="44"/>
      <c r="B388" s="44"/>
      <c r="C388" s="44"/>
      <c r="D388" s="44"/>
      <c r="E388" s="44"/>
      <c r="F388" s="44"/>
      <c r="G388" s="44"/>
      <c r="H388" s="44"/>
      <c r="I388" s="44"/>
      <c r="J388" s="44"/>
      <c r="K388" s="44"/>
      <c r="L388" s="44"/>
      <c r="M388" s="44"/>
      <c r="N388" s="44"/>
      <c r="O388" s="44"/>
    </row>
    <row r="389" spans="1:15" ht="17.25" customHeight="1">
      <c r="A389" s="44"/>
      <c r="B389" s="44"/>
      <c r="C389" s="44"/>
      <c r="D389" s="44"/>
      <c r="E389" s="44"/>
      <c r="F389" s="44"/>
      <c r="G389" s="44"/>
      <c r="H389" s="44"/>
      <c r="I389" s="44"/>
      <c r="J389" s="44"/>
      <c r="K389" s="44"/>
      <c r="L389" s="44"/>
      <c r="M389" s="44"/>
      <c r="N389" s="44"/>
      <c r="O389" s="44"/>
    </row>
    <row r="390" spans="1:15" ht="17.25" customHeight="1">
      <c r="A390" s="44"/>
      <c r="B390" s="44"/>
      <c r="C390" s="44"/>
      <c r="D390" s="44"/>
      <c r="E390" s="44"/>
      <c r="F390" s="44"/>
      <c r="G390" s="44"/>
      <c r="H390" s="44"/>
      <c r="I390" s="44"/>
      <c r="J390" s="44"/>
      <c r="K390" s="44"/>
      <c r="L390" s="44"/>
      <c r="M390" s="44"/>
      <c r="N390" s="44"/>
      <c r="O390" s="44"/>
    </row>
    <row r="391" spans="1:15" ht="17.25" customHeight="1">
      <c r="A391" s="44"/>
      <c r="B391" s="44"/>
      <c r="C391" s="44"/>
      <c r="D391" s="44"/>
      <c r="E391" s="44"/>
      <c r="F391" s="44"/>
      <c r="G391" s="44"/>
      <c r="H391" s="44"/>
      <c r="I391" s="44"/>
      <c r="J391" s="44"/>
      <c r="K391" s="44"/>
      <c r="L391" s="44"/>
      <c r="M391" s="44"/>
      <c r="N391" s="44"/>
      <c r="O391" s="44"/>
    </row>
    <row r="392" spans="1:15" ht="17.25" customHeight="1">
      <c r="A392" s="44"/>
      <c r="B392" s="44"/>
      <c r="C392" s="44"/>
      <c r="D392" s="44"/>
      <c r="E392" s="44"/>
      <c r="F392" s="44"/>
      <c r="G392" s="44"/>
      <c r="H392" s="44"/>
      <c r="I392" s="44"/>
      <c r="J392" s="44"/>
      <c r="K392" s="44"/>
      <c r="L392" s="44"/>
      <c r="M392" s="44"/>
      <c r="N392" s="44"/>
      <c r="O392" s="44"/>
    </row>
    <row r="393" spans="1:15" ht="17.25" customHeight="1">
      <c r="A393" s="44"/>
      <c r="B393" s="44"/>
      <c r="C393" s="44"/>
      <c r="D393" s="44"/>
      <c r="E393" s="44"/>
      <c r="F393" s="44"/>
      <c r="G393" s="44"/>
      <c r="H393" s="44"/>
      <c r="I393" s="44"/>
      <c r="J393" s="44"/>
      <c r="K393" s="44"/>
      <c r="L393" s="44"/>
      <c r="M393" s="44"/>
      <c r="N393" s="44"/>
      <c r="O393" s="44"/>
    </row>
    <row r="394" spans="1:15" ht="17.25" customHeight="1">
      <c r="A394" s="44"/>
      <c r="B394" s="44"/>
      <c r="C394" s="44"/>
      <c r="D394" s="44"/>
      <c r="E394" s="44"/>
      <c r="F394" s="44"/>
      <c r="G394" s="44"/>
      <c r="H394" s="44"/>
      <c r="I394" s="44"/>
      <c r="J394" s="44"/>
      <c r="K394" s="44"/>
      <c r="L394" s="44"/>
      <c r="M394" s="44"/>
      <c r="N394" s="44"/>
      <c r="O394" s="44"/>
    </row>
    <row r="395" spans="1:15" ht="17.25" customHeight="1">
      <c r="A395" s="44"/>
      <c r="B395" s="44"/>
      <c r="C395" s="44"/>
      <c r="D395" s="44"/>
      <c r="E395" s="44"/>
      <c r="F395" s="44"/>
      <c r="G395" s="44"/>
      <c r="H395" s="44"/>
      <c r="I395" s="44"/>
      <c r="J395" s="44"/>
      <c r="K395" s="44"/>
      <c r="L395" s="44"/>
      <c r="M395" s="44"/>
      <c r="N395" s="44"/>
      <c r="O395" s="44"/>
    </row>
    <row r="396" spans="1:15" ht="17.25" customHeight="1">
      <c r="A396" s="44"/>
      <c r="B396" s="44"/>
      <c r="C396" s="44"/>
      <c r="D396" s="44"/>
      <c r="E396" s="44"/>
      <c r="F396" s="44"/>
      <c r="G396" s="44"/>
      <c r="H396" s="44"/>
      <c r="I396" s="44"/>
      <c r="J396" s="44"/>
      <c r="K396" s="44"/>
      <c r="L396" s="44"/>
      <c r="M396" s="44"/>
      <c r="N396" s="44"/>
      <c r="O396" s="44"/>
    </row>
    <row r="397" spans="1:15" ht="17.25" customHeight="1">
      <c r="A397" s="44"/>
      <c r="B397" s="44"/>
      <c r="C397" s="44"/>
      <c r="D397" s="44"/>
      <c r="E397" s="44"/>
      <c r="F397" s="44"/>
      <c r="G397" s="44"/>
      <c r="H397" s="44"/>
      <c r="I397" s="44"/>
      <c r="J397" s="44"/>
      <c r="K397" s="44"/>
      <c r="L397" s="44"/>
      <c r="M397" s="44"/>
      <c r="N397" s="44"/>
      <c r="O397" s="44"/>
    </row>
    <row r="398" spans="1:15" ht="17.25" customHeight="1">
      <c r="A398" s="44"/>
      <c r="B398" s="44"/>
      <c r="C398" s="44"/>
      <c r="D398" s="44"/>
      <c r="E398" s="44"/>
      <c r="F398" s="44"/>
      <c r="G398" s="44"/>
      <c r="H398" s="44"/>
      <c r="I398" s="44"/>
      <c r="J398" s="44"/>
      <c r="K398" s="44"/>
      <c r="L398" s="44"/>
      <c r="M398" s="44"/>
      <c r="N398" s="44"/>
      <c r="O398" s="44"/>
    </row>
    <row r="399" spans="1:15" ht="17.25" customHeight="1">
      <c r="A399" s="44"/>
      <c r="B399" s="44"/>
      <c r="C399" s="44"/>
      <c r="D399" s="44"/>
      <c r="E399" s="44"/>
      <c r="F399" s="44"/>
      <c r="G399" s="44"/>
      <c r="H399" s="44"/>
      <c r="I399" s="44"/>
      <c r="J399" s="44"/>
      <c r="K399" s="44"/>
      <c r="L399" s="44"/>
      <c r="M399" s="44"/>
      <c r="N399" s="44"/>
      <c r="O399" s="44"/>
    </row>
    <row r="400" spans="1:15" ht="17.25" customHeight="1">
      <c r="A400" s="44"/>
      <c r="B400" s="44"/>
      <c r="C400" s="44"/>
      <c r="D400" s="44"/>
      <c r="E400" s="44"/>
      <c r="F400" s="44"/>
      <c r="G400" s="44"/>
      <c r="H400" s="44"/>
      <c r="I400" s="44"/>
      <c r="J400" s="44"/>
      <c r="K400" s="44"/>
      <c r="L400" s="44"/>
      <c r="M400" s="44"/>
      <c r="N400" s="44"/>
      <c r="O400" s="44"/>
    </row>
    <row r="401" spans="1:15" ht="17.25" customHeight="1">
      <c r="A401" s="44"/>
      <c r="B401" s="44"/>
      <c r="C401" s="44"/>
      <c r="D401" s="44"/>
      <c r="E401" s="44"/>
      <c r="F401" s="44"/>
      <c r="G401" s="44"/>
      <c r="H401" s="44"/>
      <c r="I401" s="44"/>
      <c r="J401" s="44"/>
      <c r="K401" s="44"/>
      <c r="L401" s="44"/>
      <c r="M401" s="44"/>
      <c r="N401" s="44"/>
      <c r="O401" s="44"/>
    </row>
    <row r="402" spans="1:15" ht="17.25" customHeight="1">
      <c r="A402" s="44"/>
      <c r="B402" s="44"/>
      <c r="C402" s="44"/>
      <c r="D402" s="44"/>
      <c r="E402" s="44"/>
      <c r="F402" s="44"/>
      <c r="G402" s="44"/>
      <c r="H402" s="44"/>
      <c r="I402" s="44"/>
      <c r="J402" s="44"/>
      <c r="K402" s="44"/>
      <c r="L402" s="44"/>
      <c r="M402" s="44"/>
      <c r="N402" s="44"/>
      <c r="O402" s="44"/>
    </row>
    <row r="403" spans="1:15" ht="17.25" customHeight="1">
      <c r="A403" s="44"/>
      <c r="B403" s="44"/>
      <c r="C403" s="44"/>
      <c r="D403" s="44"/>
      <c r="E403" s="44"/>
      <c r="F403" s="44"/>
      <c r="G403" s="44"/>
      <c r="H403" s="44"/>
      <c r="I403" s="44"/>
      <c r="J403" s="44"/>
      <c r="K403" s="44"/>
      <c r="L403" s="44"/>
      <c r="M403" s="44"/>
      <c r="N403" s="44"/>
      <c r="O403" s="44"/>
    </row>
    <row r="404" spans="1:15" ht="17.25" customHeight="1">
      <c r="A404" s="44"/>
      <c r="B404" s="44"/>
      <c r="C404" s="44"/>
      <c r="D404" s="44"/>
      <c r="E404" s="44"/>
      <c r="F404" s="44"/>
      <c r="G404" s="44"/>
      <c r="H404" s="44"/>
      <c r="I404" s="44"/>
      <c r="J404" s="44"/>
      <c r="K404" s="44"/>
      <c r="L404" s="44"/>
      <c r="M404" s="44"/>
      <c r="N404" s="44"/>
      <c r="O404" s="44"/>
    </row>
    <row r="405" spans="1:15" ht="17.25" customHeight="1">
      <c r="A405" s="44"/>
      <c r="B405" s="44"/>
      <c r="C405" s="44"/>
      <c r="D405" s="44"/>
      <c r="E405" s="44"/>
      <c r="F405" s="44"/>
      <c r="G405" s="44"/>
      <c r="H405" s="44"/>
      <c r="I405" s="44"/>
      <c r="J405" s="44"/>
      <c r="K405" s="44"/>
      <c r="L405" s="44"/>
      <c r="M405" s="44"/>
      <c r="N405" s="44"/>
      <c r="O405" s="44"/>
    </row>
    <row r="406" spans="1:15" ht="17.25" customHeight="1">
      <c r="A406" s="44"/>
      <c r="B406" s="44"/>
      <c r="C406" s="44"/>
      <c r="D406" s="44"/>
      <c r="E406" s="44"/>
      <c r="F406" s="44"/>
      <c r="G406" s="44"/>
      <c r="H406" s="44"/>
      <c r="I406" s="44"/>
      <c r="J406" s="44"/>
      <c r="K406" s="44"/>
      <c r="L406" s="44"/>
      <c r="M406" s="44"/>
      <c r="N406" s="44"/>
      <c r="O406" s="44"/>
    </row>
    <row r="407" spans="1:15" ht="17.25" customHeight="1">
      <c r="A407" s="44"/>
      <c r="B407" s="44"/>
      <c r="C407" s="44"/>
      <c r="D407" s="44"/>
      <c r="E407" s="44"/>
      <c r="F407" s="44"/>
      <c r="G407" s="44"/>
      <c r="H407" s="44"/>
      <c r="I407" s="44"/>
      <c r="J407" s="44"/>
      <c r="K407" s="44"/>
      <c r="L407" s="44"/>
      <c r="M407" s="44"/>
      <c r="N407" s="44"/>
      <c r="O407" s="44"/>
    </row>
    <row r="408" spans="1:15" ht="17.25" customHeight="1">
      <c r="A408" s="44"/>
      <c r="B408" s="44"/>
      <c r="C408" s="44"/>
      <c r="D408" s="44"/>
      <c r="E408" s="44"/>
      <c r="F408" s="44"/>
      <c r="G408" s="44"/>
      <c r="H408" s="44"/>
      <c r="I408" s="44"/>
      <c r="J408" s="44"/>
      <c r="K408" s="44"/>
      <c r="L408" s="44"/>
      <c r="M408" s="44"/>
      <c r="N408" s="44"/>
      <c r="O408" s="44"/>
    </row>
    <row r="409" spans="1:15" ht="17.25" customHeight="1">
      <c r="A409" s="44"/>
      <c r="B409" s="44"/>
      <c r="C409" s="44"/>
      <c r="D409" s="44"/>
      <c r="E409" s="44"/>
      <c r="F409" s="44"/>
      <c r="G409" s="44"/>
      <c r="H409" s="44"/>
      <c r="I409" s="44"/>
      <c r="J409" s="44"/>
      <c r="K409" s="44"/>
      <c r="L409" s="44"/>
      <c r="M409" s="44"/>
      <c r="N409" s="44"/>
      <c r="O409" s="44"/>
    </row>
    <row r="410" spans="1:15" ht="17.25" customHeight="1">
      <c r="A410" s="44"/>
      <c r="B410" s="44"/>
      <c r="C410" s="44"/>
      <c r="D410" s="44"/>
      <c r="E410" s="44"/>
      <c r="F410" s="44"/>
      <c r="G410" s="44"/>
      <c r="H410" s="44"/>
      <c r="I410" s="44"/>
      <c r="J410" s="44"/>
      <c r="K410" s="44"/>
      <c r="L410" s="44"/>
      <c r="M410" s="44"/>
      <c r="N410" s="44"/>
      <c r="O410" s="44"/>
    </row>
    <row r="411" spans="1:15" ht="17.25" customHeight="1">
      <c r="A411" s="44"/>
      <c r="B411" s="44"/>
      <c r="C411" s="44"/>
      <c r="D411" s="44"/>
      <c r="E411" s="44"/>
      <c r="F411" s="44"/>
      <c r="G411" s="44"/>
      <c r="H411" s="44"/>
      <c r="I411" s="44"/>
      <c r="J411" s="44"/>
      <c r="K411" s="44"/>
      <c r="L411" s="44"/>
      <c r="M411" s="44"/>
      <c r="N411" s="44"/>
      <c r="O411" s="44"/>
    </row>
    <row r="412" spans="1:15" ht="17.25" customHeight="1">
      <c r="A412" s="44"/>
      <c r="B412" s="44"/>
      <c r="C412" s="44"/>
      <c r="D412" s="44"/>
      <c r="E412" s="44"/>
      <c r="F412" s="44"/>
      <c r="G412" s="44"/>
      <c r="H412" s="44"/>
      <c r="I412" s="44"/>
      <c r="J412" s="44"/>
      <c r="K412" s="44"/>
      <c r="L412" s="44"/>
      <c r="M412" s="44"/>
      <c r="N412" s="44"/>
      <c r="O412" s="44"/>
    </row>
    <row r="413" spans="1:15" ht="17.25" customHeight="1">
      <c r="A413" s="44"/>
      <c r="B413" s="44"/>
      <c r="C413" s="44"/>
      <c r="D413" s="44"/>
      <c r="E413" s="44"/>
      <c r="F413" s="44"/>
      <c r="G413" s="44"/>
      <c r="H413" s="44"/>
      <c r="I413" s="44"/>
      <c r="J413" s="44"/>
      <c r="K413" s="44"/>
      <c r="L413" s="44"/>
      <c r="M413" s="44"/>
      <c r="N413" s="44"/>
      <c r="O413" s="44"/>
    </row>
    <row r="414" spans="1:15" ht="17.25" customHeight="1">
      <c r="A414" s="44"/>
      <c r="B414" s="44"/>
      <c r="C414" s="44"/>
      <c r="D414" s="44"/>
      <c r="E414" s="44"/>
      <c r="F414" s="44"/>
      <c r="G414" s="44"/>
      <c r="H414" s="44"/>
      <c r="I414" s="44"/>
      <c r="J414" s="44"/>
      <c r="K414" s="44"/>
      <c r="L414" s="44"/>
      <c r="M414" s="44"/>
      <c r="N414" s="44"/>
      <c r="O414" s="44"/>
    </row>
    <row r="415" spans="1:15" ht="17.25" customHeight="1">
      <c r="A415" s="44"/>
      <c r="B415" s="44"/>
      <c r="C415" s="44"/>
      <c r="D415" s="44"/>
      <c r="E415" s="44"/>
      <c r="F415" s="44"/>
      <c r="G415" s="44"/>
      <c r="H415" s="44"/>
      <c r="I415" s="44"/>
      <c r="J415" s="44"/>
      <c r="K415" s="44"/>
      <c r="L415" s="44"/>
      <c r="M415" s="44"/>
      <c r="N415" s="44"/>
      <c r="O415" s="44"/>
    </row>
    <row r="416" spans="1:15" ht="17.25" customHeight="1">
      <c r="A416" s="44"/>
      <c r="B416" s="44"/>
      <c r="C416" s="44"/>
      <c r="D416" s="44"/>
      <c r="E416" s="44"/>
      <c r="F416" s="44"/>
      <c r="G416" s="44"/>
      <c r="H416" s="44"/>
      <c r="I416" s="44"/>
      <c r="J416" s="44"/>
      <c r="K416" s="44"/>
      <c r="L416" s="44"/>
      <c r="M416" s="44"/>
      <c r="N416" s="44"/>
      <c r="O416" s="44"/>
    </row>
    <row r="417" spans="1:15" ht="17.25" customHeight="1">
      <c r="A417" s="44"/>
      <c r="B417" s="44"/>
      <c r="C417" s="44"/>
      <c r="D417" s="44"/>
      <c r="E417" s="44"/>
      <c r="F417" s="44"/>
      <c r="G417" s="44"/>
      <c r="H417" s="44"/>
      <c r="I417" s="44"/>
      <c r="J417" s="44"/>
      <c r="K417" s="44"/>
      <c r="L417" s="44"/>
      <c r="M417" s="44"/>
      <c r="N417" s="44"/>
      <c r="O417" s="44"/>
    </row>
    <row r="418" spans="1:15" ht="17.25" customHeight="1">
      <c r="A418" s="44"/>
      <c r="B418" s="44"/>
      <c r="C418" s="44"/>
      <c r="D418" s="44"/>
      <c r="E418" s="44"/>
      <c r="F418" s="44"/>
      <c r="G418" s="44"/>
      <c r="H418" s="44"/>
      <c r="I418" s="44"/>
      <c r="J418" s="44"/>
      <c r="K418" s="44"/>
      <c r="L418" s="44"/>
      <c r="M418" s="44"/>
      <c r="N418" s="44"/>
      <c r="O418" s="44"/>
    </row>
    <row r="419" spans="1:15" ht="17.25" customHeight="1">
      <c r="A419" s="44"/>
      <c r="B419" s="44"/>
      <c r="C419" s="44"/>
      <c r="D419" s="44"/>
      <c r="E419" s="44"/>
      <c r="F419" s="44"/>
      <c r="G419" s="44"/>
      <c r="H419" s="44"/>
      <c r="I419" s="44"/>
      <c r="J419" s="44"/>
      <c r="K419" s="44"/>
      <c r="L419" s="44"/>
      <c r="M419" s="44"/>
      <c r="N419" s="44"/>
      <c r="O419" s="44"/>
    </row>
    <row r="420" spans="1:15" ht="17.25" customHeight="1">
      <c r="A420" s="44"/>
      <c r="B420" s="44"/>
      <c r="C420" s="44"/>
      <c r="D420" s="44"/>
      <c r="E420" s="44"/>
      <c r="F420" s="44"/>
      <c r="G420" s="44"/>
      <c r="H420" s="44"/>
      <c r="I420" s="44"/>
      <c r="J420" s="44"/>
      <c r="K420" s="44"/>
      <c r="L420" s="44"/>
      <c r="M420" s="44"/>
      <c r="N420" s="44"/>
      <c r="O420" s="44"/>
    </row>
    <row r="421" spans="1:15" ht="17.25" customHeight="1">
      <c r="A421" s="44"/>
      <c r="B421" s="44"/>
      <c r="C421" s="44"/>
      <c r="D421" s="44"/>
      <c r="E421" s="44"/>
      <c r="F421" s="44"/>
      <c r="G421" s="44"/>
      <c r="H421" s="44"/>
      <c r="I421" s="44"/>
      <c r="J421" s="44"/>
      <c r="K421" s="44"/>
      <c r="L421" s="44"/>
      <c r="M421" s="44"/>
      <c r="N421" s="44"/>
      <c r="O421" s="44"/>
    </row>
    <row r="422" spans="1:15" ht="17.25" customHeight="1">
      <c r="A422" s="44"/>
      <c r="B422" s="44"/>
      <c r="C422" s="44"/>
      <c r="D422" s="44"/>
      <c r="E422" s="44"/>
      <c r="F422" s="44"/>
      <c r="G422" s="44"/>
      <c r="H422" s="44"/>
      <c r="I422" s="44"/>
      <c r="J422" s="44"/>
      <c r="K422" s="44"/>
      <c r="L422" s="44"/>
      <c r="M422" s="44"/>
      <c r="N422" s="44"/>
      <c r="O422" s="44"/>
    </row>
    <row r="423" spans="1:15" ht="17.25" customHeight="1">
      <c r="A423" s="44"/>
      <c r="B423" s="44"/>
      <c r="C423" s="44"/>
      <c r="D423" s="44"/>
      <c r="E423" s="44"/>
      <c r="F423" s="44"/>
      <c r="G423" s="44"/>
      <c r="H423" s="44"/>
      <c r="I423" s="44"/>
      <c r="J423" s="44"/>
      <c r="K423" s="44"/>
      <c r="L423" s="44"/>
      <c r="M423" s="44"/>
      <c r="N423" s="44"/>
      <c r="O423" s="44"/>
    </row>
    <row r="424" spans="1:15" ht="17.25" customHeight="1">
      <c r="A424" s="44"/>
      <c r="B424" s="44"/>
      <c r="C424" s="44"/>
      <c r="D424" s="44"/>
      <c r="E424" s="44"/>
      <c r="F424" s="44"/>
      <c r="G424" s="44"/>
      <c r="H424" s="44"/>
      <c r="I424" s="44"/>
      <c r="J424" s="44"/>
      <c r="K424" s="44"/>
      <c r="L424" s="44"/>
      <c r="M424" s="44"/>
      <c r="N424" s="44"/>
      <c r="O424" s="44"/>
    </row>
    <row r="425" spans="1:15" ht="17.25" customHeight="1">
      <c r="A425" s="44"/>
      <c r="B425" s="44"/>
      <c r="C425" s="44"/>
      <c r="D425" s="44"/>
      <c r="E425" s="44"/>
      <c r="F425" s="44"/>
      <c r="G425" s="44"/>
      <c r="H425" s="44"/>
      <c r="I425" s="44"/>
      <c r="J425" s="44"/>
      <c r="K425" s="44"/>
      <c r="L425" s="44"/>
      <c r="M425" s="44"/>
      <c r="N425" s="44"/>
      <c r="O425" s="44"/>
    </row>
    <row r="426" spans="1:15" ht="17.25" customHeight="1">
      <c r="A426" s="44"/>
      <c r="B426" s="44"/>
      <c r="C426" s="44"/>
      <c r="D426" s="44"/>
      <c r="E426" s="44"/>
      <c r="F426" s="44"/>
      <c r="G426" s="44"/>
      <c r="H426" s="44"/>
      <c r="I426" s="44"/>
      <c r="J426" s="44"/>
      <c r="K426" s="44"/>
      <c r="L426" s="44"/>
      <c r="M426" s="44"/>
      <c r="N426" s="44"/>
      <c r="O426" s="44"/>
    </row>
    <row r="427" spans="1:15" ht="17.25" customHeight="1">
      <c r="A427" s="44"/>
      <c r="B427" s="44"/>
      <c r="C427" s="44"/>
      <c r="D427" s="44"/>
      <c r="E427" s="44"/>
      <c r="F427" s="44"/>
      <c r="G427" s="44"/>
      <c r="H427" s="44"/>
      <c r="I427" s="44"/>
      <c r="J427" s="44"/>
      <c r="K427" s="44"/>
      <c r="L427" s="44"/>
      <c r="M427" s="44"/>
      <c r="N427" s="44"/>
      <c r="O427" s="44"/>
    </row>
    <row r="428" spans="1:15" ht="17.25" customHeight="1">
      <c r="A428" s="44"/>
      <c r="B428" s="44"/>
      <c r="C428" s="44"/>
      <c r="D428" s="44"/>
      <c r="E428" s="44"/>
      <c r="F428" s="44"/>
      <c r="G428" s="44"/>
      <c r="H428" s="44"/>
      <c r="I428" s="44"/>
      <c r="J428" s="44"/>
      <c r="K428" s="44"/>
      <c r="L428" s="44"/>
      <c r="M428" s="44"/>
      <c r="N428" s="44"/>
      <c r="O428" s="44"/>
    </row>
    <row r="429" spans="1:15" ht="17.25" customHeight="1">
      <c r="A429" s="44"/>
      <c r="B429" s="44"/>
      <c r="C429" s="44"/>
      <c r="D429" s="44"/>
      <c r="E429" s="44"/>
      <c r="F429" s="44"/>
      <c r="G429" s="44"/>
      <c r="H429" s="44"/>
      <c r="I429" s="44"/>
      <c r="J429" s="44"/>
      <c r="K429" s="44"/>
      <c r="L429" s="44"/>
      <c r="M429" s="44"/>
      <c r="N429" s="44"/>
      <c r="O429" s="44"/>
    </row>
    <row r="430" spans="1:15" ht="17.25" customHeight="1">
      <c r="A430" s="44"/>
      <c r="B430" s="44"/>
      <c r="C430" s="44"/>
      <c r="D430" s="44"/>
      <c r="E430" s="44"/>
      <c r="F430" s="44"/>
      <c r="G430" s="44"/>
      <c r="H430" s="44"/>
      <c r="I430" s="44"/>
      <c r="J430" s="44"/>
      <c r="K430" s="44"/>
      <c r="L430" s="44"/>
      <c r="M430" s="44"/>
      <c r="N430" s="44"/>
      <c r="O430" s="44"/>
    </row>
    <row r="431" spans="1:15" ht="17.25" customHeight="1">
      <c r="A431" s="44"/>
      <c r="B431" s="44"/>
      <c r="C431" s="44"/>
      <c r="D431" s="44"/>
      <c r="E431" s="44"/>
      <c r="F431" s="44"/>
      <c r="G431" s="44"/>
      <c r="H431" s="44"/>
      <c r="I431" s="44"/>
      <c r="J431" s="44"/>
      <c r="K431" s="44"/>
      <c r="L431" s="44"/>
      <c r="M431" s="44"/>
      <c r="N431" s="44"/>
      <c r="O431" s="44"/>
    </row>
    <row r="432" spans="1:15" ht="17.25" customHeight="1">
      <c r="A432" s="44"/>
      <c r="B432" s="44"/>
      <c r="C432" s="44"/>
      <c r="D432" s="44"/>
      <c r="E432" s="44"/>
      <c r="F432" s="44"/>
      <c r="G432" s="44"/>
      <c r="H432" s="44"/>
      <c r="I432" s="44"/>
      <c r="J432" s="44"/>
      <c r="K432" s="44"/>
      <c r="L432" s="44"/>
      <c r="M432" s="44"/>
      <c r="N432" s="44"/>
      <c r="O432" s="44"/>
    </row>
    <row r="433" spans="1:15" ht="17.25" customHeight="1">
      <c r="A433" s="44"/>
      <c r="B433" s="44"/>
      <c r="C433" s="44"/>
      <c r="D433" s="44"/>
      <c r="E433" s="44"/>
      <c r="F433" s="44"/>
      <c r="G433" s="44"/>
      <c r="H433" s="44"/>
      <c r="I433" s="44"/>
      <c r="J433" s="44"/>
      <c r="K433" s="44"/>
      <c r="L433" s="44"/>
      <c r="M433" s="44"/>
      <c r="N433" s="44"/>
      <c r="O433" s="44"/>
    </row>
    <row r="434" spans="1:15" ht="17.25" customHeight="1">
      <c r="A434" s="44"/>
      <c r="B434" s="44"/>
      <c r="C434" s="44"/>
      <c r="D434" s="44"/>
      <c r="E434" s="44"/>
      <c r="F434" s="44"/>
      <c r="G434" s="44"/>
      <c r="H434" s="44"/>
      <c r="I434" s="44"/>
      <c r="J434" s="44"/>
      <c r="K434" s="44"/>
      <c r="L434" s="44"/>
      <c r="M434" s="44"/>
      <c r="N434" s="44"/>
      <c r="O434" s="44"/>
    </row>
    <row r="435" spans="1:15" ht="17.25" customHeight="1">
      <c r="A435" s="44"/>
      <c r="B435" s="44"/>
      <c r="C435" s="44"/>
      <c r="D435" s="44"/>
      <c r="E435" s="44"/>
      <c r="F435" s="44"/>
      <c r="G435" s="44"/>
      <c r="H435" s="44"/>
      <c r="I435" s="44"/>
      <c r="J435" s="44"/>
      <c r="K435" s="44"/>
      <c r="L435" s="44"/>
      <c r="M435" s="44"/>
      <c r="N435" s="44"/>
      <c r="O435" s="44"/>
    </row>
    <row r="436" spans="1:15" ht="17.25" customHeight="1">
      <c r="A436" s="44"/>
      <c r="B436" s="44"/>
      <c r="C436" s="44"/>
      <c r="D436" s="44"/>
      <c r="E436" s="44"/>
      <c r="F436" s="44"/>
      <c r="G436" s="44"/>
      <c r="H436" s="44"/>
      <c r="I436" s="44"/>
      <c r="J436" s="44"/>
      <c r="K436" s="44"/>
      <c r="L436" s="44"/>
      <c r="M436" s="44"/>
      <c r="N436" s="44"/>
      <c r="O436" s="44"/>
    </row>
    <row r="437" spans="1:15" ht="17.25" customHeight="1">
      <c r="A437" s="44"/>
      <c r="B437" s="44"/>
      <c r="C437" s="44"/>
      <c r="D437" s="44"/>
      <c r="E437" s="44"/>
      <c r="F437" s="44"/>
      <c r="G437" s="44"/>
      <c r="H437" s="44"/>
      <c r="I437" s="44"/>
      <c r="J437" s="44"/>
      <c r="K437" s="44"/>
      <c r="L437" s="44"/>
      <c r="M437" s="44"/>
      <c r="N437" s="44"/>
      <c r="O437" s="44"/>
    </row>
    <row r="438" spans="1:15" ht="17.25" customHeight="1">
      <c r="A438" s="44"/>
      <c r="B438" s="44"/>
      <c r="C438" s="44"/>
      <c r="D438" s="44"/>
      <c r="E438" s="44"/>
      <c r="F438" s="44"/>
      <c r="G438" s="44"/>
      <c r="H438" s="44"/>
      <c r="I438" s="44"/>
      <c r="J438" s="44"/>
      <c r="K438" s="44"/>
      <c r="L438" s="44"/>
      <c r="M438" s="44"/>
      <c r="N438" s="44"/>
      <c r="O438" s="44"/>
    </row>
    <row r="439" spans="1:15" ht="17.25" customHeight="1">
      <c r="A439" s="44"/>
      <c r="B439" s="44"/>
      <c r="C439" s="44"/>
      <c r="D439" s="44"/>
      <c r="E439" s="44"/>
      <c r="F439" s="44"/>
      <c r="G439" s="44"/>
      <c r="H439" s="44"/>
      <c r="I439" s="44"/>
      <c r="J439" s="44"/>
      <c r="K439" s="44"/>
      <c r="L439" s="44"/>
      <c r="M439" s="44"/>
      <c r="N439" s="44"/>
      <c r="O439" s="44"/>
    </row>
    <row r="440" spans="1:15" ht="17.25" customHeight="1">
      <c r="A440" s="44"/>
      <c r="B440" s="44"/>
      <c r="C440" s="44"/>
      <c r="D440" s="44"/>
      <c r="E440" s="44"/>
      <c r="F440" s="44"/>
      <c r="G440" s="44"/>
      <c r="H440" s="44"/>
      <c r="I440" s="44"/>
      <c r="J440" s="44"/>
      <c r="K440" s="44"/>
      <c r="L440" s="44"/>
      <c r="M440" s="44"/>
      <c r="N440" s="44"/>
      <c r="O440" s="44"/>
    </row>
    <row r="441" spans="1:15" ht="17.25" customHeight="1">
      <c r="A441" s="44"/>
      <c r="B441" s="44"/>
      <c r="C441" s="44"/>
      <c r="D441" s="44"/>
      <c r="E441" s="44"/>
      <c r="F441" s="44"/>
      <c r="G441" s="44"/>
      <c r="H441" s="44"/>
      <c r="I441" s="44"/>
      <c r="J441" s="44"/>
      <c r="K441" s="44"/>
      <c r="L441" s="44"/>
      <c r="M441" s="44"/>
      <c r="N441" s="44"/>
      <c r="O441" s="44"/>
    </row>
    <row r="442" spans="1:15" ht="17.25" customHeight="1">
      <c r="A442" s="44"/>
      <c r="B442" s="44"/>
      <c r="C442" s="44"/>
      <c r="D442" s="44"/>
      <c r="E442" s="44"/>
      <c r="F442" s="44"/>
      <c r="G442" s="44"/>
      <c r="H442" s="44"/>
      <c r="I442" s="44"/>
      <c r="J442" s="44"/>
      <c r="K442" s="44"/>
      <c r="L442" s="44"/>
      <c r="M442" s="44"/>
      <c r="N442" s="44"/>
      <c r="O442" s="44"/>
    </row>
    <row r="443" spans="1:15" ht="17.25" customHeight="1">
      <c r="A443" s="44"/>
      <c r="B443" s="44"/>
      <c r="C443" s="44"/>
      <c r="D443" s="44"/>
      <c r="E443" s="44"/>
      <c r="F443" s="44"/>
      <c r="G443" s="44"/>
      <c r="H443" s="44"/>
      <c r="I443" s="44"/>
      <c r="J443" s="44"/>
      <c r="K443" s="44"/>
      <c r="L443" s="44"/>
      <c r="M443" s="44"/>
      <c r="N443" s="44"/>
      <c r="O443" s="44"/>
    </row>
    <row r="444" spans="1:15" ht="17.25" customHeight="1">
      <c r="A444" s="44"/>
      <c r="B444" s="44"/>
      <c r="C444" s="44"/>
      <c r="D444" s="44"/>
      <c r="E444" s="44"/>
      <c r="F444" s="44"/>
      <c r="G444" s="44"/>
      <c r="H444" s="44"/>
      <c r="I444" s="44"/>
      <c r="J444" s="44"/>
      <c r="K444" s="44"/>
      <c r="L444" s="44"/>
      <c r="M444" s="44"/>
      <c r="N444" s="44"/>
      <c r="O444" s="44"/>
    </row>
    <row r="445" spans="1:15" ht="17.25" customHeight="1">
      <c r="A445" s="44"/>
      <c r="B445" s="44"/>
      <c r="C445" s="44"/>
      <c r="D445" s="44"/>
      <c r="E445" s="44"/>
      <c r="F445" s="44"/>
      <c r="G445" s="44"/>
      <c r="H445" s="44"/>
      <c r="I445" s="44"/>
      <c r="J445" s="44"/>
      <c r="K445" s="44"/>
      <c r="L445" s="44"/>
      <c r="M445" s="44"/>
      <c r="N445" s="44"/>
      <c r="O445" s="44"/>
    </row>
    <row r="446" spans="1:15" ht="17.25" customHeight="1">
      <c r="A446" s="44"/>
      <c r="B446" s="44"/>
      <c r="C446" s="44"/>
      <c r="D446" s="44"/>
      <c r="E446" s="44"/>
      <c r="F446" s="44"/>
      <c r="G446" s="44"/>
      <c r="H446" s="44"/>
      <c r="I446" s="44"/>
      <c r="J446" s="44"/>
      <c r="K446" s="44"/>
      <c r="L446" s="44"/>
      <c r="M446" s="44"/>
      <c r="N446" s="44"/>
      <c r="O446" s="44"/>
    </row>
    <row r="447" spans="1:15" ht="17.25" customHeight="1">
      <c r="A447" s="44"/>
      <c r="B447" s="44"/>
      <c r="C447" s="44"/>
      <c r="D447" s="44"/>
      <c r="E447" s="44"/>
      <c r="F447" s="44"/>
      <c r="G447" s="44"/>
      <c r="H447" s="44"/>
      <c r="I447" s="44"/>
      <c r="J447" s="44"/>
      <c r="K447" s="44"/>
      <c r="L447" s="44"/>
      <c r="M447" s="44"/>
      <c r="N447" s="44"/>
      <c r="O447" s="44"/>
    </row>
    <row r="448" spans="1:15" ht="17.25" customHeight="1">
      <c r="A448" s="44"/>
      <c r="B448" s="44"/>
      <c r="C448" s="44"/>
      <c r="D448" s="44"/>
      <c r="E448" s="44"/>
      <c r="F448" s="44"/>
      <c r="G448" s="44"/>
      <c r="H448" s="44"/>
      <c r="I448" s="44"/>
      <c r="J448" s="44"/>
      <c r="K448" s="44"/>
      <c r="L448" s="44"/>
      <c r="M448" s="44"/>
      <c r="N448" s="44"/>
      <c r="O448" s="44"/>
    </row>
    <row r="449" spans="1:15" ht="17.25" customHeight="1">
      <c r="A449" s="44"/>
      <c r="B449" s="44"/>
      <c r="C449" s="44"/>
      <c r="D449" s="44"/>
      <c r="E449" s="44"/>
      <c r="F449" s="44"/>
      <c r="G449" s="44"/>
      <c r="H449" s="44"/>
      <c r="I449" s="44"/>
      <c r="J449" s="44"/>
      <c r="K449" s="44"/>
      <c r="L449" s="44"/>
      <c r="M449" s="44"/>
      <c r="N449" s="44"/>
      <c r="O449" s="44"/>
    </row>
    <row r="450" spans="1:15" ht="17.25" customHeight="1">
      <c r="A450" s="44"/>
      <c r="B450" s="44"/>
      <c r="C450" s="44"/>
      <c r="D450" s="44"/>
      <c r="E450" s="44"/>
      <c r="F450" s="44"/>
      <c r="G450" s="44"/>
      <c r="H450" s="44"/>
      <c r="I450" s="44"/>
      <c r="J450" s="44"/>
      <c r="K450" s="44"/>
      <c r="L450" s="44"/>
      <c r="M450" s="44"/>
      <c r="N450" s="44"/>
      <c r="O450" s="44"/>
    </row>
    <row r="451" spans="1:15" ht="17.25" customHeight="1">
      <c r="A451" s="44"/>
      <c r="B451" s="44"/>
      <c r="C451" s="44"/>
      <c r="D451" s="44"/>
      <c r="E451" s="44"/>
      <c r="F451" s="44"/>
      <c r="G451" s="44"/>
      <c r="H451" s="44"/>
      <c r="I451" s="44"/>
      <c r="J451" s="44"/>
      <c r="K451" s="44"/>
      <c r="L451" s="44"/>
      <c r="M451" s="44"/>
      <c r="N451" s="44"/>
      <c r="O451" s="44"/>
    </row>
    <row r="452" spans="1:15" ht="17.25" customHeight="1">
      <c r="A452" s="44"/>
      <c r="B452" s="44"/>
      <c r="C452" s="44"/>
      <c r="D452" s="44"/>
      <c r="E452" s="44"/>
      <c r="F452" s="44"/>
      <c r="G452" s="44"/>
      <c r="H452" s="44"/>
      <c r="I452" s="44"/>
      <c r="J452" s="44"/>
      <c r="K452" s="44"/>
      <c r="L452" s="44"/>
      <c r="M452" s="44"/>
      <c r="N452" s="44"/>
      <c r="O452" s="44"/>
    </row>
    <row r="453" spans="1:15" ht="17.25" customHeight="1">
      <c r="A453" s="44"/>
      <c r="B453" s="44"/>
      <c r="C453" s="44"/>
      <c r="D453" s="44"/>
      <c r="E453" s="44"/>
      <c r="F453" s="44"/>
      <c r="G453" s="44"/>
      <c r="H453" s="44"/>
      <c r="I453" s="44"/>
      <c r="J453" s="44"/>
      <c r="K453" s="44"/>
      <c r="L453" s="44"/>
      <c r="M453" s="44"/>
      <c r="N453" s="44"/>
      <c r="O453" s="44"/>
    </row>
    <row r="454" spans="1:15" ht="17.25" customHeight="1">
      <c r="A454" s="44"/>
      <c r="B454" s="44"/>
      <c r="C454" s="44"/>
      <c r="D454" s="44"/>
      <c r="E454" s="44"/>
      <c r="F454" s="44"/>
      <c r="G454" s="44"/>
      <c r="H454" s="44"/>
      <c r="I454" s="44"/>
      <c r="J454" s="44"/>
      <c r="K454" s="44"/>
      <c r="L454" s="44"/>
      <c r="M454" s="44"/>
      <c r="N454" s="44"/>
      <c r="O454" s="44"/>
    </row>
    <row r="455" spans="1:15" ht="17.25" customHeight="1">
      <c r="A455" s="44"/>
      <c r="B455" s="44"/>
      <c r="C455" s="44"/>
      <c r="D455" s="44"/>
      <c r="E455" s="44"/>
      <c r="F455" s="44"/>
      <c r="G455" s="44"/>
      <c r="H455" s="44"/>
      <c r="I455" s="44"/>
      <c r="J455" s="44"/>
      <c r="K455" s="44"/>
      <c r="L455" s="44"/>
      <c r="M455" s="44"/>
      <c r="N455" s="44"/>
      <c r="O455" s="44"/>
    </row>
    <row r="456" spans="1:15" ht="17.25" customHeight="1">
      <c r="A456" s="44"/>
      <c r="B456" s="44"/>
      <c r="C456" s="44"/>
      <c r="D456" s="44"/>
      <c r="E456" s="44"/>
      <c r="F456" s="44"/>
      <c r="G456" s="44"/>
      <c r="H456" s="44"/>
      <c r="I456" s="44"/>
      <c r="J456" s="44"/>
      <c r="K456" s="44"/>
      <c r="L456" s="44"/>
      <c r="M456" s="44"/>
      <c r="N456" s="44"/>
      <c r="O456" s="44"/>
    </row>
    <row r="457" spans="1:15" ht="17.25" customHeight="1">
      <c r="A457" s="44"/>
      <c r="B457" s="44"/>
      <c r="C457" s="44"/>
      <c r="D457" s="44"/>
      <c r="E457" s="44"/>
      <c r="F457" s="44"/>
      <c r="G457" s="44"/>
      <c r="H457" s="44"/>
      <c r="I457" s="44"/>
      <c r="J457" s="44"/>
      <c r="K457" s="44"/>
      <c r="L457" s="44"/>
      <c r="M457" s="44"/>
      <c r="N457" s="44"/>
      <c r="O457" s="44"/>
    </row>
    <row r="458" spans="1:15" ht="17.25" customHeight="1">
      <c r="A458" s="44"/>
      <c r="B458" s="44"/>
      <c r="C458" s="44"/>
      <c r="D458" s="44"/>
      <c r="E458" s="44"/>
      <c r="F458" s="44"/>
      <c r="G458" s="44"/>
      <c r="H458" s="44"/>
      <c r="I458" s="44"/>
      <c r="J458" s="44"/>
      <c r="K458" s="44"/>
      <c r="L458" s="44"/>
      <c r="M458" s="44"/>
      <c r="N458" s="44"/>
      <c r="O458" s="44"/>
    </row>
    <row r="459" spans="1:15" ht="17.25" customHeight="1">
      <c r="A459" s="44"/>
      <c r="B459" s="44"/>
      <c r="C459" s="44"/>
      <c r="D459" s="44"/>
      <c r="E459" s="44"/>
      <c r="F459" s="44"/>
      <c r="G459" s="44"/>
      <c r="H459" s="44"/>
      <c r="I459" s="44"/>
      <c r="J459" s="44"/>
      <c r="K459" s="44"/>
      <c r="L459" s="44"/>
      <c r="M459" s="44"/>
      <c r="N459" s="44"/>
      <c r="O459" s="44"/>
    </row>
    <row r="460" spans="1:15" ht="17.25" customHeight="1">
      <c r="A460" s="44"/>
      <c r="B460" s="44"/>
      <c r="C460" s="44"/>
      <c r="D460" s="44"/>
      <c r="E460" s="44"/>
      <c r="F460" s="44"/>
      <c r="G460" s="44"/>
      <c r="H460" s="44"/>
      <c r="I460" s="44"/>
      <c r="J460" s="44"/>
      <c r="K460" s="44"/>
      <c r="L460" s="44"/>
      <c r="M460" s="44"/>
      <c r="N460" s="44"/>
      <c r="O460" s="44"/>
    </row>
    <row r="461" spans="1:15" ht="17.25" customHeight="1">
      <c r="A461" s="44"/>
      <c r="B461" s="44"/>
      <c r="C461" s="44"/>
      <c r="D461" s="44"/>
      <c r="E461" s="44"/>
      <c r="F461" s="44"/>
      <c r="G461" s="44"/>
      <c r="H461" s="44"/>
      <c r="I461" s="44"/>
      <c r="J461" s="44"/>
      <c r="K461" s="44"/>
      <c r="L461" s="44"/>
      <c r="M461" s="44"/>
      <c r="N461" s="44"/>
      <c r="O461" s="44"/>
    </row>
    <row r="462" spans="1:15" ht="17.25" customHeight="1">
      <c r="A462" s="44"/>
      <c r="B462" s="44"/>
      <c r="C462" s="44"/>
      <c r="D462" s="44"/>
      <c r="E462" s="44"/>
      <c r="F462" s="44"/>
      <c r="G462" s="44"/>
      <c r="H462" s="44"/>
      <c r="I462" s="44"/>
      <c r="J462" s="44"/>
      <c r="K462" s="44"/>
      <c r="L462" s="44"/>
      <c r="M462" s="44"/>
      <c r="N462" s="44"/>
      <c r="O462" s="44"/>
    </row>
    <row r="463" spans="1:15" ht="17.25" customHeight="1">
      <c r="A463" s="44"/>
      <c r="B463" s="44"/>
      <c r="C463" s="44"/>
      <c r="D463" s="44"/>
      <c r="E463" s="44"/>
      <c r="F463" s="44"/>
      <c r="G463" s="44"/>
      <c r="H463" s="44"/>
      <c r="I463" s="44"/>
      <c r="J463" s="44"/>
      <c r="K463" s="44"/>
      <c r="L463" s="44"/>
      <c r="M463" s="44"/>
      <c r="N463" s="44"/>
      <c r="O463" s="44"/>
    </row>
    <row r="464" spans="1:15" ht="17.25" customHeight="1">
      <c r="A464" s="44"/>
      <c r="B464" s="44"/>
      <c r="C464" s="44"/>
      <c r="D464" s="44"/>
      <c r="E464" s="44"/>
      <c r="F464" s="44"/>
      <c r="G464" s="44"/>
      <c r="H464" s="44"/>
      <c r="I464" s="44"/>
      <c r="J464" s="44"/>
      <c r="K464" s="44"/>
      <c r="L464" s="44"/>
      <c r="M464" s="44"/>
      <c r="N464" s="44"/>
      <c r="O464" s="44"/>
    </row>
    <row r="465" spans="1:15" ht="17.25" customHeight="1">
      <c r="A465" s="44"/>
      <c r="B465" s="44"/>
      <c r="C465" s="44"/>
      <c r="D465" s="44"/>
      <c r="E465" s="44"/>
      <c r="F465" s="44"/>
      <c r="G465" s="44"/>
      <c r="H465" s="44"/>
      <c r="I465" s="44"/>
      <c r="J465" s="44"/>
      <c r="K465" s="44"/>
      <c r="L465" s="44"/>
      <c r="M465" s="44"/>
      <c r="N465" s="44"/>
      <c r="O465" s="44"/>
    </row>
    <row r="466" spans="1:15" ht="17.25" customHeight="1">
      <c r="A466" s="44"/>
      <c r="B466" s="44"/>
      <c r="C466" s="44"/>
      <c r="D466" s="44"/>
      <c r="E466" s="44"/>
      <c r="F466" s="44"/>
      <c r="G466" s="44"/>
      <c r="H466" s="44"/>
      <c r="I466" s="44"/>
      <c r="J466" s="44"/>
      <c r="K466" s="44"/>
      <c r="L466" s="44"/>
      <c r="M466" s="44"/>
      <c r="N466" s="44"/>
      <c r="O466" s="44"/>
    </row>
    <row r="467" spans="1:15" ht="17.25" customHeight="1">
      <c r="A467" s="44"/>
      <c r="B467" s="44"/>
      <c r="C467" s="44"/>
      <c r="D467" s="44"/>
      <c r="E467" s="44"/>
      <c r="F467" s="44"/>
      <c r="G467" s="44"/>
      <c r="H467" s="44"/>
      <c r="I467" s="44"/>
      <c r="J467" s="44"/>
      <c r="K467" s="44"/>
      <c r="L467" s="44"/>
      <c r="M467" s="44"/>
      <c r="N467" s="44"/>
      <c r="O467" s="44"/>
    </row>
    <row r="468" spans="1:15" ht="17.25" customHeight="1">
      <c r="A468" s="44"/>
      <c r="B468" s="44"/>
      <c r="C468" s="44"/>
      <c r="D468" s="44"/>
      <c r="E468" s="44"/>
      <c r="F468" s="44"/>
      <c r="G468" s="44"/>
      <c r="H468" s="44"/>
      <c r="I468" s="44"/>
      <c r="J468" s="44"/>
      <c r="K468" s="44"/>
      <c r="L468" s="44"/>
      <c r="M468" s="44"/>
      <c r="N468" s="44"/>
      <c r="O468" s="44"/>
    </row>
    <row r="469" spans="1:15" ht="17.25" customHeight="1">
      <c r="A469" s="44"/>
      <c r="B469" s="44"/>
      <c r="C469" s="44"/>
      <c r="D469" s="44"/>
      <c r="E469" s="44"/>
      <c r="F469" s="44"/>
      <c r="G469" s="44"/>
      <c r="H469" s="44"/>
      <c r="I469" s="44"/>
      <c r="J469" s="44"/>
      <c r="K469" s="44"/>
      <c r="L469" s="44"/>
      <c r="M469" s="44"/>
      <c r="N469" s="44"/>
      <c r="O469" s="44"/>
    </row>
    <row r="470" spans="1:15" ht="17.25" customHeight="1">
      <c r="A470" s="44"/>
      <c r="B470" s="44"/>
      <c r="C470" s="44"/>
      <c r="D470" s="44"/>
      <c r="E470" s="44"/>
      <c r="F470" s="44"/>
      <c r="G470" s="44"/>
      <c r="H470" s="44"/>
      <c r="I470" s="44"/>
      <c r="J470" s="44"/>
      <c r="K470" s="44"/>
      <c r="L470" s="44"/>
      <c r="M470" s="44"/>
      <c r="N470" s="44"/>
      <c r="O470" s="44"/>
    </row>
    <row r="471" spans="1:15" ht="17.25" customHeight="1">
      <c r="A471" s="44"/>
      <c r="B471" s="44"/>
      <c r="C471" s="44"/>
      <c r="D471" s="44"/>
      <c r="E471" s="44"/>
      <c r="F471" s="44"/>
      <c r="G471" s="44"/>
      <c r="H471" s="44"/>
      <c r="I471" s="44"/>
      <c r="J471" s="44"/>
      <c r="K471" s="44"/>
      <c r="L471" s="44"/>
      <c r="M471" s="44"/>
      <c r="N471" s="44"/>
      <c r="O471" s="44"/>
    </row>
    <row r="472" spans="1:15" ht="17.25" customHeight="1">
      <c r="A472" s="44"/>
      <c r="B472" s="44"/>
      <c r="C472" s="44"/>
      <c r="D472" s="44"/>
      <c r="E472" s="44"/>
      <c r="F472" s="44"/>
      <c r="G472" s="44"/>
      <c r="H472" s="44"/>
      <c r="I472" s="44"/>
      <c r="J472" s="44"/>
      <c r="K472" s="44"/>
      <c r="L472" s="44"/>
      <c r="M472" s="44"/>
      <c r="N472" s="44"/>
      <c r="O472" s="44"/>
    </row>
    <row r="473" spans="1:15" ht="17.25" customHeight="1">
      <c r="A473" s="44"/>
      <c r="B473" s="44"/>
      <c r="C473" s="44"/>
      <c r="D473" s="44"/>
      <c r="E473" s="44"/>
      <c r="F473" s="44"/>
      <c r="G473" s="44"/>
      <c r="H473" s="44"/>
      <c r="I473" s="44"/>
      <c r="J473" s="44"/>
      <c r="K473" s="44"/>
      <c r="L473" s="44"/>
      <c r="M473" s="44"/>
      <c r="N473" s="44"/>
      <c r="O473" s="44"/>
    </row>
    <row r="474" spans="1:15" ht="17.25" customHeight="1">
      <c r="A474" s="44"/>
      <c r="B474" s="44"/>
      <c r="C474" s="44"/>
      <c r="D474" s="44"/>
      <c r="E474" s="44"/>
      <c r="F474" s="44"/>
      <c r="G474" s="44"/>
      <c r="H474" s="44"/>
      <c r="I474" s="44"/>
      <c r="J474" s="44"/>
      <c r="K474" s="44"/>
      <c r="L474" s="44"/>
      <c r="M474" s="44"/>
      <c r="N474" s="44"/>
      <c r="O474" s="44"/>
    </row>
    <row r="475" spans="1:15" ht="17.25" customHeight="1">
      <c r="A475" s="44"/>
      <c r="B475" s="44"/>
      <c r="C475" s="44"/>
      <c r="D475" s="44"/>
      <c r="E475" s="44"/>
      <c r="F475" s="44"/>
      <c r="G475" s="44"/>
      <c r="H475" s="44"/>
      <c r="I475" s="44"/>
      <c r="J475" s="44"/>
      <c r="K475" s="44"/>
      <c r="L475" s="44"/>
      <c r="M475" s="44"/>
      <c r="N475" s="44"/>
      <c r="O475" s="44"/>
    </row>
    <row r="476" spans="1:15" ht="17.25" customHeight="1">
      <c r="A476" s="44"/>
      <c r="B476" s="44"/>
      <c r="C476" s="44"/>
      <c r="D476" s="44"/>
      <c r="E476" s="44"/>
      <c r="F476" s="44"/>
      <c r="G476" s="44"/>
      <c r="H476" s="44"/>
      <c r="I476" s="44"/>
      <c r="J476" s="44"/>
      <c r="K476" s="44"/>
      <c r="L476" s="44"/>
      <c r="M476" s="44"/>
      <c r="N476" s="44"/>
      <c r="O476" s="44"/>
    </row>
    <row r="477" spans="1:15" ht="17.25" customHeight="1">
      <c r="A477" s="44"/>
      <c r="B477" s="44"/>
      <c r="C477" s="44"/>
      <c r="D477" s="44"/>
      <c r="E477" s="44"/>
      <c r="F477" s="44"/>
      <c r="G477" s="44"/>
      <c r="H477" s="44"/>
      <c r="I477" s="44"/>
      <c r="J477" s="44"/>
      <c r="K477" s="44"/>
      <c r="L477" s="44"/>
      <c r="M477" s="44"/>
      <c r="N477" s="44"/>
      <c r="O477" s="44"/>
    </row>
    <row r="478" spans="1:15" ht="17.25" customHeight="1">
      <c r="A478" s="44"/>
      <c r="B478" s="44"/>
      <c r="C478" s="44"/>
      <c r="D478" s="44"/>
      <c r="E478" s="44"/>
      <c r="F478" s="44"/>
      <c r="G478" s="44"/>
      <c r="H478" s="44"/>
      <c r="I478" s="44"/>
      <c r="J478" s="44"/>
      <c r="K478" s="44"/>
      <c r="L478" s="44"/>
      <c r="M478" s="44"/>
      <c r="N478" s="44"/>
      <c r="O478" s="44"/>
    </row>
    <row r="479" spans="1:15" ht="17.25" customHeight="1">
      <c r="A479" s="44"/>
      <c r="B479" s="44"/>
      <c r="C479" s="44"/>
      <c r="D479" s="44"/>
      <c r="E479" s="44"/>
      <c r="F479" s="44"/>
      <c r="G479" s="44"/>
      <c r="H479" s="44"/>
      <c r="I479" s="44"/>
      <c r="J479" s="44"/>
      <c r="K479" s="44"/>
      <c r="L479" s="44"/>
      <c r="M479" s="44"/>
      <c r="N479" s="44"/>
      <c r="O479" s="44"/>
    </row>
    <row r="480" spans="1:15" ht="17.25" customHeight="1">
      <c r="A480" s="44"/>
      <c r="B480" s="44"/>
      <c r="C480" s="44"/>
      <c r="D480" s="44"/>
      <c r="E480" s="44"/>
      <c r="F480" s="44"/>
      <c r="G480" s="44"/>
      <c r="H480" s="44"/>
      <c r="I480" s="44"/>
      <c r="J480" s="44"/>
      <c r="K480" s="44"/>
      <c r="L480" s="44"/>
      <c r="M480" s="44"/>
      <c r="N480" s="44"/>
      <c r="O480" s="44"/>
    </row>
    <row r="481" spans="1:15" ht="17.25" customHeight="1">
      <c r="A481" s="44"/>
      <c r="B481" s="44"/>
      <c r="C481" s="44"/>
      <c r="D481" s="44"/>
      <c r="E481" s="44"/>
      <c r="F481" s="44"/>
      <c r="G481" s="44"/>
      <c r="H481" s="44"/>
      <c r="I481" s="44"/>
      <c r="J481" s="44"/>
      <c r="K481" s="44"/>
      <c r="L481" s="44"/>
      <c r="M481" s="44"/>
      <c r="N481" s="44"/>
      <c r="O481" s="44"/>
    </row>
    <row r="482" spans="1:15" ht="17.25" customHeight="1">
      <c r="A482" s="44"/>
      <c r="B482" s="44"/>
      <c r="C482" s="44"/>
      <c r="D482" s="44"/>
      <c r="E482" s="44"/>
      <c r="F482" s="44"/>
      <c r="G482" s="44"/>
      <c r="H482" s="44"/>
      <c r="I482" s="44"/>
      <c r="J482" s="44"/>
      <c r="K482" s="44"/>
      <c r="L482" s="44"/>
      <c r="M482" s="44"/>
      <c r="N482" s="44"/>
      <c r="O482" s="44"/>
    </row>
    <row r="483" spans="1:15" ht="17.25" customHeight="1">
      <c r="A483" s="44"/>
      <c r="B483" s="44"/>
      <c r="C483" s="44"/>
      <c r="D483" s="44"/>
      <c r="E483" s="44"/>
      <c r="F483" s="44"/>
      <c r="G483" s="44"/>
      <c r="H483" s="44"/>
      <c r="I483" s="44"/>
      <c r="J483" s="44"/>
      <c r="K483" s="44"/>
      <c r="L483" s="44"/>
      <c r="M483" s="44"/>
      <c r="N483" s="44"/>
      <c r="O483" s="44"/>
    </row>
    <row r="484" spans="1:15" ht="17.25" customHeight="1">
      <c r="A484" s="44"/>
      <c r="B484" s="44"/>
      <c r="C484" s="44"/>
      <c r="D484" s="44"/>
      <c r="E484" s="44"/>
      <c r="F484" s="44"/>
      <c r="G484" s="44"/>
      <c r="H484" s="44"/>
      <c r="I484" s="44"/>
      <c r="J484" s="44"/>
      <c r="K484" s="44"/>
      <c r="L484" s="44"/>
      <c r="M484" s="44"/>
      <c r="N484" s="44"/>
      <c r="O484" s="44"/>
    </row>
    <row r="485" spans="1:15" ht="17.25" customHeight="1">
      <c r="A485" s="44"/>
      <c r="B485" s="44"/>
      <c r="C485" s="44"/>
      <c r="D485" s="44"/>
      <c r="E485" s="44"/>
      <c r="F485" s="44"/>
      <c r="G485" s="44"/>
      <c r="H485" s="44"/>
      <c r="I485" s="44"/>
      <c r="J485" s="44"/>
      <c r="K485" s="44"/>
      <c r="L485" s="44"/>
      <c r="M485" s="44"/>
      <c r="N485" s="44"/>
      <c r="O485" s="44"/>
    </row>
    <row r="486" spans="1:15" ht="17.25" customHeight="1">
      <c r="A486" s="44"/>
      <c r="B486" s="44"/>
      <c r="C486" s="44"/>
      <c r="D486" s="44"/>
      <c r="E486" s="44"/>
      <c r="F486" s="44"/>
      <c r="G486" s="44"/>
      <c r="H486" s="44"/>
      <c r="I486" s="44"/>
      <c r="J486" s="44"/>
      <c r="K486" s="44"/>
      <c r="L486" s="44"/>
      <c r="M486" s="44"/>
      <c r="N486" s="44"/>
      <c r="O486" s="44"/>
    </row>
    <row r="487" spans="1:15" ht="17.25" customHeight="1">
      <c r="A487" s="44"/>
      <c r="B487" s="44"/>
      <c r="C487" s="44"/>
      <c r="D487" s="44"/>
      <c r="E487" s="44"/>
      <c r="F487" s="44"/>
      <c r="G487" s="44"/>
      <c r="H487" s="44"/>
      <c r="I487" s="44"/>
      <c r="J487" s="44"/>
      <c r="K487" s="44"/>
      <c r="L487" s="44"/>
      <c r="M487" s="44"/>
      <c r="N487" s="44"/>
      <c r="O487" s="44"/>
    </row>
    <row r="488" spans="1:15" ht="17.25" customHeight="1">
      <c r="A488" s="44"/>
      <c r="B488" s="44"/>
      <c r="C488" s="44"/>
      <c r="D488" s="44"/>
      <c r="E488" s="44"/>
      <c r="F488" s="44"/>
      <c r="G488" s="44"/>
      <c r="H488" s="44"/>
      <c r="I488" s="44"/>
      <c r="J488" s="44"/>
      <c r="K488" s="44"/>
      <c r="L488" s="44"/>
      <c r="M488" s="44"/>
      <c r="N488" s="44"/>
      <c r="O488" s="44"/>
    </row>
    <row r="489" spans="1:15" ht="17.25" customHeight="1">
      <c r="A489" s="44"/>
      <c r="B489" s="44"/>
      <c r="C489" s="44"/>
      <c r="D489" s="44"/>
      <c r="E489" s="44"/>
      <c r="F489" s="44"/>
      <c r="G489" s="44"/>
      <c r="H489" s="44"/>
      <c r="I489" s="44"/>
      <c r="J489" s="44"/>
      <c r="K489" s="44"/>
      <c r="L489" s="44"/>
      <c r="M489" s="44"/>
      <c r="N489" s="44"/>
      <c r="O489" s="44"/>
    </row>
    <row r="490" spans="1:15" ht="17.25" customHeight="1">
      <c r="A490" s="44"/>
      <c r="B490" s="44"/>
      <c r="C490" s="44"/>
      <c r="D490" s="44"/>
      <c r="E490" s="44"/>
      <c r="F490" s="44"/>
      <c r="G490" s="44"/>
      <c r="H490" s="44"/>
      <c r="I490" s="44"/>
      <c r="J490" s="44"/>
      <c r="K490" s="44"/>
      <c r="L490" s="44"/>
      <c r="M490" s="44"/>
      <c r="N490" s="44"/>
      <c r="O490" s="44"/>
    </row>
    <row r="491" spans="1:15" ht="17.25" customHeight="1">
      <c r="A491" s="44"/>
      <c r="B491" s="44"/>
      <c r="C491" s="44"/>
      <c r="D491" s="44"/>
      <c r="E491" s="44"/>
      <c r="F491" s="44"/>
      <c r="G491" s="44"/>
      <c r="H491" s="44"/>
      <c r="I491" s="44"/>
      <c r="J491" s="44"/>
      <c r="K491" s="44"/>
      <c r="L491" s="44"/>
      <c r="M491" s="44"/>
      <c r="N491" s="44"/>
      <c r="O491" s="44"/>
    </row>
    <row r="492" spans="1:15" ht="17.25" customHeight="1">
      <c r="A492" s="44"/>
      <c r="B492" s="44"/>
      <c r="C492" s="44"/>
      <c r="D492" s="44"/>
      <c r="E492" s="44"/>
      <c r="F492" s="44"/>
      <c r="G492" s="44"/>
      <c r="H492" s="44"/>
      <c r="I492" s="44"/>
      <c r="J492" s="44"/>
      <c r="K492" s="44"/>
      <c r="L492" s="44"/>
      <c r="M492" s="44"/>
      <c r="N492" s="44"/>
      <c r="O492" s="44"/>
    </row>
    <row r="493" spans="1:15" ht="17.25" customHeight="1">
      <c r="A493" s="44"/>
      <c r="B493" s="44"/>
      <c r="C493" s="44"/>
      <c r="D493" s="44"/>
      <c r="E493" s="44"/>
      <c r="F493" s="44"/>
      <c r="G493" s="44"/>
      <c r="H493" s="44"/>
      <c r="I493" s="44"/>
      <c r="J493" s="44"/>
      <c r="K493" s="44"/>
      <c r="L493" s="44"/>
      <c r="M493" s="44"/>
      <c r="N493" s="44"/>
      <c r="O493" s="44"/>
    </row>
    <row r="494" spans="1:15" ht="17.25" customHeight="1">
      <c r="A494" s="44"/>
      <c r="B494" s="44"/>
      <c r="C494" s="44"/>
      <c r="D494" s="44"/>
      <c r="E494" s="44"/>
      <c r="F494" s="44"/>
      <c r="G494" s="44"/>
      <c r="H494" s="44"/>
      <c r="I494" s="44"/>
      <c r="J494" s="44"/>
      <c r="K494" s="44"/>
      <c r="L494" s="44"/>
      <c r="M494" s="44"/>
      <c r="N494" s="44"/>
      <c r="O494" s="44"/>
    </row>
    <row r="495" spans="1:15" ht="17.25" customHeight="1">
      <c r="A495" s="44"/>
      <c r="B495" s="44"/>
      <c r="C495" s="44"/>
      <c r="D495" s="44"/>
      <c r="E495" s="44"/>
      <c r="F495" s="44"/>
      <c r="G495" s="44"/>
      <c r="H495" s="44"/>
      <c r="I495" s="44"/>
      <c r="J495" s="44"/>
      <c r="K495" s="44"/>
      <c r="L495" s="44"/>
      <c r="M495" s="44"/>
      <c r="N495" s="44"/>
      <c r="O495" s="44"/>
    </row>
    <row r="496" spans="1:15" ht="17.25" customHeight="1">
      <c r="A496" s="44"/>
      <c r="B496" s="44"/>
      <c r="C496" s="44"/>
      <c r="D496" s="44"/>
      <c r="E496" s="44"/>
      <c r="F496" s="44"/>
      <c r="G496" s="44"/>
      <c r="H496" s="44"/>
      <c r="I496" s="44"/>
      <c r="J496" s="44"/>
      <c r="K496" s="44"/>
      <c r="L496" s="44"/>
      <c r="M496" s="44"/>
      <c r="N496" s="44"/>
      <c r="O496" s="44"/>
    </row>
    <row r="497" spans="1:15" ht="17.25" customHeight="1">
      <c r="A497" s="44"/>
      <c r="B497" s="44"/>
      <c r="C497" s="44"/>
      <c r="D497" s="44"/>
      <c r="E497" s="44"/>
      <c r="F497" s="44"/>
      <c r="G497" s="44"/>
      <c r="H497" s="44"/>
      <c r="I497" s="44"/>
      <c r="J497" s="44"/>
      <c r="K497" s="44"/>
      <c r="L497" s="44"/>
      <c r="M497" s="44"/>
      <c r="N497" s="44"/>
      <c r="O497" s="44"/>
    </row>
    <row r="498" spans="1:15" ht="17.25" customHeight="1">
      <c r="A498" s="44"/>
      <c r="B498" s="44"/>
      <c r="C498" s="44"/>
      <c r="D498" s="44"/>
      <c r="E498" s="44"/>
      <c r="F498" s="44"/>
      <c r="G498" s="44"/>
      <c r="H498" s="44"/>
      <c r="I498" s="44"/>
      <c r="J498" s="44"/>
      <c r="K498" s="44"/>
      <c r="L498" s="44"/>
      <c r="M498" s="44"/>
      <c r="N498" s="44"/>
      <c r="O498" s="44"/>
    </row>
    <row r="499" spans="1:15" ht="17.25" customHeight="1">
      <c r="A499" s="44"/>
      <c r="B499" s="44"/>
      <c r="C499" s="44"/>
      <c r="D499" s="44"/>
      <c r="E499" s="44"/>
      <c r="F499" s="44"/>
      <c r="G499" s="44"/>
      <c r="H499" s="44"/>
      <c r="I499" s="44"/>
      <c r="J499" s="44"/>
      <c r="K499" s="44"/>
      <c r="L499" s="44"/>
      <c r="M499" s="44"/>
      <c r="N499" s="44"/>
      <c r="O499" s="44"/>
    </row>
    <row r="500" spans="1:15" ht="17.25" customHeight="1">
      <c r="A500" s="44"/>
      <c r="B500" s="44"/>
      <c r="C500" s="44"/>
      <c r="D500" s="44"/>
      <c r="E500" s="44"/>
      <c r="F500" s="44"/>
      <c r="G500" s="44"/>
      <c r="H500" s="44"/>
      <c r="I500" s="44"/>
      <c r="J500" s="44"/>
      <c r="K500" s="44"/>
      <c r="L500" s="44"/>
      <c r="M500" s="44"/>
      <c r="N500" s="44"/>
      <c r="O500" s="44"/>
    </row>
    <row r="501" spans="1:15" ht="17.25" customHeight="1">
      <c r="A501" s="44"/>
      <c r="B501" s="44"/>
      <c r="C501" s="44"/>
      <c r="D501" s="44"/>
      <c r="E501" s="44"/>
      <c r="F501" s="44"/>
      <c r="G501" s="44"/>
      <c r="H501" s="44"/>
      <c r="I501" s="44"/>
      <c r="J501" s="44"/>
      <c r="K501" s="44"/>
      <c r="L501" s="44"/>
      <c r="M501" s="44"/>
      <c r="N501" s="44"/>
      <c r="O501" s="44"/>
    </row>
    <row r="502" spans="1:15" ht="17.25" customHeight="1">
      <c r="A502" s="44"/>
      <c r="B502" s="44"/>
      <c r="C502" s="44"/>
      <c r="D502" s="44"/>
      <c r="E502" s="44"/>
      <c r="F502" s="44"/>
      <c r="G502" s="44"/>
      <c r="H502" s="44"/>
      <c r="I502" s="44"/>
      <c r="J502" s="44"/>
      <c r="K502" s="44"/>
      <c r="L502" s="44"/>
      <c r="M502" s="44"/>
      <c r="N502" s="44"/>
      <c r="O502" s="44"/>
    </row>
    <row r="503" spans="1:15" ht="17.25" customHeight="1">
      <c r="A503" s="44"/>
      <c r="B503" s="44"/>
      <c r="C503" s="44"/>
      <c r="D503" s="44"/>
      <c r="E503" s="44"/>
      <c r="F503" s="44"/>
      <c r="G503" s="44"/>
      <c r="H503" s="44"/>
      <c r="I503" s="44"/>
      <c r="J503" s="44"/>
      <c r="K503" s="44"/>
      <c r="L503" s="44"/>
      <c r="M503" s="44"/>
      <c r="N503" s="44"/>
      <c r="O503" s="44"/>
    </row>
    <row r="504" spans="1:15" ht="17.25" customHeight="1">
      <c r="A504" s="44"/>
      <c r="B504" s="44"/>
      <c r="C504" s="44"/>
      <c r="D504" s="44"/>
      <c r="E504" s="44"/>
      <c r="F504" s="44"/>
      <c r="G504" s="44"/>
      <c r="H504" s="44"/>
      <c r="I504" s="44"/>
      <c r="J504" s="44"/>
      <c r="K504" s="44"/>
      <c r="L504" s="44"/>
      <c r="M504" s="44"/>
      <c r="N504" s="44"/>
      <c r="O504" s="44"/>
    </row>
    <row r="505" spans="1:15" ht="17.25" customHeight="1">
      <c r="A505" s="44"/>
      <c r="B505" s="44"/>
      <c r="C505" s="44"/>
      <c r="D505" s="44"/>
      <c r="E505" s="44"/>
      <c r="F505" s="44"/>
      <c r="G505" s="44"/>
      <c r="H505" s="44"/>
      <c r="I505" s="44"/>
      <c r="J505" s="44"/>
      <c r="K505" s="44"/>
      <c r="L505" s="44"/>
      <c r="M505" s="44"/>
      <c r="N505" s="44"/>
      <c r="O505" s="44"/>
    </row>
    <row r="506" spans="1:15" ht="17.25" customHeight="1">
      <c r="A506" s="44"/>
      <c r="B506" s="44"/>
      <c r="C506" s="44"/>
      <c r="D506" s="44"/>
      <c r="E506" s="44"/>
      <c r="F506" s="44"/>
      <c r="G506" s="44"/>
      <c r="H506" s="44"/>
      <c r="I506" s="44"/>
      <c r="J506" s="44"/>
      <c r="K506" s="44"/>
      <c r="L506" s="44"/>
      <c r="M506" s="44"/>
      <c r="N506" s="44"/>
      <c r="O506" s="44"/>
    </row>
    <row r="507" spans="1:15" ht="17.25" customHeight="1">
      <c r="A507" s="44"/>
      <c r="B507" s="44"/>
      <c r="C507" s="44"/>
      <c r="D507" s="44"/>
      <c r="E507" s="44"/>
      <c r="F507" s="44"/>
      <c r="G507" s="44"/>
      <c r="H507" s="44"/>
      <c r="I507" s="44"/>
      <c r="J507" s="44"/>
      <c r="K507" s="44"/>
      <c r="L507" s="44"/>
      <c r="M507" s="44"/>
      <c r="N507" s="44"/>
      <c r="O507" s="44"/>
    </row>
    <row r="508" spans="1:15" ht="17.25" customHeight="1">
      <c r="A508" s="44"/>
      <c r="B508" s="44"/>
      <c r="C508" s="44"/>
      <c r="D508" s="44"/>
      <c r="E508" s="44"/>
      <c r="F508" s="44"/>
      <c r="G508" s="44"/>
      <c r="H508" s="44"/>
      <c r="I508" s="44"/>
      <c r="J508" s="44"/>
      <c r="K508" s="44"/>
      <c r="L508" s="44"/>
      <c r="M508" s="44"/>
      <c r="N508" s="44"/>
      <c r="O508" s="44"/>
    </row>
    <row r="509" spans="1:15" ht="17.25" customHeight="1">
      <c r="A509" s="44"/>
      <c r="B509" s="44"/>
      <c r="C509" s="44"/>
      <c r="D509" s="44"/>
      <c r="E509" s="44"/>
      <c r="F509" s="44"/>
      <c r="G509" s="44"/>
      <c r="H509" s="44"/>
      <c r="I509" s="44"/>
      <c r="J509" s="44"/>
      <c r="K509" s="44"/>
      <c r="L509" s="44"/>
      <c r="M509" s="44"/>
      <c r="N509" s="44"/>
      <c r="O509" s="44"/>
    </row>
    <row r="510" spans="1:15" ht="17.25" customHeight="1">
      <c r="A510" s="44"/>
      <c r="B510" s="44"/>
      <c r="C510" s="44"/>
      <c r="D510" s="44"/>
      <c r="E510" s="44"/>
      <c r="F510" s="44"/>
      <c r="G510" s="44"/>
      <c r="H510" s="44"/>
      <c r="I510" s="44"/>
      <c r="J510" s="44"/>
      <c r="K510" s="44"/>
      <c r="L510" s="44"/>
      <c r="M510" s="44"/>
      <c r="N510" s="44"/>
      <c r="O510" s="44"/>
    </row>
    <row r="511" spans="1:15" ht="17.25" customHeight="1">
      <c r="A511" s="44"/>
      <c r="B511" s="44"/>
      <c r="C511" s="44"/>
      <c r="D511" s="44"/>
      <c r="E511" s="44"/>
      <c r="F511" s="44"/>
      <c r="G511" s="44"/>
      <c r="H511" s="44"/>
      <c r="I511" s="44"/>
      <c r="J511" s="44"/>
      <c r="K511" s="44"/>
      <c r="L511" s="44"/>
      <c r="M511" s="44"/>
      <c r="N511" s="44"/>
      <c r="O511" s="44"/>
    </row>
    <row r="512" spans="1:15" ht="17.25" customHeight="1">
      <c r="A512" s="44"/>
      <c r="B512" s="44"/>
      <c r="C512" s="44"/>
      <c r="D512" s="44"/>
      <c r="E512" s="44"/>
      <c r="F512" s="44"/>
      <c r="G512" s="44"/>
      <c r="H512" s="44"/>
      <c r="I512" s="44"/>
      <c r="J512" s="44"/>
      <c r="K512" s="44"/>
      <c r="L512" s="44"/>
      <c r="M512" s="44"/>
      <c r="N512" s="44"/>
      <c r="O512" s="44"/>
    </row>
    <row r="513" spans="1:15" ht="17.25" customHeight="1">
      <c r="A513" s="44"/>
      <c r="B513" s="44"/>
      <c r="C513" s="44"/>
      <c r="D513" s="44"/>
      <c r="E513" s="44"/>
      <c r="F513" s="44"/>
      <c r="G513" s="44"/>
      <c r="H513" s="44"/>
      <c r="I513" s="44"/>
      <c r="J513" s="44"/>
      <c r="K513" s="44"/>
      <c r="L513" s="44"/>
      <c r="M513" s="44"/>
      <c r="N513" s="44"/>
      <c r="O513" s="44"/>
    </row>
    <row r="514" spans="1:15" ht="17.25" customHeight="1">
      <c r="A514" s="44"/>
      <c r="B514" s="44"/>
      <c r="C514" s="44"/>
      <c r="D514" s="44"/>
      <c r="E514" s="44"/>
      <c r="F514" s="44"/>
      <c r="G514" s="44"/>
      <c r="H514" s="44"/>
      <c r="I514" s="44"/>
      <c r="J514" s="44"/>
      <c r="K514" s="44"/>
      <c r="L514" s="44"/>
      <c r="M514" s="44"/>
      <c r="N514" s="44"/>
      <c r="O514" s="44"/>
    </row>
    <row r="515" spans="1:15" ht="17.25" customHeight="1">
      <c r="A515" s="44"/>
      <c r="B515" s="44"/>
      <c r="C515" s="44"/>
      <c r="D515" s="44"/>
      <c r="E515" s="44"/>
      <c r="F515" s="44"/>
      <c r="G515" s="44"/>
      <c r="H515" s="44"/>
      <c r="I515" s="44"/>
      <c r="J515" s="44"/>
      <c r="K515" s="44"/>
      <c r="L515" s="44"/>
      <c r="M515" s="44"/>
      <c r="N515" s="44"/>
      <c r="O515" s="44"/>
    </row>
    <row r="516" spans="1:15" ht="17.25" customHeight="1">
      <c r="A516" s="44"/>
      <c r="B516" s="44"/>
      <c r="C516" s="44"/>
      <c r="D516" s="44"/>
      <c r="E516" s="44"/>
      <c r="F516" s="44"/>
      <c r="G516" s="44"/>
      <c r="H516" s="44"/>
      <c r="I516" s="44"/>
      <c r="J516" s="44"/>
      <c r="K516" s="44"/>
      <c r="L516" s="44"/>
      <c r="M516" s="44"/>
      <c r="N516" s="44"/>
      <c r="O516" s="44"/>
    </row>
    <row r="517" spans="1:15" ht="17.25" customHeight="1">
      <c r="A517" s="44"/>
      <c r="B517" s="44"/>
      <c r="C517" s="44"/>
      <c r="D517" s="44"/>
      <c r="E517" s="44"/>
      <c r="F517" s="44"/>
      <c r="G517" s="44"/>
      <c r="H517" s="44"/>
      <c r="I517" s="44"/>
      <c r="J517" s="44"/>
      <c r="K517" s="44"/>
      <c r="L517" s="44"/>
      <c r="M517" s="44"/>
      <c r="N517" s="44"/>
      <c r="O517" s="44"/>
    </row>
    <row r="518" spans="1:15" ht="17.25" customHeight="1">
      <c r="A518" s="44"/>
      <c r="B518" s="44"/>
      <c r="C518" s="44"/>
      <c r="D518" s="44"/>
      <c r="E518" s="44"/>
      <c r="F518" s="44"/>
      <c r="G518" s="44"/>
      <c r="H518" s="44"/>
      <c r="I518" s="44"/>
      <c r="J518" s="44"/>
      <c r="K518" s="44"/>
      <c r="L518" s="44"/>
      <c r="M518" s="44"/>
      <c r="N518" s="44"/>
      <c r="O518" s="44"/>
    </row>
    <row r="519" spans="1:15" ht="17.25" customHeight="1">
      <c r="A519" s="44"/>
      <c r="B519" s="44"/>
      <c r="C519" s="44"/>
      <c r="D519" s="44"/>
      <c r="E519" s="44"/>
      <c r="F519" s="44"/>
      <c r="G519" s="44"/>
      <c r="H519" s="44"/>
      <c r="I519" s="44"/>
      <c r="J519" s="44"/>
      <c r="K519" s="44"/>
      <c r="L519" s="44"/>
      <c r="M519" s="44"/>
      <c r="N519" s="44"/>
      <c r="O519" s="44"/>
    </row>
    <row r="520" spans="1:15" ht="17.25" customHeight="1">
      <c r="A520" s="44"/>
      <c r="B520" s="44"/>
      <c r="C520" s="44"/>
      <c r="D520" s="44"/>
      <c r="E520" s="44"/>
      <c r="F520" s="44"/>
      <c r="G520" s="44"/>
      <c r="H520" s="44"/>
      <c r="I520" s="44"/>
      <c r="J520" s="44"/>
      <c r="K520" s="44"/>
      <c r="L520" s="44"/>
      <c r="M520" s="44"/>
      <c r="N520" s="44"/>
      <c r="O520" s="44"/>
    </row>
    <row r="521" spans="1:15" ht="17.25" customHeight="1">
      <c r="A521" s="44"/>
      <c r="B521" s="44"/>
      <c r="C521" s="44"/>
      <c r="D521" s="44"/>
      <c r="E521" s="44"/>
      <c r="F521" s="44"/>
      <c r="G521" s="44"/>
      <c r="H521" s="44"/>
      <c r="I521" s="44"/>
      <c r="J521" s="44"/>
      <c r="K521" s="44"/>
      <c r="L521" s="44"/>
      <c r="M521" s="44"/>
      <c r="N521" s="44"/>
      <c r="O521" s="44"/>
    </row>
    <row r="522" spans="1:15" ht="17.25" customHeight="1">
      <c r="A522" s="44"/>
      <c r="B522" s="44"/>
      <c r="C522" s="44"/>
      <c r="D522" s="44"/>
      <c r="E522" s="44"/>
      <c r="F522" s="44"/>
      <c r="G522" s="44"/>
      <c r="H522" s="44"/>
      <c r="I522" s="44"/>
      <c r="J522" s="44"/>
      <c r="K522" s="44"/>
      <c r="L522" s="44"/>
      <c r="M522" s="44"/>
      <c r="N522" s="44"/>
      <c r="O522" s="44"/>
    </row>
    <row r="523" spans="1:15" ht="17.25" customHeight="1">
      <c r="A523" s="44"/>
      <c r="B523" s="44"/>
      <c r="C523" s="44"/>
      <c r="D523" s="44"/>
      <c r="E523" s="44"/>
      <c r="F523" s="44"/>
      <c r="G523" s="44"/>
      <c r="H523" s="44"/>
      <c r="I523" s="44"/>
      <c r="J523" s="44"/>
      <c r="K523" s="44"/>
      <c r="L523" s="44"/>
      <c r="M523" s="44"/>
      <c r="N523" s="44"/>
      <c r="O523" s="44"/>
    </row>
    <row r="524" spans="1:15" ht="17.25" customHeight="1">
      <c r="A524" s="44"/>
      <c r="B524" s="44"/>
      <c r="C524" s="44"/>
      <c r="D524" s="44"/>
      <c r="E524" s="44"/>
      <c r="F524" s="44"/>
      <c r="G524" s="44"/>
      <c r="H524" s="44"/>
      <c r="I524" s="44"/>
      <c r="J524" s="44"/>
      <c r="K524" s="44"/>
      <c r="L524" s="44"/>
      <c r="M524" s="44"/>
      <c r="N524" s="44"/>
      <c r="O524" s="44"/>
    </row>
    <row r="525" spans="1:15" ht="17.25" customHeight="1">
      <c r="A525" s="44"/>
      <c r="B525" s="44"/>
      <c r="C525" s="44"/>
      <c r="D525" s="44"/>
      <c r="E525" s="44"/>
      <c r="F525" s="44"/>
      <c r="G525" s="44"/>
      <c r="H525" s="44"/>
      <c r="I525" s="44"/>
      <c r="J525" s="44"/>
      <c r="K525" s="44"/>
      <c r="L525" s="44"/>
      <c r="M525" s="44"/>
      <c r="N525" s="44"/>
      <c r="O525" s="44"/>
    </row>
    <row r="526" spans="1:15" ht="17.25" customHeight="1">
      <c r="A526" s="44"/>
      <c r="B526" s="44"/>
      <c r="C526" s="44"/>
      <c r="D526" s="44"/>
      <c r="E526" s="44"/>
      <c r="F526" s="44"/>
      <c r="G526" s="44"/>
      <c r="H526" s="44"/>
      <c r="I526" s="44"/>
      <c r="J526" s="44"/>
      <c r="K526" s="44"/>
      <c r="L526" s="44"/>
      <c r="M526" s="44"/>
      <c r="N526" s="44"/>
      <c r="O526" s="44"/>
    </row>
    <row r="527" spans="1:15" ht="17.25" customHeight="1">
      <c r="A527" s="44"/>
      <c r="B527" s="44"/>
      <c r="C527" s="44"/>
      <c r="D527" s="44"/>
      <c r="E527" s="44"/>
      <c r="F527" s="44"/>
      <c r="G527" s="44"/>
      <c r="H527" s="44"/>
      <c r="I527" s="44"/>
      <c r="J527" s="44"/>
      <c r="K527" s="44"/>
      <c r="L527" s="44"/>
      <c r="M527" s="44"/>
      <c r="N527" s="44"/>
      <c r="O527" s="44"/>
    </row>
    <row r="528" spans="1:15" ht="17.25" customHeight="1">
      <c r="A528" s="44"/>
      <c r="B528" s="44"/>
      <c r="C528" s="44"/>
      <c r="D528" s="44"/>
      <c r="E528" s="44"/>
      <c r="F528" s="44"/>
      <c r="G528" s="44"/>
      <c r="H528" s="44"/>
      <c r="I528" s="44"/>
      <c r="J528" s="44"/>
      <c r="K528" s="44"/>
      <c r="L528" s="44"/>
      <c r="M528" s="44"/>
      <c r="N528" s="44"/>
      <c r="O528" s="44"/>
    </row>
    <row r="529" spans="1:15" ht="17.25" customHeight="1">
      <c r="A529" s="44"/>
      <c r="B529" s="44"/>
      <c r="C529" s="44"/>
      <c r="D529" s="44"/>
      <c r="E529" s="44"/>
      <c r="F529" s="44"/>
      <c r="G529" s="44"/>
      <c r="H529" s="44"/>
      <c r="I529" s="44"/>
      <c r="J529" s="44"/>
      <c r="K529" s="44"/>
      <c r="L529" s="44"/>
      <c r="M529" s="44"/>
      <c r="N529" s="44"/>
      <c r="O529" s="44"/>
    </row>
    <row r="530" spans="1:15" ht="17.25" customHeight="1">
      <c r="A530" s="44"/>
      <c r="B530" s="44"/>
      <c r="C530" s="44"/>
      <c r="D530" s="44"/>
      <c r="E530" s="44"/>
      <c r="F530" s="44"/>
      <c r="G530" s="44"/>
      <c r="H530" s="44"/>
      <c r="I530" s="44"/>
      <c r="J530" s="44"/>
      <c r="K530" s="44"/>
      <c r="L530" s="44"/>
      <c r="M530" s="44"/>
      <c r="N530" s="44"/>
      <c r="O530" s="44"/>
    </row>
    <row r="531" spans="1:15" ht="17.25" customHeight="1">
      <c r="A531" s="44"/>
      <c r="B531" s="44"/>
      <c r="C531" s="44"/>
      <c r="D531" s="44"/>
      <c r="E531" s="44"/>
      <c r="F531" s="44"/>
      <c r="G531" s="44"/>
      <c r="H531" s="44"/>
      <c r="I531" s="44"/>
      <c r="J531" s="44"/>
      <c r="K531" s="44"/>
      <c r="L531" s="44"/>
      <c r="M531" s="44"/>
      <c r="N531" s="44"/>
      <c r="O531" s="44"/>
    </row>
    <row r="532" spans="1:15" ht="17.25" customHeight="1">
      <c r="A532" s="44"/>
      <c r="B532" s="44"/>
      <c r="C532" s="44"/>
      <c r="D532" s="44"/>
      <c r="E532" s="44"/>
      <c r="F532" s="44"/>
      <c r="G532" s="44"/>
      <c r="H532" s="44"/>
      <c r="I532" s="44"/>
      <c r="J532" s="44"/>
      <c r="K532" s="44"/>
      <c r="L532" s="44"/>
      <c r="M532" s="44"/>
      <c r="N532" s="44"/>
      <c r="O532" s="44"/>
    </row>
    <row r="533" spans="1:15" ht="17.25" customHeight="1">
      <c r="A533" s="44"/>
      <c r="B533" s="44"/>
      <c r="C533" s="44"/>
      <c r="D533" s="44"/>
      <c r="E533" s="44"/>
      <c r="F533" s="44"/>
      <c r="G533" s="44"/>
      <c r="H533" s="44"/>
      <c r="I533" s="44"/>
      <c r="J533" s="44"/>
      <c r="K533" s="44"/>
      <c r="L533" s="44"/>
      <c r="M533" s="44"/>
      <c r="N533" s="44"/>
      <c r="O533" s="44"/>
    </row>
    <row r="534" spans="1:15" ht="17.25" customHeight="1">
      <c r="A534" s="44"/>
      <c r="B534" s="44"/>
      <c r="C534" s="44"/>
      <c r="D534" s="44"/>
      <c r="E534" s="44"/>
      <c r="F534" s="44"/>
      <c r="G534" s="44"/>
      <c r="H534" s="44"/>
      <c r="I534" s="44"/>
      <c r="J534" s="44"/>
      <c r="K534" s="44"/>
      <c r="L534" s="44"/>
      <c r="M534" s="44"/>
      <c r="N534" s="44"/>
      <c r="O534" s="44"/>
    </row>
    <row r="535" spans="1:15" ht="17.25" customHeight="1">
      <c r="A535" s="44"/>
      <c r="B535" s="44"/>
      <c r="C535" s="44"/>
      <c r="D535" s="44"/>
      <c r="E535" s="44"/>
      <c r="F535" s="44"/>
      <c r="G535" s="44"/>
      <c r="H535" s="44"/>
      <c r="I535" s="44"/>
      <c r="J535" s="44"/>
      <c r="K535" s="44"/>
      <c r="L535" s="44"/>
      <c r="M535" s="44"/>
      <c r="N535" s="44"/>
      <c r="O535" s="44"/>
    </row>
    <row r="536" spans="1:15" ht="17.25" customHeight="1">
      <c r="A536" s="44"/>
      <c r="B536" s="44"/>
      <c r="C536" s="44"/>
      <c r="D536" s="44"/>
      <c r="E536" s="44"/>
      <c r="F536" s="44"/>
      <c r="G536" s="44"/>
      <c r="H536" s="44"/>
      <c r="I536" s="44"/>
      <c r="J536" s="44"/>
      <c r="K536" s="44"/>
      <c r="L536" s="44"/>
      <c r="M536" s="44"/>
      <c r="N536" s="44"/>
      <c r="O536" s="44"/>
    </row>
    <row r="537" spans="1:15" ht="17.25" customHeight="1">
      <c r="A537" s="44"/>
      <c r="B537" s="44"/>
      <c r="C537" s="44"/>
      <c r="D537" s="44"/>
      <c r="E537" s="44"/>
      <c r="F537" s="44"/>
      <c r="G537" s="44"/>
      <c r="H537" s="44"/>
      <c r="I537" s="44"/>
      <c r="J537" s="44"/>
      <c r="K537" s="44"/>
      <c r="L537" s="44"/>
      <c r="M537" s="44"/>
      <c r="N537" s="44"/>
      <c r="O537" s="44"/>
    </row>
    <row r="538" spans="1:15" ht="17.25" customHeight="1">
      <c r="A538" s="44"/>
      <c r="B538" s="44"/>
      <c r="C538" s="44"/>
      <c r="D538" s="44"/>
      <c r="E538" s="44"/>
      <c r="F538" s="44"/>
      <c r="G538" s="44"/>
      <c r="H538" s="44"/>
      <c r="I538" s="44"/>
      <c r="J538" s="44"/>
      <c r="K538" s="44"/>
      <c r="L538" s="44"/>
      <c r="M538" s="44"/>
      <c r="N538" s="44"/>
      <c r="O538" s="44"/>
    </row>
    <row r="539" spans="1:15" ht="17.25" customHeight="1">
      <c r="A539" s="44"/>
      <c r="B539" s="44"/>
      <c r="C539" s="44"/>
      <c r="D539" s="44"/>
      <c r="E539" s="44"/>
      <c r="F539" s="44"/>
      <c r="G539" s="44"/>
      <c r="H539" s="44"/>
      <c r="I539" s="44"/>
      <c r="J539" s="44"/>
      <c r="K539" s="44"/>
      <c r="L539" s="44"/>
      <c r="M539" s="44"/>
      <c r="N539" s="44"/>
      <c r="O539" s="44"/>
    </row>
    <row r="540" spans="1:15" ht="17.25" customHeight="1">
      <c r="A540" s="44"/>
      <c r="B540" s="44"/>
      <c r="C540" s="44"/>
      <c r="D540" s="44"/>
      <c r="E540" s="44"/>
      <c r="F540" s="44"/>
      <c r="G540" s="44"/>
      <c r="H540" s="44"/>
      <c r="I540" s="44"/>
      <c r="J540" s="44"/>
      <c r="K540" s="44"/>
      <c r="L540" s="44"/>
      <c r="M540" s="44"/>
      <c r="N540" s="44"/>
      <c r="O540" s="44"/>
    </row>
    <row r="541" spans="1:15" ht="17.25" customHeight="1">
      <c r="A541" s="44"/>
      <c r="B541" s="44"/>
      <c r="C541" s="44"/>
      <c r="D541" s="44"/>
      <c r="E541" s="44"/>
      <c r="F541" s="44"/>
      <c r="G541" s="44"/>
      <c r="H541" s="44"/>
      <c r="I541" s="44"/>
      <c r="J541" s="44"/>
      <c r="K541" s="44"/>
      <c r="L541" s="44"/>
      <c r="M541" s="44"/>
      <c r="N541" s="44"/>
      <c r="O541" s="44"/>
    </row>
    <row r="542" spans="1:15" ht="17.25" customHeight="1">
      <c r="A542" s="44"/>
      <c r="B542" s="44"/>
      <c r="C542" s="44"/>
      <c r="D542" s="44"/>
      <c r="E542" s="44"/>
      <c r="F542" s="44"/>
      <c r="G542" s="44"/>
      <c r="H542" s="44"/>
      <c r="I542" s="44"/>
      <c r="J542" s="44"/>
      <c r="K542" s="44"/>
      <c r="L542" s="44"/>
      <c r="M542" s="44"/>
      <c r="N542" s="44"/>
      <c r="O542" s="44"/>
    </row>
    <row r="543" spans="1:15" ht="17.25" customHeight="1">
      <c r="A543" s="44"/>
      <c r="B543" s="44"/>
      <c r="C543" s="44"/>
      <c r="D543" s="44"/>
      <c r="E543" s="44"/>
      <c r="F543" s="44"/>
      <c r="G543" s="44"/>
      <c r="H543" s="44"/>
      <c r="I543" s="44"/>
      <c r="J543" s="44"/>
      <c r="K543" s="44"/>
      <c r="L543" s="44"/>
      <c r="M543" s="44"/>
      <c r="N543" s="44"/>
      <c r="O543" s="44"/>
    </row>
    <row r="544" spans="1:15" ht="17.25" customHeight="1">
      <c r="A544" s="44"/>
      <c r="B544" s="44"/>
      <c r="C544" s="44"/>
      <c r="D544" s="44"/>
      <c r="E544" s="44"/>
      <c r="F544" s="44"/>
      <c r="G544" s="44"/>
      <c r="H544" s="44"/>
      <c r="I544" s="44"/>
      <c r="J544" s="44"/>
      <c r="K544" s="44"/>
      <c r="L544" s="44"/>
      <c r="M544" s="44"/>
      <c r="N544" s="44"/>
      <c r="O544" s="44"/>
    </row>
    <row r="545" spans="1:15" ht="17.25" customHeight="1">
      <c r="A545" s="44"/>
      <c r="B545" s="44"/>
      <c r="C545" s="44"/>
      <c r="D545" s="44"/>
      <c r="E545" s="44"/>
      <c r="F545" s="44"/>
      <c r="G545" s="44"/>
      <c r="H545" s="44"/>
      <c r="I545" s="44"/>
      <c r="J545" s="44"/>
      <c r="K545" s="44"/>
      <c r="L545" s="44"/>
      <c r="M545" s="44"/>
      <c r="N545" s="44"/>
      <c r="O545" s="44"/>
    </row>
    <row r="546" spans="1:15" ht="17.25" customHeight="1">
      <c r="A546" s="44"/>
      <c r="B546" s="44"/>
      <c r="C546" s="44"/>
      <c r="D546" s="44"/>
      <c r="E546" s="44"/>
      <c r="F546" s="44"/>
      <c r="G546" s="44"/>
      <c r="H546" s="44"/>
      <c r="I546" s="44"/>
      <c r="J546" s="44"/>
      <c r="K546" s="44"/>
      <c r="L546" s="44"/>
      <c r="M546" s="44"/>
      <c r="N546" s="44"/>
      <c r="O546" s="44"/>
    </row>
    <row r="547" spans="1:15" ht="17.25" customHeight="1">
      <c r="A547" s="44"/>
      <c r="B547" s="44"/>
      <c r="C547" s="44"/>
      <c r="D547" s="44"/>
      <c r="E547" s="44"/>
      <c r="F547" s="44"/>
      <c r="G547" s="44"/>
      <c r="H547" s="44"/>
      <c r="I547" s="44"/>
      <c r="J547" s="44"/>
      <c r="K547" s="44"/>
      <c r="L547" s="44"/>
      <c r="M547" s="44"/>
      <c r="N547" s="44"/>
      <c r="O547" s="44"/>
    </row>
    <row r="548" spans="1:15" ht="17.25" customHeight="1">
      <c r="A548" s="44"/>
      <c r="B548" s="44"/>
      <c r="C548" s="44"/>
      <c r="D548" s="44"/>
      <c r="E548" s="44"/>
      <c r="F548" s="44"/>
      <c r="G548" s="44"/>
      <c r="H548" s="44"/>
      <c r="I548" s="44"/>
      <c r="J548" s="44"/>
      <c r="K548" s="44"/>
      <c r="L548" s="44"/>
      <c r="M548" s="44"/>
      <c r="N548" s="44"/>
      <c r="O548" s="44"/>
    </row>
    <row r="549" spans="1:15" ht="17.25" customHeight="1">
      <c r="A549" s="44"/>
      <c r="B549" s="44"/>
      <c r="C549" s="44"/>
      <c r="D549" s="44"/>
      <c r="E549" s="44"/>
      <c r="F549" s="44"/>
      <c r="G549" s="44"/>
      <c r="H549" s="44"/>
      <c r="I549" s="44"/>
      <c r="J549" s="44"/>
      <c r="K549" s="44"/>
      <c r="L549" s="44"/>
      <c r="M549" s="44"/>
      <c r="N549" s="44"/>
      <c r="O549" s="44"/>
    </row>
    <row r="550" spans="1:15" ht="17.25" customHeight="1">
      <c r="A550" s="44"/>
      <c r="B550" s="44"/>
      <c r="C550" s="44"/>
      <c r="D550" s="44"/>
      <c r="E550" s="44"/>
      <c r="F550" s="44"/>
      <c r="G550" s="44"/>
      <c r="H550" s="44"/>
      <c r="I550" s="44"/>
      <c r="J550" s="44"/>
      <c r="K550" s="44"/>
      <c r="L550" s="44"/>
      <c r="M550" s="44"/>
      <c r="N550" s="44"/>
      <c r="O550" s="44"/>
    </row>
    <row r="551" spans="1:15" ht="17.25" customHeight="1">
      <c r="A551" s="44"/>
      <c r="B551" s="44"/>
      <c r="C551" s="44"/>
      <c r="D551" s="44"/>
      <c r="E551" s="44"/>
      <c r="F551" s="44"/>
      <c r="G551" s="44"/>
      <c r="H551" s="44"/>
      <c r="I551" s="44"/>
      <c r="J551" s="44"/>
      <c r="K551" s="44"/>
      <c r="L551" s="44"/>
      <c r="M551" s="44"/>
      <c r="N551" s="44"/>
      <c r="O551" s="44"/>
    </row>
    <row r="552" spans="1:15" ht="17.25" customHeight="1">
      <c r="A552" s="44"/>
      <c r="B552" s="44"/>
      <c r="C552" s="44"/>
      <c r="D552" s="44"/>
      <c r="E552" s="44"/>
      <c r="F552" s="44"/>
      <c r="G552" s="44"/>
      <c r="H552" s="44"/>
      <c r="I552" s="44"/>
      <c r="J552" s="44"/>
      <c r="K552" s="44"/>
      <c r="L552" s="44"/>
      <c r="M552" s="44"/>
      <c r="N552" s="44"/>
      <c r="O552" s="44"/>
    </row>
    <row r="553" spans="1:15" ht="17.25" customHeight="1">
      <c r="A553" s="44"/>
      <c r="B553" s="44"/>
      <c r="C553" s="44"/>
      <c r="D553" s="44"/>
      <c r="E553" s="44"/>
      <c r="F553" s="44"/>
      <c r="G553" s="44"/>
      <c r="H553" s="44"/>
      <c r="I553" s="44"/>
      <c r="J553" s="44"/>
      <c r="K553" s="44"/>
      <c r="L553" s="44"/>
      <c r="M553" s="44"/>
      <c r="N553" s="44"/>
      <c r="O553" s="44"/>
    </row>
    <row r="554" spans="1:15" ht="17.25" customHeight="1">
      <c r="A554" s="44"/>
      <c r="B554" s="44"/>
      <c r="C554" s="44"/>
      <c r="D554" s="44"/>
      <c r="E554" s="44"/>
      <c r="F554" s="44"/>
      <c r="G554" s="44"/>
      <c r="H554" s="44"/>
      <c r="I554" s="44"/>
      <c r="J554" s="44"/>
      <c r="K554" s="44"/>
      <c r="L554" s="44"/>
      <c r="M554" s="44"/>
      <c r="N554" s="44"/>
      <c r="O554" s="44"/>
    </row>
    <row r="555" spans="1:15" ht="17.25" customHeight="1">
      <c r="A555" s="44"/>
      <c r="B555" s="44"/>
      <c r="C555" s="44"/>
      <c r="D555" s="44"/>
      <c r="E555" s="44"/>
      <c r="F555" s="44"/>
      <c r="G555" s="44"/>
      <c r="H555" s="44"/>
      <c r="I555" s="44"/>
      <c r="J555" s="44"/>
      <c r="K555" s="44"/>
      <c r="L555" s="44"/>
      <c r="M555" s="44"/>
      <c r="N555" s="44"/>
      <c r="O555" s="44"/>
    </row>
    <row r="556" spans="1:15" ht="17.25" customHeight="1">
      <c r="A556" s="44"/>
      <c r="B556" s="44"/>
      <c r="C556" s="44"/>
      <c r="D556" s="44"/>
      <c r="E556" s="44"/>
      <c r="F556" s="44"/>
      <c r="G556" s="44"/>
      <c r="H556" s="44"/>
      <c r="I556" s="44"/>
      <c r="J556" s="44"/>
      <c r="K556" s="44"/>
      <c r="L556" s="44"/>
      <c r="M556" s="44"/>
      <c r="N556" s="44"/>
      <c r="O556" s="44"/>
    </row>
    <row r="557" spans="1:15" ht="17.25" customHeight="1">
      <c r="A557" s="44"/>
      <c r="B557" s="44"/>
      <c r="C557" s="44"/>
      <c r="D557" s="44"/>
      <c r="E557" s="44"/>
      <c r="F557" s="44"/>
      <c r="G557" s="44"/>
      <c r="H557" s="44"/>
      <c r="I557" s="44"/>
      <c r="J557" s="44"/>
      <c r="K557" s="44"/>
      <c r="L557" s="44"/>
      <c r="M557" s="44"/>
      <c r="N557" s="44"/>
      <c r="O557" s="44"/>
    </row>
    <row r="558" spans="1:15" ht="17.25" customHeight="1">
      <c r="A558" s="44"/>
      <c r="B558" s="44"/>
      <c r="C558" s="44"/>
      <c r="D558" s="44"/>
      <c r="E558" s="44"/>
      <c r="F558" s="44"/>
      <c r="G558" s="44"/>
      <c r="H558" s="44"/>
      <c r="I558" s="44"/>
      <c r="J558" s="44"/>
      <c r="K558" s="44"/>
      <c r="L558" s="44"/>
      <c r="M558" s="44"/>
      <c r="N558" s="44"/>
      <c r="O558" s="44"/>
    </row>
    <row r="559" spans="1:15" ht="17.25" customHeight="1">
      <c r="A559" s="44"/>
      <c r="B559" s="44"/>
      <c r="C559" s="44"/>
      <c r="D559" s="44"/>
      <c r="E559" s="44"/>
      <c r="F559" s="44"/>
      <c r="G559" s="44"/>
      <c r="H559" s="44"/>
      <c r="I559" s="44"/>
      <c r="J559" s="44"/>
      <c r="K559" s="44"/>
      <c r="L559" s="44"/>
      <c r="M559" s="44"/>
      <c r="N559" s="44"/>
      <c r="O559" s="44"/>
    </row>
    <row r="560" spans="1:15" ht="17.25" customHeight="1">
      <c r="A560" s="44"/>
      <c r="B560" s="44"/>
      <c r="C560" s="44"/>
      <c r="D560" s="44"/>
      <c r="E560" s="44"/>
      <c r="F560" s="44"/>
      <c r="G560" s="44"/>
      <c r="H560" s="44"/>
      <c r="I560" s="44"/>
      <c r="J560" s="44"/>
      <c r="K560" s="44"/>
      <c r="L560" s="44"/>
      <c r="M560" s="44"/>
      <c r="N560" s="44"/>
      <c r="O560" s="44"/>
    </row>
    <row r="561" spans="1:15" ht="17.25" customHeight="1">
      <c r="A561" s="44"/>
      <c r="B561" s="44"/>
      <c r="C561" s="44"/>
      <c r="D561" s="44"/>
      <c r="E561" s="44"/>
      <c r="F561" s="44"/>
      <c r="G561" s="44"/>
      <c r="H561" s="44"/>
      <c r="I561" s="44"/>
      <c r="J561" s="44"/>
      <c r="K561" s="44"/>
      <c r="L561" s="44"/>
      <c r="M561" s="44"/>
      <c r="N561" s="44"/>
      <c r="O561" s="44"/>
    </row>
    <row r="562" spans="1:15" ht="17.25" customHeight="1">
      <c r="A562" s="44"/>
      <c r="B562" s="44"/>
      <c r="C562" s="44"/>
      <c r="D562" s="44"/>
      <c r="E562" s="44"/>
      <c r="F562" s="44"/>
      <c r="G562" s="44"/>
      <c r="H562" s="44"/>
      <c r="I562" s="44"/>
      <c r="J562" s="44"/>
      <c r="K562" s="44"/>
      <c r="L562" s="44"/>
      <c r="M562" s="44"/>
      <c r="N562" s="44"/>
      <c r="O562" s="44"/>
    </row>
    <row r="563" spans="1:15" ht="17.25" customHeight="1">
      <c r="A563" s="44"/>
      <c r="B563" s="44"/>
      <c r="C563" s="44"/>
      <c r="D563" s="44"/>
      <c r="E563" s="44"/>
      <c r="F563" s="44"/>
      <c r="G563" s="44"/>
      <c r="H563" s="44"/>
      <c r="I563" s="44"/>
      <c r="J563" s="44"/>
      <c r="K563" s="44"/>
      <c r="L563" s="44"/>
      <c r="M563" s="44"/>
      <c r="N563" s="44"/>
      <c r="O563" s="44"/>
    </row>
    <row r="564" spans="1:15" ht="17.25" customHeight="1">
      <c r="A564" s="44"/>
      <c r="B564" s="44"/>
      <c r="C564" s="44"/>
      <c r="D564" s="44"/>
      <c r="E564" s="44"/>
      <c r="F564" s="44"/>
      <c r="G564" s="44"/>
      <c r="H564" s="44"/>
      <c r="I564" s="44"/>
      <c r="J564" s="44"/>
      <c r="K564" s="44"/>
      <c r="L564" s="44"/>
      <c r="M564" s="44"/>
      <c r="N564" s="44"/>
      <c r="O564" s="44"/>
    </row>
    <row r="565" spans="1:15" ht="17.25" customHeight="1">
      <c r="A565" s="44"/>
      <c r="B565" s="44"/>
      <c r="C565" s="44"/>
      <c r="D565" s="44"/>
      <c r="E565" s="44"/>
      <c r="F565" s="44"/>
      <c r="G565" s="44"/>
      <c r="H565" s="44"/>
      <c r="I565" s="44"/>
      <c r="J565" s="44"/>
      <c r="K565" s="44"/>
      <c r="L565" s="44"/>
      <c r="M565" s="44"/>
      <c r="N565" s="44"/>
      <c r="O565" s="44"/>
    </row>
    <row r="566" spans="1:15" ht="17.25" customHeight="1">
      <c r="A566" s="44"/>
      <c r="B566" s="44"/>
      <c r="C566" s="44"/>
      <c r="D566" s="44"/>
      <c r="E566" s="44"/>
      <c r="F566" s="44"/>
      <c r="G566" s="44"/>
      <c r="H566" s="44"/>
      <c r="I566" s="44"/>
      <c r="J566" s="44"/>
      <c r="K566" s="44"/>
      <c r="L566" s="44"/>
      <c r="M566" s="44"/>
      <c r="N566" s="44"/>
      <c r="O566" s="44"/>
    </row>
    <row r="567" spans="1:15" ht="17.25" customHeight="1">
      <c r="A567" s="44"/>
      <c r="B567" s="44"/>
      <c r="C567" s="44"/>
      <c r="D567" s="44"/>
      <c r="E567" s="44"/>
      <c r="F567" s="44"/>
      <c r="G567" s="44"/>
      <c r="H567" s="44"/>
      <c r="I567" s="44"/>
      <c r="J567" s="44"/>
      <c r="K567" s="44"/>
      <c r="L567" s="44"/>
      <c r="M567" s="44"/>
      <c r="N567" s="44"/>
      <c r="O567" s="44"/>
    </row>
    <row r="568" spans="1:15" ht="17.25" customHeight="1">
      <c r="A568" s="44"/>
      <c r="B568" s="44"/>
      <c r="C568" s="44"/>
      <c r="D568" s="44"/>
      <c r="E568" s="44"/>
      <c r="F568" s="44"/>
      <c r="G568" s="44"/>
      <c r="H568" s="44"/>
      <c r="I568" s="44"/>
      <c r="J568" s="44"/>
      <c r="K568" s="44"/>
      <c r="L568" s="44"/>
      <c r="M568" s="44"/>
      <c r="N568" s="44"/>
      <c r="O568" s="44"/>
    </row>
    <row r="569" spans="1:15" ht="17.25" customHeight="1">
      <c r="A569" s="44"/>
      <c r="B569" s="44"/>
      <c r="C569" s="44"/>
      <c r="D569" s="44"/>
      <c r="E569" s="44"/>
      <c r="F569" s="44"/>
      <c r="G569" s="44"/>
      <c r="H569" s="44"/>
      <c r="I569" s="44"/>
      <c r="J569" s="44"/>
      <c r="K569" s="44"/>
      <c r="L569" s="44"/>
      <c r="M569" s="44"/>
      <c r="N569" s="44"/>
      <c r="O569" s="44"/>
    </row>
    <row r="570" spans="1:15" ht="17.25" customHeight="1">
      <c r="A570" s="44"/>
      <c r="B570" s="44"/>
      <c r="C570" s="44"/>
      <c r="D570" s="44"/>
      <c r="E570" s="44"/>
      <c r="F570" s="44"/>
      <c r="G570" s="44"/>
      <c r="H570" s="44"/>
      <c r="I570" s="44"/>
      <c r="J570" s="44"/>
      <c r="K570" s="44"/>
      <c r="L570" s="44"/>
      <c r="M570" s="44"/>
      <c r="N570" s="44"/>
      <c r="O570" s="44"/>
    </row>
    <row r="571" spans="1:15" ht="17.25" customHeight="1">
      <c r="A571" s="44"/>
      <c r="B571" s="44"/>
      <c r="C571" s="44"/>
      <c r="D571" s="44"/>
      <c r="E571" s="44"/>
      <c r="F571" s="44"/>
      <c r="G571" s="44"/>
      <c r="H571" s="44"/>
      <c r="I571" s="44"/>
      <c r="J571" s="44"/>
      <c r="K571" s="44"/>
      <c r="L571" s="44"/>
      <c r="M571" s="44"/>
      <c r="N571" s="44"/>
      <c r="O571" s="44"/>
    </row>
    <row r="572" spans="1:15" ht="17.25" customHeight="1">
      <c r="A572" s="44"/>
      <c r="B572" s="44"/>
      <c r="C572" s="44"/>
      <c r="D572" s="44"/>
      <c r="E572" s="44"/>
      <c r="F572" s="44"/>
      <c r="G572" s="44"/>
      <c r="H572" s="44"/>
      <c r="I572" s="44"/>
      <c r="J572" s="44"/>
      <c r="K572" s="44"/>
      <c r="L572" s="44"/>
      <c r="M572" s="44"/>
      <c r="N572" s="44"/>
      <c r="O572" s="44"/>
    </row>
    <row r="573" spans="1:15" ht="17.25" customHeight="1">
      <c r="A573" s="44"/>
      <c r="B573" s="44"/>
      <c r="C573" s="44"/>
      <c r="D573" s="44"/>
      <c r="E573" s="44"/>
      <c r="F573" s="44"/>
      <c r="G573" s="44"/>
      <c r="H573" s="44"/>
      <c r="I573" s="44"/>
      <c r="J573" s="44"/>
      <c r="K573" s="44"/>
      <c r="L573" s="44"/>
      <c r="M573" s="44"/>
      <c r="N573" s="44"/>
      <c r="O573" s="44"/>
    </row>
    <row r="574" spans="1:15" ht="17.25" customHeight="1">
      <c r="A574" s="44"/>
      <c r="B574" s="44"/>
      <c r="C574" s="44"/>
      <c r="D574" s="44"/>
      <c r="E574" s="44"/>
      <c r="F574" s="44"/>
      <c r="G574" s="44"/>
      <c r="H574" s="44"/>
      <c r="I574" s="44"/>
      <c r="J574" s="44"/>
      <c r="K574" s="44"/>
      <c r="L574" s="44"/>
      <c r="M574" s="44"/>
      <c r="N574" s="44"/>
      <c r="O574" s="44"/>
    </row>
    <row r="575" spans="1:15" ht="17.25" customHeight="1">
      <c r="A575" s="44"/>
      <c r="B575" s="44"/>
      <c r="C575" s="44"/>
      <c r="D575" s="44"/>
      <c r="E575" s="44"/>
      <c r="F575" s="44"/>
      <c r="G575" s="44"/>
      <c r="H575" s="44"/>
      <c r="I575" s="44"/>
      <c r="J575" s="44"/>
      <c r="K575" s="44"/>
      <c r="L575" s="44"/>
      <c r="M575" s="44"/>
      <c r="N575" s="44"/>
      <c r="O575" s="44"/>
    </row>
    <row r="576" spans="1:15" ht="17.25" customHeight="1">
      <c r="A576" s="44"/>
      <c r="B576" s="44"/>
      <c r="C576" s="44"/>
      <c r="D576" s="44"/>
      <c r="E576" s="44"/>
      <c r="F576" s="44"/>
      <c r="G576" s="44"/>
      <c r="H576" s="44"/>
      <c r="I576" s="44"/>
      <c r="J576" s="44"/>
      <c r="K576" s="44"/>
      <c r="L576" s="44"/>
      <c r="M576" s="44"/>
      <c r="N576" s="44"/>
      <c r="O576" s="44"/>
    </row>
    <row r="577" spans="1:15" ht="17.25" customHeight="1">
      <c r="A577" s="44"/>
      <c r="B577" s="44"/>
      <c r="C577" s="44"/>
      <c r="D577" s="44"/>
      <c r="E577" s="44"/>
      <c r="F577" s="44"/>
      <c r="G577" s="44"/>
      <c r="H577" s="44"/>
      <c r="I577" s="44"/>
      <c r="J577" s="44"/>
      <c r="K577" s="44"/>
      <c r="L577" s="44"/>
      <c r="M577" s="44"/>
      <c r="N577" s="44"/>
      <c r="O577" s="44"/>
    </row>
    <row r="578" spans="1:15" ht="17.25" customHeight="1">
      <c r="A578" s="44"/>
      <c r="B578" s="44"/>
      <c r="C578" s="44"/>
      <c r="D578" s="44"/>
      <c r="E578" s="44"/>
      <c r="F578" s="44"/>
      <c r="G578" s="44"/>
      <c r="H578" s="44"/>
      <c r="I578" s="44"/>
      <c r="J578" s="44"/>
      <c r="K578" s="44"/>
      <c r="L578" s="44"/>
      <c r="M578" s="44"/>
      <c r="N578" s="44"/>
      <c r="O578" s="44"/>
    </row>
    <row r="579" spans="1:15" ht="17.25" customHeight="1">
      <c r="A579" s="44"/>
      <c r="B579" s="44"/>
      <c r="C579" s="44"/>
      <c r="D579" s="44"/>
      <c r="E579" s="44"/>
      <c r="F579" s="44"/>
      <c r="G579" s="44"/>
      <c r="H579" s="44"/>
      <c r="I579" s="44"/>
      <c r="J579" s="44"/>
      <c r="K579" s="44"/>
      <c r="L579" s="44"/>
      <c r="M579" s="44"/>
      <c r="N579" s="44"/>
      <c r="O579" s="44"/>
    </row>
    <row r="580" spans="1:15" ht="17.25" customHeight="1">
      <c r="A580" s="44"/>
      <c r="B580" s="44"/>
      <c r="C580" s="44"/>
      <c r="D580" s="44"/>
      <c r="E580" s="44"/>
      <c r="F580" s="44"/>
      <c r="G580" s="44"/>
      <c r="H580" s="44"/>
      <c r="I580" s="44"/>
      <c r="J580" s="44"/>
      <c r="K580" s="44"/>
      <c r="L580" s="44"/>
      <c r="M580" s="44"/>
      <c r="N580" s="44"/>
      <c r="O580" s="44"/>
    </row>
    <row r="581" spans="1:15" ht="17.25" customHeight="1">
      <c r="A581" s="44"/>
      <c r="B581" s="44"/>
      <c r="C581" s="44"/>
      <c r="D581" s="44"/>
      <c r="E581" s="44"/>
      <c r="F581" s="44"/>
      <c r="G581" s="44"/>
      <c r="H581" s="44"/>
      <c r="I581" s="44"/>
      <c r="J581" s="44"/>
      <c r="K581" s="44"/>
      <c r="L581" s="44"/>
      <c r="M581" s="44"/>
      <c r="N581" s="44"/>
      <c r="O581" s="44"/>
    </row>
    <row r="582" spans="1:15" ht="17.25" customHeight="1">
      <c r="A582" s="44"/>
      <c r="B582" s="44"/>
      <c r="C582" s="44"/>
      <c r="D582" s="44"/>
      <c r="E582" s="44"/>
      <c r="F582" s="44"/>
      <c r="G582" s="44"/>
      <c r="H582" s="44"/>
      <c r="I582" s="44"/>
      <c r="J582" s="44"/>
      <c r="K582" s="44"/>
      <c r="L582" s="44"/>
      <c r="M582" s="44"/>
      <c r="N582" s="44"/>
      <c r="O582" s="44"/>
    </row>
    <row r="583" spans="1:15" ht="17.25" customHeight="1">
      <c r="A583" s="44"/>
      <c r="B583" s="44"/>
      <c r="C583" s="44"/>
      <c r="D583" s="44"/>
      <c r="E583" s="44"/>
      <c r="F583" s="44"/>
      <c r="G583" s="44"/>
      <c r="H583" s="44"/>
      <c r="I583" s="44"/>
      <c r="J583" s="44"/>
      <c r="K583" s="44"/>
      <c r="L583" s="44"/>
      <c r="M583" s="44"/>
      <c r="N583" s="44"/>
      <c r="O583" s="44"/>
    </row>
    <row r="584" spans="1:15" ht="17.25" customHeight="1">
      <c r="A584" s="44"/>
      <c r="B584" s="44"/>
      <c r="C584" s="44"/>
      <c r="D584" s="44"/>
      <c r="E584" s="44"/>
      <c r="F584" s="44"/>
      <c r="G584" s="44"/>
      <c r="H584" s="44"/>
      <c r="I584" s="44"/>
      <c r="J584" s="44"/>
      <c r="K584" s="44"/>
      <c r="L584" s="44"/>
      <c r="M584" s="44"/>
      <c r="N584" s="44"/>
      <c r="O584" s="44"/>
    </row>
    <row r="585" spans="1:15" ht="17.25" customHeight="1">
      <c r="A585" s="44"/>
      <c r="B585" s="44"/>
      <c r="C585" s="44"/>
      <c r="D585" s="44"/>
      <c r="E585" s="44"/>
      <c r="F585" s="44"/>
      <c r="G585" s="44"/>
      <c r="H585" s="44"/>
      <c r="I585" s="44"/>
      <c r="J585" s="44"/>
      <c r="K585" s="44"/>
      <c r="L585" s="44"/>
      <c r="M585" s="44"/>
      <c r="N585" s="44"/>
      <c r="O585" s="44"/>
    </row>
    <row r="586" spans="1:15" ht="17.25" customHeight="1">
      <c r="A586" s="44"/>
      <c r="B586" s="44"/>
      <c r="C586" s="44"/>
      <c r="D586" s="44"/>
      <c r="E586" s="44"/>
      <c r="F586" s="44"/>
      <c r="G586" s="44"/>
      <c r="H586" s="44"/>
      <c r="I586" s="44"/>
      <c r="J586" s="44"/>
      <c r="K586" s="44"/>
      <c r="L586" s="44"/>
      <c r="M586" s="44"/>
      <c r="N586" s="44"/>
      <c r="O586" s="44"/>
    </row>
    <row r="587" spans="1:15" ht="17.25" customHeight="1">
      <c r="A587" s="44"/>
      <c r="B587" s="44"/>
      <c r="C587" s="44"/>
      <c r="D587" s="44"/>
      <c r="E587" s="44"/>
      <c r="F587" s="44"/>
      <c r="G587" s="44"/>
      <c r="H587" s="44"/>
      <c r="I587" s="44"/>
      <c r="J587" s="44"/>
      <c r="K587" s="44"/>
      <c r="L587" s="44"/>
      <c r="M587" s="44"/>
      <c r="N587" s="44"/>
      <c r="O587" s="44"/>
    </row>
    <row r="588" spans="1:15" ht="17.25" customHeight="1">
      <c r="A588" s="44"/>
      <c r="B588" s="44"/>
      <c r="C588" s="44"/>
      <c r="D588" s="44"/>
      <c r="E588" s="44"/>
      <c r="F588" s="44"/>
      <c r="G588" s="44"/>
      <c r="H588" s="44"/>
      <c r="I588" s="44"/>
      <c r="J588" s="44"/>
      <c r="K588" s="44"/>
      <c r="L588" s="44"/>
      <c r="M588" s="44"/>
      <c r="N588" s="44"/>
      <c r="O588" s="44"/>
    </row>
    <row r="589" spans="1:15" ht="17.25" customHeight="1">
      <c r="A589" s="44"/>
      <c r="B589" s="44"/>
      <c r="C589" s="44"/>
      <c r="D589" s="44"/>
      <c r="E589" s="44"/>
      <c r="F589" s="44"/>
      <c r="G589" s="44"/>
      <c r="H589" s="44"/>
      <c r="I589" s="44"/>
      <c r="J589" s="44"/>
      <c r="K589" s="44"/>
      <c r="L589" s="44"/>
      <c r="M589" s="44"/>
      <c r="N589" s="44"/>
      <c r="O589" s="44"/>
    </row>
    <row r="590" spans="1:15" ht="17.25" customHeight="1">
      <c r="A590" s="44"/>
      <c r="B590" s="44"/>
      <c r="C590" s="44"/>
      <c r="D590" s="44"/>
      <c r="E590" s="44"/>
      <c r="F590" s="44"/>
      <c r="G590" s="44"/>
      <c r="H590" s="44"/>
      <c r="I590" s="44"/>
      <c r="J590" s="44"/>
      <c r="K590" s="44"/>
      <c r="L590" s="44"/>
      <c r="M590" s="44"/>
      <c r="N590" s="44"/>
      <c r="O590" s="44"/>
    </row>
    <row r="591" spans="1:15" ht="17.25" customHeight="1">
      <c r="A591" s="44"/>
      <c r="B591" s="44"/>
      <c r="C591" s="44"/>
      <c r="D591" s="44"/>
      <c r="E591" s="44"/>
      <c r="F591" s="44"/>
      <c r="G591" s="44"/>
      <c r="H591" s="44"/>
      <c r="I591" s="44"/>
      <c r="J591" s="44"/>
      <c r="K591" s="44"/>
      <c r="L591" s="44"/>
      <c r="M591" s="44"/>
      <c r="N591" s="44"/>
      <c r="O591" s="44"/>
    </row>
    <row r="592" spans="1:15" ht="17.25" customHeight="1">
      <c r="A592" s="44"/>
      <c r="B592" s="44"/>
      <c r="C592" s="44"/>
      <c r="D592" s="44"/>
      <c r="E592" s="44"/>
      <c r="F592" s="44"/>
      <c r="G592" s="44"/>
      <c r="H592" s="44"/>
      <c r="I592" s="44"/>
      <c r="J592" s="44"/>
      <c r="K592" s="44"/>
      <c r="L592" s="44"/>
      <c r="M592" s="44"/>
      <c r="N592" s="44"/>
      <c r="O592" s="44"/>
    </row>
    <row r="593" spans="1:15" ht="17.25" customHeight="1">
      <c r="A593" s="44"/>
      <c r="B593" s="44"/>
      <c r="C593" s="44"/>
      <c r="D593" s="44"/>
      <c r="E593" s="44"/>
      <c r="F593" s="44"/>
      <c r="G593" s="44"/>
      <c r="H593" s="44"/>
      <c r="I593" s="44"/>
      <c r="J593" s="44"/>
      <c r="K593" s="44"/>
      <c r="L593" s="44"/>
      <c r="M593" s="44"/>
      <c r="N593" s="44"/>
      <c r="O593" s="44"/>
    </row>
    <row r="594" spans="1:15" ht="17.25" customHeight="1">
      <c r="A594" s="44"/>
      <c r="B594" s="44"/>
      <c r="C594" s="44"/>
      <c r="D594" s="44"/>
      <c r="E594" s="44"/>
      <c r="F594" s="44"/>
      <c r="G594" s="44"/>
      <c r="H594" s="44"/>
      <c r="I594" s="44"/>
      <c r="J594" s="44"/>
      <c r="K594" s="44"/>
      <c r="L594" s="44"/>
      <c r="M594" s="44"/>
      <c r="N594" s="44"/>
      <c r="O594" s="44"/>
    </row>
    <row r="595" spans="1:15" ht="17.25" customHeight="1">
      <c r="A595" s="44"/>
      <c r="B595" s="44"/>
      <c r="C595" s="44"/>
      <c r="D595" s="44"/>
      <c r="E595" s="44"/>
      <c r="F595" s="44"/>
      <c r="G595" s="44"/>
      <c r="H595" s="44"/>
      <c r="I595" s="44"/>
      <c r="J595" s="44"/>
      <c r="K595" s="44"/>
      <c r="L595" s="44"/>
      <c r="M595" s="44"/>
      <c r="N595" s="44"/>
      <c r="O595" s="44"/>
    </row>
    <row r="596" spans="1:15" ht="17.25" customHeight="1">
      <c r="A596" s="44"/>
      <c r="B596" s="44"/>
      <c r="C596" s="44"/>
      <c r="D596" s="44"/>
      <c r="E596" s="44"/>
      <c r="F596" s="44"/>
      <c r="G596" s="44"/>
      <c r="H596" s="44"/>
      <c r="I596" s="44"/>
      <c r="J596" s="44"/>
      <c r="K596" s="44"/>
      <c r="L596" s="44"/>
      <c r="M596" s="44"/>
      <c r="N596" s="44"/>
      <c r="O596" s="44"/>
    </row>
    <row r="597" spans="1:15" ht="17.25" customHeight="1">
      <c r="A597" s="44"/>
      <c r="B597" s="44"/>
      <c r="C597" s="44"/>
      <c r="D597" s="44"/>
      <c r="E597" s="44"/>
      <c r="F597" s="44"/>
      <c r="G597" s="44"/>
      <c r="H597" s="44"/>
      <c r="I597" s="44"/>
      <c r="J597" s="44"/>
      <c r="K597" s="44"/>
      <c r="L597" s="44"/>
      <c r="M597" s="44"/>
      <c r="N597" s="44"/>
      <c r="O597" s="44"/>
    </row>
    <row r="598" spans="1:15" ht="17.25" customHeight="1">
      <c r="A598" s="44"/>
      <c r="B598" s="44"/>
      <c r="C598" s="44"/>
      <c r="D598" s="44"/>
      <c r="E598" s="44"/>
      <c r="F598" s="44"/>
      <c r="G598" s="44"/>
      <c r="H598" s="44"/>
      <c r="I598" s="44"/>
      <c r="J598" s="44"/>
      <c r="K598" s="44"/>
      <c r="L598" s="44"/>
      <c r="M598" s="44"/>
      <c r="N598" s="44"/>
      <c r="O598" s="44"/>
    </row>
    <row r="599" spans="1:15" ht="17.25" customHeight="1">
      <c r="A599" s="44"/>
      <c r="B599" s="44"/>
      <c r="C599" s="44"/>
      <c r="D599" s="44"/>
      <c r="E599" s="44"/>
      <c r="F599" s="44"/>
      <c r="G599" s="44"/>
      <c r="H599" s="44"/>
      <c r="I599" s="44"/>
      <c r="J599" s="44"/>
      <c r="K599" s="44"/>
      <c r="L599" s="44"/>
      <c r="M599" s="44"/>
      <c r="N599" s="44"/>
      <c r="O599" s="44"/>
    </row>
    <row r="600" spans="1:15" ht="17.25" customHeight="1">
      <c r="A600" s="44"/>
      <c r="B600" s="44"/>
      <c r="C600" s="44"/>
      <c r="D600" s="44"/>
      <c r="E600" s="44"/>
      <c r="F600" s="44"/>
      <c r="G600" s="44"/>
      <c r="H600" s="44"/>
      <c r="I600" s="44"/>
      <c r="J600" s="44"/>
      <c r="K600" s="44"/>
      <c r="L600" s="44"/>
      <c r="M600" s="44"/>
      <c r="N600" s="44"/>
      <c r="O600" s="44"/>
    </row>
    <row r="601" spans="1:15" ht="17.25" customHeight="1">
      <c r="A601" s="44"/>
      <c r="B601" s="44"/>
      <c r="C601" s="44"/>
      <c r="D601" s="44"/>
      <c r="E601" s="44"/>
      <c r="F601" s="44"/>
      <c r="G601" s="44"/>
      <c r="H601" s="44"/>
      <c r="I601" s="44"/>
      <c r="J601" s="44"/>
      <c r="K601" s="44"/>
      <c r="L601" s="44"/>
      <c r="M601" s="44"/>
      <c r="N601" s="44"/>
      <c r="O601" s="44"/>
    </row>
    <row r="602" spans="1:15" ht="17.25" customHeight="1">
      <c r="A602" s="44"/>
      <c r="B602" s="44"/>
      <c r="C602" s="44"/>
      <c r="D602" s="44"/>
      <c r="E602" s="44"/>
      <c r="F602" s="44"/>
      <c r="G602" s="44"/>
      <c r="H602" s="44"/>
      <c r="I602" s="44"/>
      <c r="J602" s="44"/>
      <c r="K602" s="44"/>
      <c r="L602" s="44"/>
      <c r="M602" s="44"/>
      <c r="N602" s="44"/>
      <c r="O602" s="44"/>
    </row>
    <row r="603" spans="1:15" ht="17.25" customHeight="1">
      <c r="A603" s="44"/>
      <c r="B603" s="44"/>
      <c r="C603" s="44"/>
      <c r="D603" s="44"/>
      <c r="E603" s="44"/>
      <c r="F603" s="44"/>
      <c r="G603" s="44"/>
      <c r="H603" s="44"/>
      <c r="I603" s="44"/>
      <c r="J603" s="44"/>
      <c r="K603" s="44"/>
      <c r="L603" s="44"/>
      <c r="M603" s="44"/>
      <c r="N603" s="44"/>
      <c r="O603" s="44"/>
    </row>
    <row r="604" spans="1:15" ht="17.25" customHeight="1">
      <c r="A604" s="44"/>
      <c r="B604" s="44"/>
      <c r="C604" s="44"/>
      <c r="D604" s="44"/>
      <c r="E604" s="44"/>
      <c r="F604" s="44"/>
      <c r="G604" s="44"/>
      <c r="H604" s="44"/>
      <c r="I604" s="44"/>
      <c r="J604" s="44"/>
      <c r="K604" s="44"/>
      <c r="L604" s="44"/>
      <c r="M604" s="44"/>
      <c r="N604" s="44"/>
      <c r="O604" s="44"/>
    </row>
    <row r="605" spans="1:15" ht="17.25" customHeight="1">
      <c r="A605" s="44"/>
      <c r="B605" s="44"/>
      <c r="C605" s="44"/>
      <c r="D605" s="44"/>
      <c r="E605" s="44"/>
      <c r="F605" s="44"/>
      <c r="G605" s="44"/>
      <c r="H605" s="44"/>
      <c r="I605" s="44"/>
      <c r="J605" s="44"/>
      <c r="K605" s="44"/>
      <c r="L605" s="44"/>
      <c r="M605" s="44"/>
      <c r="N605" s="44"/>
      <c r="O605" s="44"/>
    </row>
    <row r="606" spans="1:15" ht="17.25" customHeight="1">
      <c r="A606" s="44"/>
      <c r="B606" s="44"/>
      <c r="C606" s="44"/>
      <c r="D606" s="44"/>
      <c r="E606" s="44"/>
      <c r="F606" s="44"/>
      <c r="G606" s="44"/>
      <c r="H606" s="44"/>
      <c r="I606" s="44"/>
      <c r="J606" s="44"/>
      <c r="K606" s="44"/>
      <c r="L606" s="44"/>
      <c r="M606" s="44"/>
      <c r="N606" s="44"/>
      <c r="O606" s="44"/>
    </row>
    <row r="607" spans="1:15" ht="17.25" customHeight="1">
      <c r="A607" s="44"/>
      <c r="B607" s="44"/>
      <c r="C607" s="44"/>
      <c r="D607" s="44"/>
      <c r="E607" s="44"/>
      <c r="F607" s="44"/>
      <c r="G607" s="44"/>
      <c r="H607" s="44"/>
      <c r="I607" s="44"/>
      <c r="J607" s="44"/>
      <c r="K607" s="44"/>
      <c r="L607" s="44"/>
      <c r="M607" s="44"/>
      <c r="N607" s="44"/>
      <c r="O607" s="44"/>
    </row>
    <row r="608" spans="1:15" ht="17.25" customHeight="1">
      <c r="A608" s="44"/>
      <c r="B608" s="44"/>
      <c r="C608" s="44"/>
      <c r="D608" s="44"/>
      <c r="E608" s="44"/>
      <c r="F608" s="44"/>
      <c r="G608" s="44"/>
      <c r="H608" s="44"/>
      <c r="I608" s="44"/>
      <c r="J608" s="44"/>
      <c r="K608" s="44"/>
      <c r="L608" s="44"/>
      <c r="M608" s="44"/>
      <c r="N608" s="44"/>
      <c r="O608" s="44"/>
    </row>
    <row r="609" spans="1:15" ht="17.25" customHeight="1">
      <c r="A609" s="44"/>
      <c r="B609" s="44"/>
      <c r="C609" s="44"/>
      <c r="D609" s="44"/>
      <c r="E609" s="44"/>
      <c r="F609" s="44"/>
      <c r="G609" s="44"/>
      <c r="H609" s="44"/>
      <c r="I609" s="44"/>
      <c r="J609" s="44"/>
      <c r="K609" s="44"/>
      <c r="L609" s="44"/>
      <c r="M609" s="44"/>
      <c r="N609" s="44"/>
      <c r="O609" s="44"/>
    </row>
    <row r="610" spans="1:15" ht="17.25" customHeight="1">
      <c r="A610" s="44"/>
      <c r="B610" s="44"/>
      <c r="C610" s="44"/>
      <c r="D610" s="44"/>
      <c r="E610" s="44"/>
      <c r="F610" s="44"/>
      <c r="G610" s="44"/>
      <c r="H610" s="44"/>
      <c r="I610" s="44"/>
      <c r="J610" s="44"/>
      <c r="K610" s="44"/>
      <c r="L610" s="44"/>
      <c r="M610" s="44"/>
      <c r="N610" s="44"/>
      <c r="O610" s="44"/>
    </row>
    <row r="611" spans="1:15" ht="17.25" customHeight="1">
      <c r="A611" s="44"/>
      <c r="B611" s="44"/>
      <c r="C611" s="44"/>
      <c r="D611" s="44"/>
      <c r="E611" s="44"/>
      <c r="F611" s="44"/>
      <c r="G611" s="44"/>
      <c r="H611" s="44"/>
      <c r="I611" s="44"/>
      <c r="J611" s="44"/>
      <c r="K611" s="44"/>
      <c r="L611" s="44"/>
      <c r="M611" s="44"/>
      <c r="N611" s="44"/>
      <c r="O611" s="44"/>
    </row>
    <row r="612" spans="1:15" ht="17.25" customHeight="1">
      <c r="A612" s="44"/>
      <c r="B612" s="44"/>
      <c r="C612" s="44"/>
      <c r="D612" s="44"/>
      <c r="E612" s="44"/>
      <c r="F612" s="44"/>
      <c r="G612" s="44"/>
      <c r="H612" s="44"/>
      <c r="I612" s="44"/>
      <c r="J612" s="44"/>
      <c r="K612" s="44"/>
      <c r="L612" s="44"/>
      <c r="M612" s="44"/>
      <c r="N612" s="44"/>
      <c r="O612" s="44"/>
    </row>
    <row r="613" spans="1:15" ht="17.25" customHeight="1">
      <c r="A613" s="44"/>
      <c r="B613" s="44"/>
      <c r="C613" s="44"/>
      <c r="D613" s="44"/>
      <c r="E613" s="44"/>
      <c r="F613" s="44"/>
      <c r="G613" s="44"/>
      <c r="H613" s="44"/>
      <c r="I613" s="44"/>
      <c r="J613" s="44"/>
      <c r="K613" s="44"/>
      <c r="L613" s="44"/>
      <c r="M613" s="44"/>
      <c r="N613" s="44"/>
      <c r="O613" s="44"/>
    </row>
    <row r="614" spans="1:15" ht="17.25" customHeight="1">
      <c r="A614" s="44"/>
      <c r="B614" s="44"/>
      <c r="C614" s="44"/>
      <c r="D614" s="44"/>
      <c r="E614" s="44"/>
      <c r="F614" s="44"/>
      <c r="G614" s="44"/>
      <c r="H614" s="44"/>
      <c r="I614" s="44"/>
      <c r="J614" s="44"/>
      <c r="K614" s="44"/>
      <c r="L614" s="44"/>
      <c r="M614" s="44"/>
      <c r="N614" s="44"/>
      <c r="O614" s="44"/>
    </row>
    <row r="615" spans="1:15" ht="17.25" customHeight="1">
      <c r="A615" s="44"/>
      <c r="B615" s="44"/>
      <c r="C615" s="44"/>
      <c r="D615" s="44"/>
      <c r="E615" s="44"/>
      <c r="F615" s="44"/>
      <c r="G615" s="44"/>
      <c r="H615" s="44"/>
      <c r="I615" s="44"/>
      <c r="J615" s="44"/>
      <c r="K615" s="44"/>
      <c r="L615" s="44"/>
      <c r="M615" s="44"/>
      <c r="N615" s="44"/>
      <c r="O615" s="44"/>
    </row>
    <row r="616" spans="1:15" ht="17.25" customHeight="1">
      <c r="A616" s="44"/>
      <c r="B616" s="44"/>
      <c r="C616" s="44"/>
      <c r="D616" s="44"/>
      <c r="E616" s="44"/>
      <c r="F616" s="44"/>
      <c r="G616" s="44"/>
      <c r="H616" s="44"/>
      <c r="I616" s="44"/>
      <c r="J616" s="44"/>
      <c r="K616" s="44"/>
      <c r="L616" s="44"/>
      <c r="M616" s="44"/>
      <c r="N616" s="44"/>
      <c r="O616" s="44"/>
    </row>
    <row r="617" spans="1:15" ht="17.25" customHeight="1">
      <c r="A617" s="44"/>
      <c r="B617" s="44"/>
      <c r="C617" s="44"/>
      <c r="D617" s="44"/>
      <c r="E617" s="44"/>
      <c r="F617" s="44"/>
      <c r="G617" s="44"/>
      <c r="H617" s="44"/>
      <c r="I617" s="44"/>
      <c r="J617" s="44"/>
      <c r="K617" s="44"/>
      <c r="L617" s="44"/>
      <c r="M617" s="44"/>
      <c r="N617" s="44"/>
      <c r="O617" s="44"/>
    </row>
    <row r="618" spans="1:15" ht="17.25" customHeight="1">
      <c r="A618" s="44"/>
      <c r="B618" s="44"/>
      <c r="C618" s="44"/>
      <c r="D618" s="44"/>
      <c r="E618" s="44"/>
      <c r="F618" s="44"/>
      <c r="G618" s="44"/>
      <c r="H618" s="44"/>
      <c r="I618" s="44"/>
      <c r="J618" s="44"/>
      <c r="K618" s="44"/>
      <c r="L618" s="44"/>
      <c r="M618" s="44"/>
      <c r="N618" s="44"/>
      <c r="O618" s="44"/>
    </row>
    <row r="619" spans="1:15" ht="17.25" customHeight="1">
      <c r="A619" s="44"/>
      <c r="B619" s="44"/>
      <c r="C619" s="44"/>
      <c r="D619" s="44"/>
      <c r="E619" s="44"/>
      <c r="F619" s="44"/>
      <c r="G619" s="44"/>
      <c r="H619" s="44"/>
      <c r="I619" s="44"/>
      <c r="J619" s="44"/>
      <c r="K619" s="44"/>
      <c r="L619" s="44"/>
      <c r="M619" s="44"/>
      <c r="N619" s="44"/>
      <c r="O619" s="44"/>
    </row>
    <row r="620" spans="1:15" ht="17.25" customHeight="1">
      <c r="A620" s="44"/>
      <c r="B620" s="44"/>
      <c r="C620" s="44"/>
      <c r="D620" s="44"/>
      <c r="E620" s="44"/>
      <c r="F620" s="44"/>
      <c r="G620" s="44"/>
      <c r="H620" s="44"/>
      <c r="I620" s="44"/>
      <c r="J620" s="44"/>
      <c r="K620" s="44"/>
      <c r="L620" s="44"/>
      <c r="M620" s="44"/>
      <c r="N620" s="44"/>
      <c r="O620" s="44"/>
    </row>
    <row r="621" spans="1:15" ht="17.25" customHeight="1">
      <c r="A621" s="44"/>
      <c r="B621" s="44"/>
      <c r="C621" s="44"/>
      <c r="D621" s="44"/>
      <c r="E621" s="44"/>
      <c r="F621" s="44"/>
      <c r="G621" s="44"/>
      <c r="H621" s="44"/>
      <c r="I621" s="44"/>
      <c r="J621" s="44"/>
      <c r="K621" s="44"/>
      <c r="L621" s="44"/>
      <c r="M621" s="44"/>
      <c r="N621" s="44"/>
      <c r="O621" s="44"/>
    </row>
    <row r="622" spans="1:15" ht="17.25" customHeight="1">
      <c r="A622" s="44"/>
      <c r="B622" s="44"/>
      <c r="C622" s="44"/>
      <c r="D622" s="44"/>
      <c r="E622" s="44"/>
      <c r="F622" s="44"/>
      <c r="G622" s="44"/>
      <c r="H622" s="44"/>
      <c r="I622" s="44"/>
      <c r="J622" s="44"/>
      <c r="K622" s="44"/>
      <c r="L622" s="44"/>
      <c r="M622" s="44"/>
      <c r="N622" s="44"/>
      <c r="O622" s="44"/>
    </row>
    <row r="623" spans="1:15" ht="17.25" customHeight="1">
      <c r="A623" s="44"/>
      <c r="B623" s="44"/>
      <c r="C623" s="44"/>
      <c r="D623" s="44"/>
      <c r="E623" s="44"/>
      <c r="F623" s="44"/>
      <c r="G623" s="44"/>
      <c r="H623" s="44"/>
      <c r="I623" s="44"/>
      <c r="J623" s="44"/>
      <c r="K623" s="44"/>
      <c r="L623" s="44"/>
      <c r="M623" s="44"/>
      <c r="N623" s="44"/>
      <c r="O623" s="44"/>
    </row>
    <row r="624" spans="1:15" ht="17.25" customHeight="1">
      <c r="A624" s="44"/>
      <c r="B624" s="44"/>
      <c r="C624" s="44"/>
      <c r="D624" s="44"/>
      <c r="E624" s="44"/>
      <c r="F624" s="44"/>
      <c r="G624" s="44"/>
      <c r="H624" s="44"/>
      <c r="I624" s="44"/>
      <c r="J624" s="44"/>
      <c r="K624" s="44"/>
      <c r="L624" s="44"/>
      <c r="M624" s="44"/>
      <c r="N624" s="44"/>
      <c r="O624" s="44"/>
    </row>
    <row r="625" spans="1:15" ht="17.25" customHeight="1">
      <c r="A625" s="44"/>
      <c r="B625" s="44"/>
      <c r="C625" s="44"/>
      <c r="D625" s="44"/>
      <c r="E625" s="44"/>
      <c r="F625" s="44"/>
      <c r="G625" s="44"/>
      <c r="H625" s="44"/>
      <c r="I625" s="44"/>
      <c r="J625" s="44"/>
      <c r="K625" s="44"/>
      <c r="L625" s="44"/>
      <c r="M625" s="44"/>
      <c r="N625" s="44"/>
      <c r="O625" s="44"/>
    </row>
    <row r="626" spans="1:15" ht="17.25" customHeight="1">
      <c r="A626" s="44"/>
      <c r="B626" s="44"/>
      <c r="C626" s="44"/>
      <c r="D626" s="44"/>
      <c r="E626" s="44"/>
      <c r="F626" s="44"/>
      <c r="G626" s="44"/>
      <c r="H626" s="44"/>
      <c r="I626" s="44"/>
      <c r="J626" s="44"/>
      <c r="K626" s="44"/>
      <c r="L626" s="44"/>
      <c r="M626" s="44"/>
      <c r="N626" s="44"/>
      <c r="O626" s="44"/>
    </row>
    <row r="627" spans="1:15" ht="17.25" customHeight="1">
      <c r="A627" s="44"/>
      <c r="B627" s="44"/>
      <c r="C627" s="44"/>
      <c r="D627" s="44"/>
      <c r="E627" s="44"/>
      <c r="F627" s="44"/>
      <c r="G627" s="44"/>
      <c r="H627" s="44"/>
      <c r="I627" s="44"/>
      <c r="J627" s="44"/>
      <c r="K627" s="44"/>
      <c r="L627" s="44"/>
      <c r="M627" s="44"/>
      <c r="N627" s="44"/>
      <c r="O627" s="44"/>
    </row>
    <row r="628" spans="1:15" ht="17.25" customHeight="1">
      <c r="A628" s="44"/>
      <c r="B628" s="44"/>
      <c r="C628" s="44"/>
      <c r="D628" s="44"/>
      <c r="E628" s="44"/>
      <c r="F628" s="44"/>
      <c r="G628" s="44"/>
      <c r="H628" s="44"/>
      <c r="I628" s="44"/>
      <c r="J628" s="44"/>
      <c r="K628" s="44"/>
      <c r="L628" s="44"/>
      <c r="M628" s="44"/>
      <c r="N628" s="44"/>
      <c r="O628" s="44"/>
    </row>
    <row r="629" spans="1:15" ht="17.25" customHeight="1">
      <c r="A629" s="44"/>
      <c r="B629" s="44"/>
      <c r="C629" s="44"/>
      <c r="D629" s="44"/>
      <c r="E629" s="44"/>
      <c r="F629" s="44"/>
      <c r="G629" s="44"/>
      <c r="H629" s="44"/>
      <c r="I629" s="44"/>
      <c r="J629" s="44"/>
      <c r="K629" s="44"/>
      <c r="L629" s="44"/>
      <c r="M629" s="44"/>
      <c r="N629" s="44"/>
      <c r="O629" s="44"/>
    </row>
    <row r="630" spans="1:15" ht="17.25" customHeight="1">
      <c r="A630" s="44"/>
      <c r="B630" s="44"/>
      <c r="C630" s="44"/>
      <c r="D630" s="44"/>
      <c r="E630" s="44"/>
      <c r="F630" s="44"/>
      <c r="G630" s="44"/>
      <c r="H630" s="44"/>
      <c r="I630" s="44"/>
      <c r="J630" s="44"/>
      <c r="K630" s="44"/>
      <c r="L630" s="44"/>
      <c r="M630" s="44"/>
      <c r="N630" s="44"/>
      <c r="O630" s="44"/>
    </row>
    <row r="631" spans="1:15" ht="17.25" customHeight="1">
      <c r="A631" s="44"/>
      <c r="B631" s="44"/>
      <c r="C631" s="44"/>
      <c r="D631" s="44"/>
      <c r="E631" s="44"/>
      <c r="F631" s="44"/>
      <c r="G631" s="44"/>
      <c r="H631" s="44"/>
      <c r="I631" s="44"/>
      <c r="J631" s="44"/>
      <c r="K631" s="44"/>
      <c r="L631" s="44"/>
      <c r="M631" s="44"/>
      <c r="N631" s="44"/>
      <c r="O631" s="44"/>
    </row>
    <row r="632" spans="1:15" ht="17.25" customHeight="1">
      <c r="A632" s="44"/>
      <c r="B632" s="44"/>
      <c r="C632" s="44"/>
      <c r="D632" s="44"/>
      <c r="E632" s="44"/>
      <c r="F632" s="44"/>
      <c r="G632" s="44"/>
      <c r="H632" s="44"/>
      <c r="I632" s="44"/>
      <c r="J632" s="44"/>
      <c r="K632" s="44"/>
      <c r="L632" s="44"/>
      <c r="M632" s="44"/>
      <c r="N632" s="44"/>
      <c r="O632" s="44"/>
    </row>
    <row r="633" spans="1:15" ht="17.25" customHeight="1">
      <c r="A633" s="44"/>
      <c r="B633" s="44"/>
      <c r="C633" s="44"/>
      <c r="D633" s="44"/>
      <c r="E633" s="44"/>
      <c r="F633" s="44"/>
      <c r="G633" s="44"/>
      <c r="H633" s="44"/>
      <c r="I633" s="44"/>
      <c r="J633" s="44"/>
      <c r="K633" s="44"/>
      <c r="L633" s="44"/>
      <c r="M633" s="44"/>
      <c r="N633" s="44"/>
      <c r="O633" s="44"/>
    </row>
    <row r="634" spans="1:15" ht="17.25" customHeight="1">
      <c r="A634" s="44"/>
      <c r="B634" s="44"/>
      <c r="C634" s="44"/>
      <c r="D634" s="44"/>
      <c r="E634" s="44"/>
      <c r="F634" s="44"/>
      <c r="G634" s="44"/>
      <c r="H634" s="44"/>
      <c r="I634" s="44"/>
      <c r="J634" s="44"/>
      <c r="K634" s="44"/>
      <c r="L634" s="44"/>
      <c r="M634" s="44"/>
      <c r="N634" s="44"/>
      <c r="O634" s="44"/>
    </row>
    <row r="635" spans="1:15" ht="17.25" customHeight="1">
      <c r="A635" s="44"/>
      <c r="B635" s="44"/>
      <c r="C635" s="44"/>
      <c r="D635" s="44"/>
      <c r="E635" s="44"/>
      <c r="F635" s="44"/>
      <c r="G635" s="44"/>
      <c r="H635" s="44"/>
      <c r="I635" s="44"/>
      <c r="J635" s="44"/>
      <c r="K635" s="44"/>
      <c r="L635" s="44"/>
      <c r="M635" s="44"/>
      <c r="N635" s="44"/>
      <c r="O635" s="44"/>
    </row>
    <row r="636" spans="1:15" ht="17.25" customHeight="1">
      <c r="A636" s="44"/>
      <c r="B636" s="44"/>
      <c r="C636" s="44"/>
      <c r="D636" s="44"/>
      <c r="E636" s="44"/>
      <c r="F636" s="44"/>
      <c r="G636" s="44"/>
      <c r="H636" s="44"/>
      <c r="I636" s="44"/>
      <c r="J636" s="44"/>
      <c r="K636" s="44"/>
      <c r="L636" s="44"/>
      <c r="M636" s="44"/>
      <c r="N636" s="44"/>
      <c r="O636" s="44"/>
    </row>
    <row r="637" spans="1:15" ht="17.25" customHeight="1">
      <c r="A637" s="44"/>
      <c r="B637" s="44"/>
      <c r="C637" s="44"/>
      <c r="D637" s="44"/>
      <c r="E637" s="44"/>
      <c r="F637" s="44"/>
      <c r="G637" s="44"/>
      <c r="H637" s="44"/>
      <c r="I637" s="44"/>
      <c r="J637" s="44"/>
      <c r="K637" s="44"/>
      <c r="L637" s="44"/>
      <c r="M637" s="44"/>
      <c r="N637" s="44"/>
      <c r="O637" s="44"/>
    </row>
    <row r="638" spans="1:15" ht="17.25" customHeight="1">
      <c r="A638" s="44"/>
      <c r="B638" s="44"/>
      <c r="C638" s="44"/>
      <c r="D638" s="44"/>
      <c r="E638" s="44"/>
      <c r="F638" s="44"/>
      <c r="G638" s="44"/>
      <c r="H638" s="44"/>
      <c r="I638" s="44"/>
      <c r="J638" s="44"/>
      <c r="K638" s="44"/>
      <c r="L638" s="44"/>
      <c r="M638" s="44"/>
      <c r="N638" s="44"/>
      <c r="O638" s="44"/>
    </row>
    <row r="639" spans="1:15" ht="17.25" customHeight="1">
      <c r="A639" s="44"/>
      <c r="B639" s="44"/>
      <c r="C639" s="44"/>
      <c r="D639" s="44"/>
      <c r="E639" s="44"/>
      <c r="F639" s="44"/>
      <c r="G639" s="44"/>
      <c r="H639" s="44"/>
      <c r="I639" s="44"/>
      <c r="J639" s="44"/>
      <c r="K639" s="44"/>
      <c r="L639" s="44"/>
      <c r="M639" s="44"/>
      <c r="N639" s="44"/>
      <c r="O639" s="44"/>
    </row>
    <row r="640" spans="1:15" ht="17.25" customHeight="1">
      <c r="A640" s="44"/>
      <c r="B640" s="44"/>
      <c r="C640" s="44"/>
      <c r="D640" s="44"/>
      <c r="E640" s="44"/>
      <c r="F640" s="44"/>
      <c r="G640" s="44"/>
      <c r="H640" s="44"/>
      <c r="I640" s="44"/>
      <c r="J640" s="44"/>
      <c r="K640" s="44"/>
      <c r="L640" s="44"/>
      <c r="M640" s="44"/>
      <c r="N640" s="44"/>
      <c r="O640" s="44"/>
    </row>
    <row r="641" spans="1:15" ht="17.25" customHeight="1">
      <c r="A641" s="44"/>
      <c r="B641" s="44"/>
      <c r="C641" s="44"/>
      <c r="D641" s="44"/>
      <c r="E641" s="44"/>
      <c r="F641" s="44"/>
      <c r="G641" s="44"/>
      <c r="H641" s="44"/>
      <c r="I641" s="44"/>
      <c r="J641" s="44"/>
      <c r="K641" s="44"/>
      <c r="L641" s="44"/>
      <c r="M641" s="44"/>
      <c r="N641" s="44"/>
      <c r="O641" s="44"/>
    </row>
    <row r="642" spans="1:15" ht="17.25" customHeight="1">
      <c r="A642" s="44"/>
      <c r="B642" s="44"/>
      <c r="C642" s="44"/>
      <c r="D642" s="44"/>
      <c r="E642" s="44"/>
      <c r="F642" s="44"/>
      <c r="G642" s="44"/>
      <c r="H642" s="44"/>
      <c r="I642" s="44"/>
      <c r="J642" s="44"/>
      <c r="K642" s="44"/>
      <c r="L642" s="44"/>
      <c r="M642" s="44"/>
      <c r="N642" s="44"/>
      <c r="O642" s="44"/>
    </row>
    <row r="643" spans="1:15" ht="17.25" customHeight="1">
      <c r="A643" s="44"/>
      <c r="B643" s="44"/>
      <c r="C643" s="44"/>
      <c r="D643" s="44"/>
      <c r="E643" s="44"/>
      <c r="F643" s="44"/>
      <c r="G643" s="44"/>
      <c r="H643" s="44"/>
      <c r="I643" s="44"/>
      <c r="J643" s="44"/>
      <c r="K643" s="44"/>
      <c r="L643" s="44"/>
      <c r="M643" s="44"/>
      <c r="N643" s="44"/>
      <c r="O643" s="44"/>
    </row>
    <row r="644" spans="1:15" ht="17.25" customHeight="1">
      <c r="A644" s="44"/>
      <c r="B644" s="44"/>
      <c r="C644" s="44"/>
      <c r="D644" s="44"/>
      <c r="E644" s="44"/>
      <c r="F644" s="44"/>
      <c r="G644" s="44"/>
      <c r="H644" s="44"/>
      <c r="I644" s="44"/>
      <c r="J644" s="44"/>
      <c r="K644" s="44"/>
      <c r="L644" s="44"/>
      <c r="M644" s="44"/>
      <c r="N644" s="44"/>
      <c r="O644" s="44"/>
    </row>
    <row r="645" spans="1:15" ht="17.25" customHeight="1">
      <c r="A645" s="44"/>
      <c r="B645" s="44"/>
      <c r="C645" s="44"/>
      <c r="D645" s="44"/>
      <c r="E645" s="44"/>
      <c r="F645" s="44"/>
      <c r="G645" s="44"/>
      <c r="H645" s="44"/>
      <c r="I645" s="44"/>
      <c r="J645" s="44"/>
      <c r="K645" s="44"/>
      <c r="L645" s="44"/>
      <c r="M645" s="44"/>
      <c r="N645" s="44"/>
      <c r="O645" s="44"/>
    </row>
    <row r="646" spans="1:15" ht="17.25" customHeight="1">
      <c r="A646" s="44"/>
      <c r="B646" s="44"/>
      <c r="C646" s="44"/>
      <c r="D646" s="44"/>
      <c r="E646" s="44"/>
      <c r="F646" s="44"/>
      <c r="G646" s="44"/>
      <c r="H646" s="44"/>
      <c r="I646" s="44"/>
      <c r="J646" s="44"/>
      <c r="K646" s="44"/>
      <c r="L646" s="44"/>
      <c r="M646" s="44"/>
      <c r="N646" s="44"/>
      <c r="O646" s="44"/>
    </row>
    <row r="647" spans="1:15" ht="17.25" customHeight="1">
      <c r="A647" s="44"/>
      <c r="B647" s="44"/>
      <c r="C647" s="44"/>
      <c r="D647" s="44"/>
      <c r="E647" s="44"/>
      <c r="F647" s="44"/>
      <c r="G647" s="44"/>
      <c r="H647" s="44"/>
      <c r="I647" s="44"/>
      <c r="J647" s="44"/>
      <c r="K647" s="44"/>
      <c r="L647" s="44"/>
      <c r="M647" s="44"/>
      <c r="N647" s="44"/>
      <c r="O647" s="44"/>
    </row>
    <row r="648" spans="1:15" ht="17.25" customHeight="1">
      <c r="A648" s="44"/>
      <c r="B648" s="44"/>
      <c r="C648" s="44"/>
      <c r="D648" s="44"/>
      <c r="E648" s="44"/>
      <c r="F648" s="44"/>
      <c r="G648" s="44"/>
      <c r="H648" s="44"/>
      <c r="I648" s="44"/>
      <c r="J648" s="44"/>
      <c r="K648" s="44"/>
      <c r="L648" s="44"/>
      <c r="M648" s="44"/>
      <c r="N648" s="44"/>
      <c r="O648" s="44"/>
    </row>
    <row r="649" spans="1:15" ht="17.25" customHeight="1">
      <c r="A649" s="44"/>
      <c r="B649" s="44"/>
      <c r="C649" s="44"/>
      <c r="D649" s="44"/>
      <c r="E649" s="44"/>
      <c r="F649" s="44"/>
      <c r="G649" s="44"/>
      <c r="H649" s="44"/>
      <c r="I649" s="44"/>
      <c r="J649" s="44"/>
      <c r="K649" s="44"/>
      <c r="L649" s="44"/>
      <c r="M649" s="44"/>
      <c r="N649" s="44"/>
      <c r="O649" s="44"/>
    </row>
    <row r="650" spans="1:15" ht="17.25" customHeight="1">
      <c r="A650" s="44"/>
      <c r="B650" s="44"/>
      <c r="C650" s="44"/>
      <c r="D650" s="44"/>
      <c r="E650" s="44"/>
      <c r="F650" s="44"/>
      <c r="G650" s="44"/>
      <c r="H650" s="44"/>
      <c r="I650" s="44"/>
      <c r="J650" s="44"/>
      <c r="K650" s="44"/>
      <c r="L650" s="44"/>
      <c r="M650" s="44"/>
      <c r="N650" s="44"/>
      <c r="O650" s="44"/>
    </row>
    <row r="651" spans="1:15" ht="17.25" customHeight="1">
      <c r="A651" s="44"/>
      <c r="B651" s="44"/>
      <c r="C651" s="44"/>
      <c r="D651" s="44"/>
      <c r="E651" s="44"/>
      <c r="F651" s="44"/>
      <c r="G651" s="44"/>
      <c r="H651" s="44"/>
      <c r="I651" s="44"/>
      <c r="J651" s="44"/>
      <c r="K651" s="44"/>
      <c r="L651" s="44"/>
      <c r="M651" s="44"/>
      <c r="N651" s="44"/>
      <c r="O651" s="44"/>
    </row>
    <row r="652" spans="1:15" ht="17.25" customHeight="1">
      <c r="A652" s="44"/>
      <c r="B652" s="44"/>
      <c r="C652" s="44"/>
      <c r="D652" s="44"/>
      <c r="E652" s="44"/>
      <c r="F652" s="44"/>
      <c r="G652" s="44"/>
      <c r="H652" s="44"/>
      <c r="I652" s="44"/>
      <c r="J652" s="44"/>
      <c r="K652" s="44"/>
      <c r="L652" s="44"/>
      <c r="M652" s="44"/>
      <c r="N652" s="44"/>
      <c r="O652" s="44"/>
    </row>
    <row r="653" spans="1:15" ht="17.25" customHeight="1">
      <c r="A653" s="44"/>
      <c r="B653" s="44"/>
      <c r="C653" s="44"/>
      <c r="D653" s="44"/>
      <c r="E653" s="44"/>
      <c r="F653" s="44"/>
      <c r="G653" s="44"/>
      <c r="H653" s="44"/>
      <c r="I653" s="44"/>
      <c r="J653" s="44"/>
      <c r="K653" s="44"/>
      <c r="L653" s="44"/>
      <c r="M653" s="44"/>
      <c r="N653" s="44"/>
      <c r="O653" s="44"/>
    </row>
    <row r="654" spans="1:15" ht="17.25" customHeight="1">
      <c r="A654" s="44"/>
      <c r="B654" s="44"/>
      <c r="C654" s="44"/>
      <c r="D654" s="44"/>
      <c r="E654" s="44"/>
      <c r="F654" s="44"/>
      <c r="G654" s="44"/>
      <c r="H654" s="44"/>
      <c r="I654" s="44"/>
      <c r="J654" s="44"/>
      <c r="K654" s="44"/>
      <c r="L654" s="44"/>
      <c r="M654" s="44"/>
      <c r="N654" s="44"/>
      <c r="O654" s="44"/>
    </row>
    <row r="655" spans="1:15" ht="17.25" customHeight="1">
      <c r="A655" s="44"/>
      <c r="B655" s="44"/>
      <c r="C655" s="44"/>
      <c r="D655" s="44"/>
      <c r="E655" s="44"/>
      <c r="F655" s="44"/>
      <c r="G655" s="44"/>
      <c r="H655" s="44"/>
      <c r="I655" s="44"/>
      <c r="J655" s="44"/>
      <c r="K655" s="44"/>
      <c r="L655" s="44"/>
      <c r="M655" s="44"/>
      <c r="N655" s="44"/>
      <c r="O655" s="44"/>
    </row>
    <row r="656" spans="1:15" ht="17.25" customHeight="1">
      <c r="A656" s="44"/>
      <c r="B656" s="44"/>
      <c r="C656" s="44"/>
      <c r="D656" s="44"/>
      <c r="E656" s="44"/>
      <c r="F656" s="44"/>
      <c r="G656" s="44"/>
      <c r="H656" s="44"/>
      <c r="I656" s="44"/>
      <c r="J656" s="44"/>
      <c r="K656" s="44"/>
      <c r="L656" s="44"/>
      <c r="M656" s="44"/>
      <c r="N656" s="44"/>
      <c r="O656" s="44"/>
    </row>
    <row r="657" spans="1:15" ht="17.25" customHeight="1">
      <c r="A657" s="44"/>
      <c r="B657" s="44"/>
      <c r="C657" s="44"/>
      <c r="D657" s="44"/>
      <c r="E657" s="44"/>
      <c r="F657" s="44"/>
      <c r="G657" s="44"/>
      <c r="H657" s="44"/>
      <c r="I657" s="44"/>
      <c r="J657" s="44"/>
      <c r="K657" s="44"/>
      <c r="L657" s="44"/>
      <c r="M657" s="44"/>
      <c r="N657" s="44"/>
      <c r="O657" s="44"/>
    </row>
    <row r="658" spans="1:15" ht="17.25" customHeight="1">
      <c r="A658" s="44"/>
      <c r="B658" s="44"/>
      <c r="C658" s="44"/>
      <c r="D658" s="44"/>
      <c r="E658" s="44"/>
      <c r="F658" s="44"/>
      <c r="G658" s="44"/>
      <c r="H658" s="44"/>
      <c r="I658" s="44"/>
      <c r="J658" s="44"/>
      <c r="K658" s="44"/>
      <c r="L658" s="44"/>
      <c r="M658" s="44"/>
      <c r="N658" s="44"/>
      <c r="O658" s="44"/>
    </row>
    <row r="659" spans="1:15" ht="17.25" customHeight="1">
      <c r="A659" s="44"/>
      <c r="B659" s="44"/>
      <c r="C659" s="44"/>
      <c r="D659" s="44"/>
      <c r="E659" s="44"/>
      <c r="F659" s="44"/>
      <c r="G659" s="44"/>
      <c r="H659" s="44"/>
      <c r="I659" s="44"/>
      <c r="J659" s="44"/>
      <c r="K659" s="44"/>
      <c r="L659" s="44"/>
      <c r="M659" s="44"/>
      <c r="N659" s="44"/>
      <c r="O659" s="44"/>
    </row>
    <row r="660" spans="1:15" ht="17.25" customHeight="1">
      <c r="A660" s="44"/>
      <c r="B660" s="44"/>
      <c r="C660" s="44"/>
      <c r="D660" s="44"/>
      <c r="E660" s="44"/>
      <c r="F660" s="44"/>
      <c r="G660" s="44"/>
      <c r="H660" s="44"/>
      <c r="I660" s="44"/>
      <c r="J660" s="44"/>
      <c r="K660" s="44"/>
      <c r="L660" s="44"/>
      <c r="M660" s="44"/>
      <c r="N660" s="44"/>
      <c r="O660" s="44"/>
    </row>
    <row r="661" spans="1:15" ht="17.25" customHeight="1">
      <c r="A661" s="44"/>
      <c r="B661" s="44"/>
      <c r="C661" s="44"/>
      <c r="D661" s="44"/>
      <c r="E661" s="44"/>
      <c r="F661" s="44"/>
      <c r="G661" s="44"/>
      <c r="H661" s="44"/>
      <c r="I661" s="44"/>
      <c r="J661" s="44"/>
      <c r="K661" s="44"/>
      <c r="L661" s="44"/>
      <c r="M661" s="44"/>
      <c r="N661" s="44"/>
      <c r="O661" s="44"/>
    </row>
    <row r="662" spans="1:15" ht="17.25" customHeight="1">
      <c r="A662" s="44"/>
      <c r="B662" s="44"/>
      <c r="C662" s="44"/>
      <c r="D662" s="44"/>
      <c r="E662" s="44"/>
      <c r="F662" s="44"/>
      <c r="G662" s="44"/>
      <c r="H662" s="44"/>
      <c r="I662" s="44"/>
      <c r="J662" s="44"/>
      <c r="K662" s="44"/>
      <c r="L662" s="44"/>
      <c r="M662" s="44"/>
      <c r="N662" s="44"/>
      <c r="O662" s="44"/>
    </row>
    <row r="663" spans="1:15" ht="17.25" customHeight="1">
      <c r="A663" s="44"/>
      <c r="B663" s="44"/>
      <c r="C663" s="44"/>
      <c r="D663" s="44"/>
      <c r="E663" s="44"/>
      <c r="F663" s="44"/>
      <c r="G663" s="44"/>
      <c r="H663" s="44"/>
      <c r="I663" s="44"/>
      <c r="J663" s="44"/>
      <c r="K663" s="44"/>
      <c r="L663" s="44"/>
      <c r="M663" s="44"/>
      <c r="N663" s="44"/>
      <c r="O663" s="44"/>
    </row>
    <row r="664" spans="1:15" ht="17.25" customHeight="1">
      <c r="A664" s="44"/>
      <c r="B664" s="44"/>
      <c r="C664" s="44"/>
      <c r="D664" s="44"/>
      <c r="E664" s="44"/>
      <c r="F664" s="44"/>
      <c r="G664" s="44"/>
      <c r="H664" s="44"/>
      <c r="I664" s="44"/>
      <c r="J664" s="44"/>
      <c r="K664" s="44"/>
      <c r="L664" s="44"/>
      <c r="M664" s="44"/>
      <c r="N664" s="44"/>
      <c r="O664" s="44"/>
    </row>
    <row r="665" spans="1:15" ht="17.25" customHeight="1">
      <c r="A665" s="44"/>
      <c r="B665" s="44"/>
      <c r="C665" s="44"/>
      <c r="D665" s="44"/>
      <c r="E665" s="44"/>
      <c r="F665" s="44"/>
      <c r="G665" s="44"/>
      <c r="H665" s="44"/>
      <c r="I665" s="44"/>
      <c r="J665" s="44"/>
      <c r="K665" s="44"/>
      <c r="L665" s="44"/>
      <c r="M665" s="44"/>
      <c r="N665" s="44"/>
      <c r="O665" s="44"/>
    </row>
    <row r="666" spans="1:15" ht="17.25" customHeight="1">
      <c r="A666" s="44"/>
      <c r="B666" s="44"/>
      <c r="C666" s="44"/>
      <c r="D666" s="44"/>
      <c r="E666" s="44"/>
      <c r="F666" s="44"/>
      <c r="G666" s="44"/>
      <c r="H666" s="44"/>
      <c r="I666" s="44"/>
      <c r="J666" s="44"/>
      <c r="K666" s="44"/>
      <c r="L666" s="44"/>
      <c r="M666" s="44"/>
      <c r="N666" s="44"/>
      <c r="O666" s="44"/>
    </row>
    <row r="667" spans="1:15" ht="17.25" customHeight="1">
      <c r="A667" s="44"/>
      <c r="B667" s="44"/>
      <c r="C667" s="44"/>
      <c r="D667" s="44"/>
      <c r="E667" s="44"/>
      <c r="F667" s="44"/>
      <c r="G667" s="44"/>
      <c r="H667" s="44"/>
      <c r="I667" s="44"/>
      <c r="J667" s="44"/>
      <c r="K667" s="44"/>
      <c r="L667" s="44"/>
      <c r="M667" s="44"/>
      <c r="N667" s="44"/>
      <c r="O667" s="44"/>
    </row>
    <row r="668" spans="1:15" ht="17.25" customHeight="1">
      <c r="A668" s="44"/>
      <c r="B668" s="44"/>
      <c r="C668" s="44"/>
      <c r="D668" s="44"/>
      <c r="E668" s="44"/>
      <c r="F668" s="44"/>
      <c r="G668" s="44"/>
      <c r="H668" s="44"/>
      <c r="I668" s="44"/>
      <c r="J668" s="44"/>
      <c r="K668" s="44"/>
      <c r="L668" s="44"/>
      <c r="M668" s="44"/>
      <c r="N668" s="44"/>
      <c r="O668" s="44"/>
    </row>
    <row r="669" spans="1:15" ht="17.25" customHeight="1">
      <c r="A669" s="44"/>
      <c r="B669" s="44"/>
      <c r="C669" s="44"/>
      <c r="D669" s="44"/>
      <c r="E669" s="44"/>
      <c r="F669" s="44"/>
      <c r="G669" s="44"/>
      <c r="H669" s="44"/>
      <c r="I669" s="44"/>
      <c r="J669" s="44"/>
      <c r="K669" s="44"/>
      <c r="L669" s="44"/>
      <c r="M669" s="44"/>
      <c r="N669" s="44"/>
      <c r="O669" s="44"/>
    </row>
    <row r="670" spans="1:15" ht="17.25" customHeight="1">
      <c r="A670" s="44"/>
      <c r="B670" s="44"/>
      <c r="C670" s="44"/>
      <c r="D670" s="44"/>
      <c r="E670" s="44"/>
      <c r="F670" s="44"/>
      <c r="G670" s="44"/>
      <c r="H670" s="44"/>
      <c r="I670" s="44"/>
      <c r="J670" s="44"/>
      <c r="K670" s="44"/>
      <c r="L670" s="44"/>
      <c r="M670" s="44"/>
      <c r="N670" s="44"/>
      <c r="O670" s="44"/>
    </row>
    <row r="671" spans="1:15" ht="17.25" customHeight="1">
      <c r="A671" s="44"/>
      <c r="B671" s="44"/>
      <c r="C671" s="44"/>
      <c r="D671" s="44"/>
      <c r="E671" s="44"/>
      <c r="F671" s="44"/>
      <c r="G671" s="44"/>
      <c r="H671" s="44"/>
      <c r="I671" s="44"/>
      <c r="J671" s="44"/>
      <c r="K671" s="44"/>
      <c r="L671" s="44"/>
      <c r="M671" s="44"/>
      <c r="N671" s="44"/>
      <c r="O671" s="44"/>
    </row>
    <row r="672" spans="1:15" ht="17.25" customHeight="1">
      <c r="A672" s="44"/>
      <c r="B672" s="44"/>
      <c r="C672" s="44"/>
      <c r="D672" s="44"/>
      <c r="E672" s="44"/>
      <c r="F672" s="44"/>
      <c r="G672" s="44"/>
      <c r="H672" s="44"/>
      <c r="I672" s="44"/>
      <c r="J672" s="44"/>
      <c r="K672" s="44"/>
      <c r="L672" s="44"/>
      <c r="M672" s="44"/>
      <c r="N672" s="44"/>
      <c r="O672" s="44"/>
    </row>
    <row r="673" spans="1:15" ht="17.25" customHeight="1">
      <c r="A673" s="44"/>
      <c r="B673" s="44"/>
      <c r="C673" s="44"/>
      <c r="D673" s="44"/>
      <c r="E673" s="44"/>
      <c r="F673" s="44"/>
      <c r="G673" s="44"/>
      <c r="H673" s="44"/>
      <c r="I673" s="44"/>
      <c r="J673" s="44"/>
      <c r="K673" s="44"/>
      <c r="L673" s="44"/>
      <c r="M673" s="44"/>
      <c r="N673" s="44"/>
      <c r="O673" s="44"/>
    </row>
    <row r="674" spans="1:15" ht="17.25" customHeight="1">
      <c r="A674" s="44"/>
      <c r="B674" s="44"/>
      <c r="C674" s="44"/>
      <c r="D674" s="44"/>
      <c r="E674" s="44"/>
      <c r="F674" s="44"/>
      <c r="G674" s="44"/>
      <c r="H674" s="44"/>
      <c r="I674" s="44"/>
      <c r="J674" s="44"/>
      <c r="K674" s="44"/>
      <c r="L674" s="44"/>
      <c r="M674" s="44"/>
      <c r="N674" s="44"/>
      <c r="O674" s="44"/>
    </row>
    <row r="675" spans="1:15" ht="17.25" customHeight="1">
      <c r="A675" s="44"/>
      <c r="B675" s="44"/>
      <c r="C675" s="44"/>
      <c r="D675" s="44"/>
      <c r="E675" s="44"/>
      <c r="F675" s="44"/>
      <c r="G675" s="44"/>
      <c r="H675" s="44"/>
      <c r="I675" s="44"/>
      <c r="J675" s="44"/>
      <c r="K675" s="44"/>
      <c r="L675" s="44"/>
      <c r="M675" s="44"/>
      <c r="N675" s="44"/>
      <c r="O675" s="44"/>
    </row>
    <row r="676" spans="1:15" ht="17.25" customHeight="1">
      <c r="A676" s="44"/>
      <c r="B676" s="44"/>
      <c r="C676" s="44"/>
      <c r="D676" s="44"/>
      <c r="E676" s="44"/>
      <c r="F676" s="44"/>
      <c r="G676" s="44"/>
      <c r="H676" s="44"/>
      <c r="I676" s="44"/>
      <c r="J676" s="44"/>
      <c r="K676" s="44"/>
      <c r="L676" s="44"/>
      <c r="M676" s="44"/>
      <c r="N676" s="44"/>
      <c r="O676" s="44"/>
    </row>
    <row r="677" spans="1:15" ht="17.25" customHeight="1">
      <c r="A677" s="44"/>
      <c r="B677" s="44"/>
      <c r="C677" s="44"/>
      <c r="D677" s="44"/>
      <c r="E677" s="44"/>
      <c r="F677" s="44"/>
      <c r="G677" s="44"/>
      <c r="H677" s="44"/>
      <c r="I677" s="44"/>
      <c r="J677" s="44"/>
      <c r="K677" s="44"/>
      <c r="L677" s="44"/>
      <c r="M677" s="44"/>
      <c r="N677" s="44"/>
      <c r="O677" s="44"/>
    </row>
    <row r="678" spans="1:15" ht="17.25" customHeight="1">
      <c r="A678" s="44"/>
      <c r="B678" s="44"/>
      <c r="C678" s="44"/>
      <c r="D678" s="44"/>
      <c r="E678" s="44"/>
      <c r="F678" s="44"/>
      <c r="G678" s="44"/>
      <c r="H678" s="44"/>
      <c r="I678" s="44"/>
      <c r="J678" s="44"/>
      <c r="K678" s="44"/>
      <c r="L678" s="44"/>
      <c r="M678" s="44"/>
      <c r="N678" s="44"/>
      <c r="O678" s="44"/>
    </row>
    <row r="679" spans="1:15" ht="17.25" customHeight="1">
      <c r="A679" s="44"/>
      <c r="B679" s="44"/>
      <c r="C679" s="44"/>
      <c r="D679" s="44"/>
      <c r="E679" s="44"/>
      <c r="F679" s="44"/>
      <c r="G679" s="44"/>
      <c r="H679" s="44"/>
      <c r="I679" s="44"/>
      <c r="J679" s="44"/>
      <c r="K679" s="44"/>
      <c r="L679" s="44"/>
      <c r="M679" s="44"/>
      <c r="N679" s="44"/>
      <c r="O679" s="44"/>
    </row>
    <row r="680" spans="1:15" ht="17.25" customHeight="1">
      <c r="A680" s="44"/>
      <c r="B680" s="44"/>
      <c r="C680" s="44"/>
      <c r="D680" s="44"/>
      <c r="E680" s="44"/>
      <c r="F680" s="44"/>
      <c r="G680" s="44"/>
      <c r="H680" s="44"/>
      <c r="I680" s="44"/>
      <c r="J680" s="44"/>
      <c r="K680" s="44"/>
      <c r="L680" s="44"/>
      <c r="M680" s="44"/>
      <c r="N680" s="44"/>
      <c r="O680" s="44"/>
    </row>
    <row r="681" spans="1:15" ht="17.25" customHeight="1">
      <c r="A681" s="44"/>
      <c r="B681" s="44"/>
      <c r="C681" s="44"/>
      <c r="D681" s="44"/>
      <c r="E681" s="44"/>
      <c r="F681" s="44"/>
      <c r="G681" s="44"/>
      <c r="H681" s="44"/>
      <c r="I681" s="44"/>
      <c r="J681" s="44"/>
      <c r="K681" s="44"/>
      <c r="L681" s="44"/>
      <c r="M681" s="44"/>
      <c r="N681" s="44"/>
      <c r="O681" s="44"/>
    </row>
    <row r="682" spans="1:15" ht="17.25" customHeight="1">
      <c r="A682" s="44"/>
      <c r="B682" s="44"/>
      <c r="C682" s="44"/>
      <c r="D682" s="44"/>
      <c r="E682" s="44"/>
      <c r="F682" s="44"/>
      <c r="G682" s="44"/>
      <c r="H682" s="44"/>
      <c r="I682" s="44"/>
      <c r="J682" s="44"/>
      <c r="K682" s="44"/>
      <c r="L682" s="44"/>
      <c r="M682" s="44"/>
      <c r="N682" s="44"/>
      <c r="O682" s="44"/>
    </row>
    <row r="683" spans="1:15" ht="17.25" customHeight="1">
      <c r="A683" s="44"/>
      <c r="B683" s="44"/>
      <c r="C683" s="44"/>
      <c r="D683" s="44"/>
      <c r="E683" s="44"/>
      <c r="F683" s="44"/>
      <c r="G683" s="44"/>
      <c r="H683" s="44"/>
      <c r="I683" s="44"/>
      <c r="J683" s="44"/>
      <c r="K683" s="44"/>
      <c r="L683" s="44"/>
      <c r="M683" s="44"/>
      <c r="N683" s="44"/>
      <c r="O683" s="44"/>
    </row>
    <row r="684" spans="1:15" ht="17.25" customHeight="1">
      <c r="A684" s="44"/>
      <c r="B684" s="44"/>
      <c r="C684" s="44"/>
      <c r="D684" s="44"/>
      <c r="E684" s="44"/>
      <c r="F684" s="44"/>
      <c r="G684" s="44"/>
      <c r="H684" s="44"/>
      <c r="I684" s="44"/>
      <c r="J684" s="44"/>
      <c r="K684" s="44"/>
      <c r="L684" s="44"/>
      <c r="M684" s="44"/>
      <c r="N684" s="44"/>
      <c r="O684" s="44"/>
    </row>
    <row r="685" spans="1:15" ht="17.25" customHeight="1">
      <c r="A685" s="44"/>
      <c r="B685" s="44"/>
      <c r="C685" s="44"/>
      <c r="D685" s="44"/>
      <c r="E685" s="44"/>
      <c r="F685" s="44"/>
      <c r="G685" s="44"/>
      <c r="H685" s="44"/>
      <c r="I685" s="44"/>
      <c r="J685" s="44"/>
      <c r="K685" s="44"/>
      <c r="L685" s="44"/>
      <c r="M685" s="44"/>
      <c r="N685" s="44"/>
      <c r="O685" s="44"/>
    </row>
    <row r="686" spans="1:15" ht="17.25" customHeight="1">
      <c r="A686" s="44"/>
      <c r="B686" s="44"/>
      <c r="C686" s="44"/>
      <c r="D686" s="44"/>
      <c r="E686" s="44"/>
      <c r="F686" s="44"/>
      <c r="G686" s="44"/>
      <c r="H686" s="44"/>
      <c r="I686" s="44"/>
      <c r="J686" s="44"/>
      <c r="K686" s="44"/>
      <c r="L686" s="44"/>
      <c r="M686" s="44"/>
      <c r="N686" s="44"/>
      <c r="O686" s="44"/>
    </row>
    <row r="687" spans="1:15" ht="17.25" customHeight="1">
      <c r="A687" s="44"/>
      <c r="B687" s="44"/>
      <c r="C687" s="44"/>
      <c r="D687" s="44"/>
      <c r="E687" s="44"/>
      <c r="F687" s="44"/>
      <c r="G687" s="44"/>
      <c r="H687" s="44"/>
      <c r="I687" s="44"/>
      <c r="J687" s="44"/>
      <c r="K687" s="44"/>
      <c r="L687" s="44"/>
      <c r="M687" s="44"/>
      <c r="N687" s="44"/>
      <c r="O687" s="44"/>
    </row>
    <row r="688" spans="1:15" ht="17.25" customHeight="1">
      <c r="A688" s="44"/>
      <c r="B688" s="44"/>
      <c r="C688" s="44"/>
      <c r="D688" s="44"/>
      <c r="E688" s="44"/>
      <c r="F688" s="44"/>
      <c r="G688" s="44"/>
      <c r="H688" s="44"/>
      <c r="I688" s="44"/>
      <c r="J688" s="44"/>
      <c r="K688" s="44"/>
      <c r="L688" s="44"/>
      <c r="M688" s="44"/>
      <c r="N688" s="44"/>
      <c r="O688" s="44"/>
    </row>
    <row r="689" spans="1:15" ht="17.25" customHeight="1">
      <c r="A689" s="44"/>
      <c r="B689" s="44"/>
      <c r="C689" s="44"/>
      <c r="D689" s="44"/>
      <c r="E689" s="44"/>
      <c r="F689" s="44"/>
      <c r="G689" s="44"/>
      <c r="H689" s="44"/>
      <c r="I689" s="44"/>
      <c r="J689" s="44"/>
      <c r="K689" s="44"/>
      <c r="L689" s="44"/>
      <c r="M689" s="44"/>
      <c r="N689" s="44"/>
      <c r="O689" s="44"/>
    </row>
    <row r="690" spans="1:15" ht="17.25" customHeight="1">
      <c r="A690" s="44"/>
      <c r="B690" s="44"/>
      <c r="C690" s="44"/>
      <c r="D690" s="44"/>
      <c r="E690" s="44"/>
      <c r="F690" s="44"/>
      <c r="G690" s="44"/>
      <c r="H690" s="44"/>
      <c r="I690" s="44"/>
      <c r="J690" s="44"/>
      <c r="K690" s="44"/>
      <c r="L690" s="44"/>
      <c r="M690" s="44"/>
      <c r="N690" s="44"/>
      <c r="O690" s="44"/>
    </row>
    <row r="691" spans="1:15" ht="17.25" customHeight="1">
      <c r="A691" s="44"/>
      <c r="B691" s="44"/>
      <c r="C691" s="44"/>
      <c r="D691" s="44"/>
      <c r="E691" s="44"/>
      <c r="F691" s="44"/>
      <c r="G691" s="44"/>
      <c r="H691" s="44"/>
      <c r="I691" s="44"/>
      <c r="J691" s="44"/>
      <c r="K691" s="44"/>
      <c r="L691" s="44"/>
      <c r="M691" s="44"/>
      <c r="N691" s="44"/>
      <c r="O691" s="44"/>
    </row>
    <row r="692" spans="1:15" ht="17.25" customHeight="1">
      <c r="A692" s="44"/>
      <c r="B692" s="44"/>
      <c r="C692" s="44"/>
      <c r="D692" s="44"/>
      <c r="E692" s="44"/>
      <c r="F692" s="44"/>
      <c r="G692" s="44"/>
      <c r="H692" s="44"/>
      <c r="I692" s="44"/>
      <c r="J692" s="44"/>
      <c r="K692" s="44"/>
      <c r="L692" s="44"/>
      <c r="M692" s="44"/>
      <c r="N692" s="44"/>
      <c r="O692" s="44"/>
    </row>
    <row r="693" spans="1:15" ht="17.25" customHeight="1">
      <c r="A693" s="44"/>
      <c r="B693" s="44"/>
      <c r="C693" s="44"/>
      <c r="D693" s="44"/>
      <c r="E693" s="44"/>
      <c r="F693" s="44"/>
      <c r="G693" s="44"/>
      <c r="H693" s="44"/>
      <c r="I693" s="44"/>
      <c r="J693" s="44"/>
      <c r="K693" s="44"/>
      <c r="L693" s="44"/>
      <c r="M693" s="44"/>
      <c r="N693" s="44"/>
      <c r="O693" s="44"/>
    </row>
    <row r="694" spans="1:15" ht="17.25" customHeight="1">
      <c r="A694" s="44"/>
      <c r="B694" s="44"/>
      <c r="C694" s="44"/>
      <c r="D694" s="44"/>
      <c r="E694" s="44"/>
      <c r="F694" s="44"/>
      <c r="G694" s="44"/>
      <c r="H694" s="44"/>
      <c r="I694" s="44"/>
      <c r="J694" s="44"/>
      <c r="K694" s="44"/>
      <c r="L694" s="44"/>
      <c r="M694" s="44"/>
      <c r="N694" s="44"/>
      <c r="O694" s="44"/>
    </row>
    <row r="695" spans="1:15" ht="17.25" customHeight="1">
      <c r="A695" s="44"/>
      <c r="B695" s="44"/>
      <c r="C695" s="44"/>
      <c r="D695" s="44"/>
      <c r="E695" s="44"/>
      <c r="F695" s="44"/>
      <c r="G695" s="44"/>
      <c r="H695" s="44"/>
      <c r="I695" s="44"/>
      <c r="J695" s="44"/>
      <c r="K695" s="44"/>
      <c r="L695" s="44"/>
      <c r="M695" s="44"/>
      <c r="N695" s="44"/>
      <c r="O695" s="44"/>
    </row>
    <row r="696" spans="1:15" ht="17.25" customHeight="1">
      <c r="A696" s="44"/>
      <c r="B696" s="44"/>
      <c r="C696" s="44"/>
      <c r="D696" s="44"/>
      <c r="E696" s="44"/>
      <c r="F696" s="44"/>
      <c r="G696" s="44"/>
      <c r="H696" s="44"/>
      <c r="I696" s="44"/>
      <c r="J696" s="44"/>
      <c r="K696" s="44"/>
      <c r="L696" s="44"/>
      <c r="M696" s="44"/>
      <c r="N696" s="44"/>
      <c r="O696" s="44"/>
    </row>
    <row r="697" spans="1:15" ht="17.25" customHeight="1">
      <c r="A697" s="44"/>
      <c r="B697" s="44"/>
      <c r="C697" s="44"/>
      <c r="D697" s="44"/>
      <c r="E697" s="44"/>
      <c r="F697" s="44"/>
      <c r="G697" s="44"/>
      <c r="H697" s="44"/>
      <c r="I697" s="44"/>
      <c r="J697" s="44"/>
      <c r="K697" s="44"/>
      <c r="L697" s="44"/>
      <c r="M697" s="44"/>
      <c r="N697" s="44"/>
      <c r="O697" s="44"/>
    </row>
    <row r="698" spans="1:15" ht="17.25" customHeight="1">
      <c r="A698" s="44"/>
      <c r="B698" s="44"/>
      <c r="C698" s="44"/>
      <c r="D698" s="44"/>
      <c r="E698" s="44"/>
      <c r="F698" s="44"/>
      <c r="G698" s="44"/>
      <c r="H698" s="44"/>
      <c r="I698" s="44"/>
      <c r="J698" s="44"/>
      <c r="K698" s="44"/>
      <c r="L698" s="44"/>
      <c r="M698" s="44"/>
      <c r="N698" s="44"/>
      <c r="O698" s="44"/>
    </row>
    <row r="699" spans="1:15" ht="17.25" customHeight="1">
      <c r="A699" s="44"/>
      <c r="B699" s="44"/>
      <c r="C699" s="44"/>
      <c r="D699" s="44"/>
      <c r="E699" s="44"/>
      <c r="F699" s="44"/>
      <c r="G699" s="44"/>
      <c r="H699" s="44"/>
      <c r="I699" s="44"/>
      <c r="J699" s="44"/>
      <c r="K699" s="44"/>
      <c r="L699" s="44"/>
      <c r="M699" s="44"/>
      <c r="N699" s="44"/>
      <c r="O699" s="44"/>
    </row>
    <row r="700" spans="1:15" ht="17.25" customHeight="1">
      <c r="A700" s="44"/>
      <c r="B700" s="44"/>
      <c r="C700" s="44"/>
      <c r="D700" s="44"/>
      <c r="E700" s="44"/>
      <c r="F700" s="44"/>
      <c r="G700" s="44"/>
      <c r="H700" s="44"/>
      <c r="I700" s="44"/>
      <c r="J700" s="44"/>
      <c r="K700" s="44"/>
      <c r="L700" s="44"/>
      <c r="M700" s="44"/>
      <c r="N700" s="44"/>
      <c r="O700" s="44"/>
    </row>
    <row r="701" spans="1:15" ht="17.25" customHeight="1">
      <c r="A701" s="44"/>
      <c r="B701" s="44"/>
      <c r="C701" s="44"/>
      <c r="D701" s="44"/>
      <c r="E701" s="44"/>
      <c r="F701" s="44"/>
      <c r="G701" s="44"/>
      <c r="H701" s="44"/>
      <c r="I701" s="44"/>
      <c r="J701" s="44"/>
      <c r="K701" s="44"/>
      <c r="L701" s="44"/>
      <c r="M701" s="44"/>
      <c r="N701" s="44"/>
      <c r="O701" s="44"/>
    </row>
    <row r="702" spans="1:15" ht="17.25" customHeight="1">
      <c r="A702" s="44"/>
      <c r="B702" s="44"/>
      <c r="C702" s="44"/>
      <c r="D702" s="44"/>
      <c r="E702" s="44"/>
      <c r="F702" s="44"/>
      <c r="G702" s="44"/>
      <c r="H702" s="44"/>
      <c r="I702" s="44"/>
      <c r="J702" s="44"/>
      <c r="K702" s="44"/>
      <c r="L702" s="44"/>
      <c r="M702" s="44"/>
      <c r="N702" s="44"/>
      <c r="O702" s="44"/>
    </row>
    <row r="703" spans="1:15" ht="17.25" customHeight="1">
      <c r="A703" s="44"/>
      <c r="B703" s="44"/>
      <c r="C703" s="44"/>
      <c r="D703" s="44"/>
      <c r="E703" s="44"/>
      <c r="F703" s="44"/>
      <c r="G703" s="44"/>
      <c r="H703" s="44"/>
      <c r="I703" s="44"/>
      <c r="J703" s="44"/>
      <c r="K703" s="44"/>
      <c r="L703" s="44"/>
      <c r="M703" s="44"/>
      <c r="N703" s="44"/>
      <c r="O703" s="44"/>
    </row>
    <row r="704" spans="1:15" ht="17.25" customHeight="1">
      <c r="A704" s="44"/>
      <c r="B704" s="44"/>
      <c r="C704" s="44"/>
      <c r="D704" s="44"/>
      <c r="E704" s="44"/>
      <c r="F704" s="44"/>
      <c r="G704" s="44"/>
      <c r="H704" s="44"/>
      <c r="I704" s="44"/>
      <c r="J704" s="44"/>
      <c r="K704" s="44"/>
      <c r="L704" s="44"/>
      <c r="M704" s="44"/>
      <c r="N704" s="44"/>
      <c r="O704" s="44"/>
    </row>
    <row r="705" spans="1:15" ht="17.25" customHeight="1">
      <c r="A705" s="44"/>
      <c r="B705" s="44"/>
      <c r="C705" s="44"/>
      <c r="D705" s="44"/>
      <c r="E705" s="44"/>
      <c r="F705" s="44"/>
      <c r="G705" s="44"/>
      <c r="H705" s="44"/>
      <c r="I705" s="44"/>
      <c r="J705" s="44"/>
      <c r="K705" s="44"/>
      <c r="L705" s="44"/>
      <c r="M705" s="44"/>
      <c r="N705" s="44"/>
      <c r="O705" s="44"/>
    </row>
    <row r="706" spans="1:15" ht="17.25" customHeight="1">
      <c r="A706" s="44"/>
      <c r="B706" s="44"/>
      <c r="C706" s="44"/>
      <c r="D706" s="44"/>
      <c r="E706" s="44"/>
      <c r="F706" s="44"/>
      <c r="G706" s="44"/>
      <c r="H706" s="44"/>
      <c r="I706" s="44"/>
      <c r="J706" s="44"/>
      <c r="K706" s="44"/>
      <c r="L706" s="44"/>
      <c r="M706" s="44"/>
      <c r="N706" s="44"/>
      <c r="O706" s="44"/>
    </row>
    <row r="707" spans="1:15" ht="17.25" customHeight="1">
      <c r="A707" s="44"/>
      <c r="B707" s="44"/>
      <c r="C707" s="44"/>
      <c r="D707" s="44"/>
      <c r="E707" s="44"/>
      <c r="F707" s="44"/>
      <c r="G707" s="44"/>
      <c r="H707" s="44"/>
      <c r="I707" s="44"/>
      <c r="J707" s="44"/>
      <c r="K707" s="44"/>
      <c r="L707" s="44"/>
      <c r="M707" s="44"/>
      <c r="N707" s="44"/>
      <c r="O707" s="44"/>
    </row>
    <row r="708" spans="1:15" ht="17.25" customHeight="1">
      <c r="A708" s="44"/>
      <c r="B708" s="44"/>
      <c r="C708" s="44"/>
      <c r="D708" s="44"/>
      <c r="E708" s="44"/>
      <c r="F708" s="44"/>
      <c r="G708" s="44"/>
      <c r="H708" s="44"/>
      <c r="I708" s="44"/>
      <c r="J708" s="44"/>
      <c r="K708" s="44"/>
      <c r="L708" s="44"/>
      <c r="M708" s="44"/>
      <c r="N708" s="44"/>
      <c r="O708" s="44"/>
    </row>
    <row r="709" spans="1:15" ht="17.25" customHeight="1">
      <c r="A709" s="44"/>
      <c r="B709" s="44"/>
      <c r="C709" s="44"/>
      <c r="D709" s="44"/>
      <c r="E709" s="44"/>
      <c r="F709" s="44"/>
      <c r="G709" s="44"/>
      <c r="H709" s="44"/>
      <c r="I709" s="44"/>
      <c r="J709" s="44"/>
      <c r="K709" s="44"/>
      <c r="L709" s="44"/>
      <c r="M709" s="44"/>
      <c r="N709" s="44"/>
      <c r="O709" s="44"/>
    </row>
    <row r="710" spans="1:15" ht="17.25" customHeight="1">
      <c r="A710" s="44"/>
      <c r="B710" s="44"/>
      <c r="C710" s="44"/>
      <c r="D710" s="44"/>
      <c r="E710" s="44"/>
      <c r="F710" s="44"/>
      <c r="G710" s="44"/>
      <c r="H710" s="44"/>
      <c r="I710" s="44"/>
      <c r="J710" s="44"/>
      <c r="K710" s="44"/>
      <c r="L710" s="44"/>
      <c r="M710" s="44"/>
      <c r="N710" s="44"/>
      <c r="O710" s="44"/>
    </row>
    <row r="711" spans="1:15" ht="17.25" customHeight="1">
      <c r="A711" s="44"/>
      <c r="B711" s="44"/>
      <c r="C711" s="44"/>
      <c r="D711" s="44"/>
      <c r="E711" s="44"/>
      <c r="F711" s="44"/>
      <c r="G711" s="44"/>
      <c r="H711" s="44"/>
      <c r="I711" s="44"/>
      <c r="J711" s="44"/>
      <c r="K711" s="44"/>
      <c r="L711" s="44"/>
      <c r="M711" s="44"/>
      <c r="N711" s="44"/>
      <c r="O711" s="44"/>
    </row>
    <row r="712" spans="1:15" ht="17.25" customHeight="1">
      <c r="A712" s="44"/>
      <c r="B712" s="44"/>
      <c r="C712" s="44"/>
      <c r="D712" s="44"/>
      <c r="E712" s="44"/>
      <c r="F712" s="44"/>
      <c r="G712" s="44"/>
      <c r="H712" s="44"/>
      <c r="I712" s="44"/>
      <c r="J712" s="44"/>
      <c r="K712" s="44"/>
      <c r="L712" s="44"/>
      <c r="M712" s="44"/>
      <c r="N712" s="44"/>
      <c r="O712" s="44"/>
    </row>
    <row r="713" spans="1:15" ht="17.25" customHeight="1">
      <c r="A713" s="44"/>
      <c r="B713" s="44"/>
      <c r="C713" s="44"/>
      <c r="D713" s="44"/>
      <c r="E713" s="44"/>
      <c r="F713" s="44"/>
      <c r="G713" s="44"/>
      <c r="H713" s="44"/>
      <c r="I713" s="44"/>
      <c r="J713" s="44"/>
      <c r="K713" s="44"/>
      <c r="L713" s="44"/>
      <c r="M713" s="44"/>
      <c r="N713" s="44"/>
      <c r="O713" s="44"/>
    </row>
    <row r="714" spans="1:15" ht="17.25" customHeight="1">
      <c r="A714" s="44"/>
      <c r="B714" s="44"/>
      <c r="C714" s="44"/>
      <c r="D714" s="44"/>
      <c r="E714" s="44"/>
      <c r="F714" s="44"/>
      <c r="G714" s="44"/>
      <c r="H714" s="44"/>
      <c r="I714" s="44"/>
      <c r="J714" s="44"/>
      <c r="K714" s="44"/>
      <c r="L714" s="44"/>
      <c r="M714" s="44"/>
      <c r="N714" s="44"/>
      <c r="O714" s="44"/>
    </row>
    <row r="715" spans="1:15" ht="17.25" customHeight="1">
      <c r="A715" s="44"/>
      <c r="B715" s="44"/>
      <c r="C715" s="44"/>
      <c r="D715" s="44"/>
      <c r="E715" s="44"/>
      <c r="F715" s="44"/>
      <c r="G715" s="44"/>
      <c r="H715" s="44"/>
      <c r="I715" s="44"/>
      <c r="J715" s="44"/>
      <c r="K715" s="44"/>
      <c r="L715" s="44"/>
      <c r="M715" s="44"/>
      <c r="N715" s="44"/>
      <c r="O715" s="44"/>
    </row>
    <row r="716" spans="1:15" ht="17.25" customHeight="1">
      <c r="A716" s="44"/>
      <c r="B716" s="44"/>
      <c r="C716" s="44"/>
      <c r="D716" s="44"/>
      <c r="E716" s="44"/>
      <c r="F716" s="44"/>
      <c r="G716" s="44"/>
      <c r="H716" s="44"/>
      <c r="I716" s="44"/>
      <c r="J716" s="44"/>
      <c r="K716" s="44"/>
      <c r="L716" s="44"/>
      <c r="M716" s="44"/>
      <c r="N716" s="44"/>
      <c r="O716" s="44"/>
    </row>
    <row r="717" spans="1:15" ht="17.25" customHeight="1">
      <c r="A717" s="44"/>
      <c r="B717" s="44"/>
      <c r="C717" s="44"/>
      <c r="D717" s="44"/>
      <c r="E717" s="44"/>
      <c r="F717" s="44"/>
      <c r="G717" s="44"/>
      <c r="H717" s="44"/>
      <c r="I717" s="44"/>
      <c r="J717" s="44"/>
      <c r="K717" s="44"/>
      <c r="L717" s="44"/>
      <c r="M717" s="44"/>
      <c r="N717" s="44"/>
      <c r="O717" s="44"/>
    </row>
    <row r="718" spans="1:15" ht="17.25" customHeight="1">
      <c r="A718" s="44"/>
      <c r="B718" s="44"/>
      <c r="C718" s="44"/>
      <c r="D718" s="44"/>
      <c r="E718" s="44"/>
      <c r="F718" s="44"/>
      <c r="G718" s="44"/>
      <c r="H718" s="44"/>
      <c r="I718" s="44"/>
      <c r="J718" s="44"/>
      <c r="K718" s="44"/>
      <c r="L718" s="44"/>
      <c r="M718" s="44"/>
      <c r="N718" s="44"/>
      <c r="O718" s="44"/>
    </row>
    <row r="719" spans="1:15" ht="17.25" customHeight="1">
      <c r="A719" s="44"/>
      <c r="B719" s="44"/>
      <c r="C719" s="44"/>
      <c r="D719" s="44"/>
      <c r="E719" s="44"/>
      <c r="F719" s="44"/>
      <c r="G719" s="44"/>
      <c r="H719" s="44"/>
      <c r="I719" s="44"/>
      <c r="J719" s="44"/>
      <c r="K719" s="44"/>
      <c r="L719" s="44"/>
      <c r="M719" s="44"/>
      <c r="N719" s="44"/>
      <c r="O719" s="44"/>
    </row>
    <row r="720" spans="1:15" ht="17.25" customHeight="1">
      <c r="A720" s="44"/>
      <c r="B720" s="44"/>
      <c r="C720" s="44"/>
      <c r="D720" s="44"/>
      <c r="E720" s="44"/>
      <c r="F720" s="44"/>
      <c r="G720" s="44"/>
      <c r="H720" s="44"/>
      <c r="I720" s="44"/>
      <c r="J720" s="44"/>
      <c r="K720" s="44"/>
      <c r="L720" s="44"/>
      <c r="M720" s="44"/>
      <c r="N720" s="44"/>
      <c r="O720" s="44"/>
    </row>
    <row r="721" spans="1:15" ht="17.25" customHeight="1">
      <c r="A721" s="44"/>
      <c r="B721" s="44"/>
      <c r="C721" s="44"/>
      <c r="D721" s="44"/>
      <c r="E721" s="44"/>
      <c r="F721" s="44"/>
      <c r="G721" s="44"/>
      <c r="H721" s="44"/>
      <c r="I721" s="44"/>
      <c r="J721" s="44"/>
      <c r="K721" s="44"/>
      <c r="L721" s="44"/>
      <c r="M721" s="44"/>
      <c r="N721" s="44"/>
      <c r="O721" s="44"/>
    </row>
    <row r="722" spans="1:15" ht="17.25" customHeight="1">
      <c r="A722" s="44"/>
      <c r="B722" s="44"/>
      <c r="C722" s="44"/>
      <c r="D722" s="44"/>
      <c r="E722" s="44"/>
      <c r="F722" s="44"/>
      <c r="G722" s="44"/>
      <c r="H722" s="44"/>
      <c r="I722" s="44"/>
      <c r="J722" s="44"/>
      <c r="K722" s="44"/>
      <c r="L722" s="44"/>
      <c r="M722" s="44"/>
      <c r="N722" s="44"/>
      <c r="O722" s="44"/>
    </row>
    <row r="723" spans="1:15" ht="17.25" customHeight="1">
      <c r="A723" s="44"/>
      <c r="B723" s="44"/>
      <c r="C723" s="44"/>
      <c r="D723" s="44"/>
      <c r="E723" s="44"/>
      <c r="F723" s="44"/>
      <c r="G723" s="44"/>
      <c r="H723" s="44"/>
      <c r="I723" s="44"/>
      <c r="J723" s="44"/>
      <c r="K723" s="44"/>
      <c r="L723" s="44"/>
      <c r="M723" s="44"/>
      <c r="N723" s="44"/>
      <c r="O723" s="44"/>
    </row>
    <row r="724" spans="1:15" ht="17.25" customHeight="1">
      <c r="A724" s="44"/>
      <c r="B724" s="44"/>
      <c r="C724" s="44"/>
      <c r="D724" s="44"/>
      <c r="E724" s="44"/>
      <c r="F724" s="44"/>
      <c r="G724" s="44"/>
      <c r="H724" s="44"/>
      <c r="I724" s="44"/>
      <c r="J724" s="44"/>
      <c r="K724" s="44"/>
      <c r="L724" s="44"/>
      <c r="M724" s="44"/>
      <c r="N724" s="44"/>
      <c r="O724" s="44"/>
    </row>
    <row r="725" spans="1:15" ht="17.25" customHeight="1">
      <c r="A725" s="44"/>
      <c r="B725" s="44"/>
      <c r="C725" s="44"/>
      <c r="D725" s="44"/>
      <c r="E725" s="44"/>
      <c r="F725" s="44"/>
      <c r="G725" s="44"/>
      <c r="H725" s="44"/>
      <c r="I725" s="44"/>
      <c r="J725" s="44"/>
      <c r="K725" s="44"/>
      <c r="L725" s="44"/>
      <c r="M725" s="44"/>
      <c r="N725" s="44"/>
      <c r="O725" s="44"/>
    </row>
    <row r="726" spans="1:15" ht="17.25" customHeight="1">
      <c r="A726" s="44"/>
      <c r="B726" s="44"/>
      <c r="C726" s="44"/>
      <c r="D726" s="44"/>
      <c r="E726" s="44"/>
      <c r="F726" s="44"/>
      <c r="G726" s="44"/>
      <c r="H726" s="44"/>
      <c r="I726" s="44"/>
      <c r="J726" s="44"/>
      <c r="K726" s="44"/>
      <c r="L726" s="44"/>
      <c r="M726" s="44"/>
      <c r="N726" s="44"/>
      <c r="O726" s="44"/>
    </row>
    <row r="727" spans="1:15" ht="17.25" customHeight="1">
      <c r="A727" s="44"/>
      <c r="B727" s="44"/>
      <c r="C727" s="44"/>
      <c r="D727" s="44"/>
      <c r="E727" s="44"/>
      <c r="F727" s="44"/>
      <c r="G727" s="44"/>
      <c r="H727" s="44"/>
      <c r="I727" s="44"/>
      <c r="J727" s="44"/>
      <c r="K727" s="44"/>
      <c r="L727" s="44"/>
      <c r="M727" s="44"/>
      <c r="N727" s="44"/>
      <c r="O727" s="44"/>
    </row>
    <row r="728" spans="1:15" ht="17.25" customHeight="1">
      <c r="A728" s="44"/>
      <c r="B728" s="44"/>
      <c r="C728" s="44"/>
      <c r="D728" s="44"/>
      <c r="E728" s="44"/>
      <c r="F728" s="44"/>
      <c r="G728" s="44"/>
      <c r="H728" s="44"/>
      <c r="I728" s="44"/>
      <c r="J728" s="44"/>
      <c r="K728" s="44"/>
      <c r="L728" s="44"/>
      <c r="M728" s="44"/>
      <c r="N728" s="44"/>
      <c r="O728" s="44"/>
    </row>
    <row r="729" spans="1:15" ht="17.25" customHeight="1">
      <c r="A729" s="44"/>
      <c r="B729" s="44"/>
      <c r="C729" s="44"/>
      <c r="D729" s="44"/>
      <c r="E729" s="44"/>
      <c r="F729" s="44"/>
      <c r="G729" s="44"/>
      <c r="H729" s="44"/>
      <c r="I729" s="44"/>
      <c r="J729" s="44"/>
      <c r="K729" s="44"/>
      <c r="L729" s="44"/>
      <c r="M729" s="44"/>
      <c r="N729" s="44"/>
      <c r="O729" s="44"/>
    </row>
    <row r="730" spans="1:15" ht="17.25" customHeight="1">
      <c r="A730" s="44"/>
      <c r="B730" s="44"/>
      <c r="C730" s="44"/>
      <c r="D730" s="44"/>
      <c r="E730" s="44"/>
      <c r="F730" s="44"/>
      <c r="G730" s="44"/>
      <c r="H730" s="44"/>
      <c r="I730" s="44"/>
      <c r="J730" s="44"/>
      <c r="K730" s="44"/>
      <c r="L730" s="44"/>
      <c r="M730" s="44"/>
      <c r="N730" s="44"/>
      <c r="O730" s="44"/>
    </row>
    <row r="731" spans="1:15" ht="17.25" customHeight="1">
      <c r="A731" s="44"/>
      <c r="B731" s="44"/>
      <c r="C731" s="44"/>
      <c r="D731" s="44"/>
      <c r="E731" s="44"/>
      <c r="F731" s="44"/>
      <c r="G731" s="44"/>
      <c r="H731" s="44"/>
      <c r="I731" s="44"/>
      <c r="J731" s="44"/>
      <c r="K731" s="44"/>
      <c r="L731" s="44"/>
      <c r="M731" s="44"/>
      <c r="N731" s="44"/>
      <c r="O731" s="44"/>
    </row>
    <row r="732" spans="1:15" ht="17.25" customHeight="1">
      <c r="A732" s="44"/>
      <c r="B732" s="44"/>
      <c r="C732" s="44"/>
      <c r="D732" s="44"/>
      <c r="E732" s="44"/>
      <c r="F732" s="44"/>
      <c r="G732" s="44"/>
      <c r="H732" s="44"/>
      <c r="I732" s="44"/>
      <c r="J732" s="44"/>
      <c r="K732" s="44"/>
      <c r="L732" s="44"/>
      <c r="M732" s="44"/>
      <c r="N732" s="44"/>
      <c r="O732" s="44"/>
    </row>
    <row r="733" spans="1:15" ht="17.25" customHeight="1">
      <c r="A733" s="44"/>
      <c r="B733" s="44"/>
      <c r="C733" s="44"/>
      <c r="D733" s="44"/>
      <c r="E733" s="44"/>
      <c r="F733" s="44"/>
      <c r="G733" s="44"/>
      <c r="H733" s="44"/>
      <c r="I733" s="44"/>
      <c r="J733" s="44"/>
      <c r="K733" s="44"/>
      <c r="L733" s="44"/>
      <c r="M733" s="44"/>
      <c r="N733" s="44"/>
      <c r="O733" s="44"/>
    </row>
    <row r="734" spans="1:15" ht="17.25" customHeight="1">
      <c r="A734" s="44"/>
      <c r="B734" s="44"/>
      <c r="C734" s="44"/>
      <c r="D734" s="44"/>
      <c r="E734" s="44"/>
      <c r="F734" s="44"/>
      <c r="G734" s="44"/>
      <c r="H734" s="44"/>
      <c r="I734" s="44"/>
      <c r="J734" s="44"/>
      <c r="K734" s="44"/>
      <c r="L734" s="44"/>
      <c r="M734" s="44"/>
      <c r="N734" s="44"/>
      <c r="O734" s="44"/>
    </row>
    <row r="735" spans="1:15" ht="17.25" customHeight="1">
      <c r="A735" s="44"/>
      <c r="B735" s="44"/>
      <c r="C735" s="44"/>
      <c r="D735" s="44"/>
      <c r="E735" s="44"/>
      <c r="F735" s="44"/>
      <c r="G735" s="44"/>
      <c r="H735" s="44"/>
      <c r="I735" s="44"/>
      <c r="J735" s="44"/>
      <c r="K735" s="44"/>
      <c r="L735" s="44"/>
      <c r="M735" s="44"/>
      <c r="N735" s="44"/>
      <c r="O735" s="44"/>
    </row>
    <row r="736" spans="1:15" ht="17.25" customHeight="1">
      <c r="A736" s="44"/>
      <c r="B736" s="44"/>
      <c r="C736" s="44"/>
      <c r="D736" s="44"/>
      <c r="E736" s="44"/>
      <c r="F736" s="44"/>
      <c r="G736" s="44"/>
      <c r="H736" s="44"/>
      <c r="I736" s="44"/>
      <c r="J736" s="44"/>
      <c r="K736" s="44"/>
      <c r="L736" s="44"/>
      <c r="M736" s="44"/>
      <c r="N736" s="44"/>
      <c r="O736" s="44"/>
    </row>
    <row r="737" spans="1:15" ht="17.25" customHeight="1">
      <c r="A737" s="44"/>
      <c r="B737" s="44"/>
      <c r="C737" s="44"/>
      <c r="D737" s="44"/>
      <c r="E737" s="44"/>
      <c r="F737" s="44"/>
      <c r="G737" s="44"/>
      <c r="H737" s="44"/>
      <c r="I737" s="44"/>
      <c r="J737" s="44"/>
      <c r="K737" s="44"/>
      <c r="L737" s="44"/>
      <c r="M737" s="44"/>
      <c r="N737" s="44"/>
      <c r="O737" s="44"/>
    </row>
    <row r="738" spans="1:15" ht="17.25" customHeight="1">
      <c r="A738" s="44"/>
      <c r="B738" s="44"/>
      <c r="C738" s="44"/>
      <c r="D738" s="44"/>
      <c r="E738" s="44"/>
      <c r="F738" s="44"/>
      <c r="G738" s="44"/>
      <c r="H738" s="44"/>
      <c r="I738" s="44"/>
      <c r="J738" s="44"/>
      <c r="K738" s="44"/>
      <c r="L738" s="44"/>
      <c r="M738" s="44"/>
      <c r="N738" s="44"/>
      <c r="O738" s="44"/>
    </row>
    <row r="739" spans="1:15" ht="17.25" customHeight="1">
      <c r="A739" s="44"/>
      <c r="B739" s="44"/>
      <c r="C739" s="44"/>
      <c r="D739" s="44"/>
      <c r="E739" s="44"/>
      <c r="F739" s="44"/>
      <c r="G739" s="44"/>
      <c r="H739" s="44"/>
      <c r="I739" s="44"/>
      <c r="J739" s="44"/>
      <c r="K739" s="44"/>
      <c r="L739" s="44"/>
      <c r="M739" s="44"/>
      <c r="N739" s="44"/>
      <c r="O739" s="44"/>
    </row>
    <row r="740" spans="1:15" ht="17.25" customHeight="1">
      <c r="A740" s="44"/>
      <c r="B740" s="44"/>
      <c r="C740" s="44"/>
      <c r="D740" s="44"/>
      <c r="E740" s="44"/>
      <c r="F740" s="44"/>
      <c r="G740" s="44"/>
      <c r="H740" s="44"/>
      <c r="I740" s="44"/>
      <c r="J740" s="44"/>
      <c r="K740" s="44"/>
      <c r="L740" s="44"/>
      <c r="M740" s="44"/>
      <c r="N740" s="44"/>
      <c r="O740" s="44"/>
    </row>
    <row r="741" spans="1:15" ht="17.25" customHeight="1">
      <c r="A741" s="44"/>
      <c r="B741" s="44"/>
      <c r="C741" s="44"/>
      <c r="D741" s="44"/>
      <c r="E741" s="44"/>
      <c r="F741" s="44"/>
      <c r="G741" s="44"/>
      <c r="H741" s="44"/>
      <c r="I741" s="44"/>
      <c r="J741" s="44"/>
      <c r="K741" s="44"/>
      <c r="L741" s="44"/>
      <c r="M741" s="44"/>
      <c r="N741" s="44"/>
      <c r="O741" s="44"/>
    </row>
    <row r="742" spans="1:15" ht="17.25" customHeight="1">
      <c r="A742" s="44"/>
      <c r="B742" s="44"/>
      <c r="C742" s="44"/>
      <c r="D742" s="44"/>
      <c r="E742" s="44"/>
      <c r="F742" s="44"/>
      <c r="G742" s="44"/>
      <c r="H742" s="44"/>
      <c r="I742" s="44"/>
      <c r="J742" s="44"/>
      <c r="K742" s="44"/>
      <c r="L742" s="44"/>
      <c r="M742" s="44"/>
      <c r="N742" s="44"/>
      <c r="O742" s="44"/>
    </row>
    <row r="743" spans="1:15" ht="17.25" customHeight="1">
      <c r="A743" s="44"/>
      <c r="B743" s="44"/>
      <c r="C743" s="44"/>
      <c r="D743" s="44"/>
      <c r="E743" s="44"/>
      <c r="F743" s="44"/>
      <c r="G743" s="44"/>
      <c r="H743" s="44"/>
      <c r="I743" s="44"/>
      <c r="J743" s="44"/>
      <c r="K743" s="44"/>
      <c r="L743" s="44"/>
      <c r="M743" s="44"/>
      <c r="N743" s="44"/>
      <c r="O743" s="44"/>
    </row>
    <row r="744" spans="1:15" ht="17.25" customHeight="1">
      <c r="A744" s="44"/>
      <c r="B744" s="44"/>
      <c r="C744" s="44"/>
      <c r="D744" s="44"/>
      <c r="E744" s="44"/>
      <c r="F744" s="44"/>
      <c r="G744" s="44"/>
      <c r="H744" s="44"/>
      <c r="I744" s="44"/>
      <c r="J744" s="44"/>
      <c r="K744" s="44"/>
      <c r="L744" s="44"/>
      <c r="M744" s="44"/>
      <c r="N744" s="44"/>
      <c r="O744" s="44"/>
    </row>
    <row r="745" spans="1:15" ht="17.25" customHeight="1">
      <c r="A745" s="44"/>
      <c r="B745" s="44"/>
      <c r="C745" s="44"/>
      <c r="D745" s="44"/>
      <c r="E745" s="44"/>
      <c r="F745" s="44"/>
      <c r="G745" s="44"/>
      <c r="H745" s="44"/>
      <c r="I745" s="44"/>
      <c r="J745" s="44"/>
      <c r="K745" s="44"/>
      <c r="L745" s="44"/>
      <c r="M745" s="44"/>
      <c r="N745" s="44"/>
      <c r="O745" s="44"/>
    </row>
    <row r="746" spans="1:15" ht="17.25" customHeight="1">
      <c r="A746" s="44"/>
      <c r="B746" s="44"/>
      <c r="C746" s="44"/>
      <c r="D746" s="44"/>
      <c r="E746" s="44"/>
      <c r="F746" s="44"/>
      <c r="G746" s="44"/>
      <c r="H746" s="44"/>
      <c r="I746" s="44"/>
      <c r="J746" s="44"/>
      <c r="K746" s="44"/>
      <c r="L746" s="44"/>
      <c r="M746" s="44"/>
      <c r="N746" s="44"/>
      <c r="O746" s="44"/>
    </row>
    <row r="747" spans="1:15" ht="17.25" customHeight="1">
      <c r="A747" s="44"/>
      <c r="B747" s="44"/>
      <c r="C747" s="44"/>
      <c r="D747" s="44"/>
      <c r="E747" s="44"/>
      <c r="F747" s="44"/>
      <c r="G747" s="44"/>
      <c r="H747" s="44"/>
      <c r="I747" s="44"/>
      <c r="J747" s="44"/>
      <c r="K747" s="44"/>
      <c r="L747" s="44"/>
      <c r="M747" s="44"/>
      <c r="N747" s="44"/>
      <c r="O747" s="44"/>
    </row>
    <row r="748" spans="1:15" ht="17.25" customHeight="1">
      <c r="A748" s="44"/>
      <c r="B748" s="44"/>
      <c r="C748" s="44"/>
      <c r="D748" s="44"/>
      <c r="E748" s="44"/>
      <c r="F748" s="44"/>
      <c r="G748" s="44"/>
      <c r="H748" s="44"/>
      <c r="I748" s="44"/>
      <c r="J748" s="44"/>
      <c r="K748" s="44"/>
      <c r="L748" s="44"/>
      <c r="M748" s="44"/>
      <c r="N748" s="44"/>
      <c r="O748" s="44"/>
    </row>
    <row r="749" spans="1:15" ht="17.25" customHeight="1">
      <c r="A749" s="44"/>
      <c r="B749" s="44"/>
      <c r="C749" s="44"/>
      <c r="D749" s="44"/>
      <c r="E749" s="44"/>
      <c r="F749" s="44"/>
      <c r="G749" s="44"/>
      <c r="H749" s="44"/>
      <c r="I749" s="44"/>
      <c r="J749" s="44"/>
      <c r="K749" s="44"/>
      <c r="L749" s="44"/>
      <c r="M749" s="44"/>
      <c r="N749" s="44"/>
      <c r="O749" s="44"/>
    </row>
    <row r="750" spans="1:15" ht="17.25" customHeight="1">
      <c r="A750" s="44"/>
      <c r="B750" s="44"/>
      <c r="C750" s="44"/>
      <c r="D750" s="44"/>
      <c r="E750" s="44"/>
      <c r="F750" s="44"/>
      <c r="G750" s="44"/>
      <c r="H750" s="44"/>
      <c r="I750" s="44"/>
      <c r="J750" s="44"/>
      <c r="K750" s="44"/>
      <c r="L750" s="44"/>
      <c r="M750" s="44"/>
      <c r="N750" s="44"/>
      <c r="O750" s="44"/>
    </row>
    <row r="751" spans="1:15" ht="17.25" customHeight="1">
      <c r="A751" s="44"/>
      <c r="B751" s="44"/>
      <c r="C751" s="44"/>
      <c r="D751" s="44"/>
      <c r="E751" s="44"/>
      <c r="F751" s="44"/>
      <c r="G751" s="44"/>
      <c r="H751" s="44"/>
      <c r="I751" s="44"/>
      <c r="J751" s="44"/>
      <c r="K751" s="44"/>
      <c r="L751" s="44"/>
      <c r="M751" s="44"/>
      <c r="N751" s="44"/>
      <c r="O751" s="44"/>
    </row>
    <row r="752" spans="1:15" ht="17.25" customHeight="1">
      <c r="A752" s="44"/>
      <c r="B752" s="44"/>
      <c r="C752" s="44"/>
      <c r="D752" s="44"/>
      <c r="E752" s="44"/>
      <c r="F752" s="44"/>
      <c r="G752" s="44"/>
      <c r="H752" s="44"/>
      <c r="I752" s="44"/>
      <c r="J752" s="44"/>
      <c r="K752" s="44"/>
      <c r="L752" s="44"/>
      <c r="M752" s="44"/>
      <c r="N752" s="44"/>
      <c r="O752" s="44"/>
    </row>
    <row r="753" spans="1:15" ht="17.25" customHeight="1">
      <c r="A753" s="44"/>
      <c r="B753" s="44"/>
      <c r="C753" s="44"/>
      <c r="D753" s="44"/>
      <c r="E753" s="44"/>
      <c r="F753" s="44"/>
      <c r="G753" s="44"/>
      <c r="H753" s="44"/>
      <c r="I753" s="44"/>
      <c r="J753" s="44"/>
      <c r="K753" s="44"/>
      <c r="L753" s="44"/>
      <c r="M753" s="44"/>
      <c r="N753" s="44"/>
      <c r="O753" s="44"/>
    </row>
    <row r="754" spans="1:15" ht="17.25" customHeight="1">
      <c r="A754" s="44"/>
      <c r="B754" s="44"/>
      <c r="C754" s="44"/>
      <c r="D754" s="44"/>
      <c r="E754" s="44"/>
      <c r="F754" s="44"/>
      <c r="G754" s="44"/>
      <c r="H754" s="44"/>
      <c r="I754" s="44"/>
      <c r="J754" s="44"/>
      <c r="K754" s="44"/>
      <c r="L754" s="44"/>
      <c r="M754" s="44"/>
      <c r="N754" s="44"/>
      <c r="O754" s="44"/>
    </row>
    <row r="755" spans="1:15" ht="17.25" customHeight="1">
      <c r="A755" s="44"/>
      <c r="B755" s="44"/>
      <c r="C755" s="44"/>
      <c r="D755" s="44"/>
      <c r="E755" s="44"/>
      <c r="F755" s="44"/>
      <c r="G755" s="44"/>
      <c r="H755" s="44"/>
      <c r="I755" s="44"/>
      <c r="J755" s="44"/>
      <c r="K755" s="44"/>
      <c r="L755" s="44"/>
      <c r="M755" s="44"/>
      <c r="N755" s="44"/>
      <c r="O755" s="44"/>
    </row>
    <row r="756" spans="1:15" ht="17.25" customHeight="1">
      <c r="A756" s="44"/>
      <c r="B756" s="44"/>
      <c r="C756" s="44"/>
      <c r="D756" s="44"/>
      <c r="E756" s="44"/>
      <c r="F756" s="44"/>
      <c r="G756" s="44"/>
      <c r="H756" s="44"/>
      <c r="I756" s="44"/>
      <c r="J756" s="44"/>
      <c r="K756" s="44"/>
      <c r="L756" s="44"/>
      <c r="M756" s="44"/>
      <c r="N756" s="44"/>
      <c r="O756" s="44"/>
    </row>
    <row r="757" spans="1:15" ht="17.25" customHeight="1">
      <c r="A757" s="44"/>
      <c r="B757" s="44"/>
      <c r="C757" s="44"/>
      <c r="D757" s="44"/>
      <c r="E757" s="44"/>
      <c r="F757" s="44"/>
      <c r="G757" s="44"/>
      <c r="H757" s="44"/>
      <c r="I757" s="44"/>
      <c r="J757" s="44"/>
      <c r="K757" s="44"/>
      <c r="L757" s="44"/>
      <c r="M757" s="44"/>
      <c r="N757" s="44"/>
      <c r="O757" s="44"/>
    </row>
    <row r="758" spans="1:15" ht="17.25" customHeight="1">
      <c r="A758" s="44"/>
      <c r="B758" s="44"/>
      <c r="C758" s="44"/>
      <c r="D758" s="44"/>
      <c r="E758" s="44"/>
      <c r="F758" s="44"/>
      <c r="G758" s="44"/>
      <c r="H758" s="44"/>
      <c r="I758" s="44"/>
      <c r="J758" s="44"/>
      <c r="K758" s="44"/>
      <c r="L758" s="44"/>
      <c r="M758" s="44"/>
      <c r="N758" s="44"/>
      <c r="O758" s="44"/>
    </row>
    <row r="759" spans="1:15" ht="17.25" customHeight="1">
      <c r="A759" s="44"/>
      <c r="B759" s="44"/>
      <c r="C759" s="44"/>
      <c r="D759" s="44"/>
      <c r="E759" s="44"/>
      <c r="F759" s="44"/>
      <c r="G759" s="44"/>
      <c r="H759" s="44"/>
      <c r="I759" s="44"/>
      <c r="J759" s="44"/>
      <c r="K759" s="44"/>
      <c r="L759" s="44"/>
      <c r="M759" s="44"/>
      <c r="N759" s="44"/>
      <c r="O759" s="44"/>
    </row>
    <row r="760" spans="1:15" ht="17.25" customHeight="1">
      <c r="A760" s="44"/>
      <c r="B760" s="44"/>
      <c r="C760" s="44"/>
      <c r="D760" s="44"/>
      <c r="E760" s="44"/>
      <c r="F760" s="44"/>
      <c r="G760" s="44"/>
      <c r="H760" s="44"/>
      <c r="I760" s="44"/>
      <c r="J760" s="44"/>
      <c r="K760" s="44"/>
      <c r="L760" s="44"/>
      <c r="M760" s="44"/>
      <c r="N760" s="44"/>
      <c r="O760" s="44"/>
    </row>
    <row r="761" spans="1:15" ht="17.25" customHeight="1">
      <c r="A761" s="44"/>
      <c r="B761" s="44"/>
      <c r="C761" s="44"/>
      <c r="D761" s="44"/>
      <c r="E761" s="44"/>
      <c r="F761" s="44"/>
      <c r="G761" s="44"/>
      <c r="H761" s="44"/>
      <c r="I761" s="44"/>
      <c r="J761" s="44"/>
      <c r="K761" s="44"/>
      <c r="L761" s="44"/>
      <c r="M761" s="44"/>
      <c r="N761" s="44"/>
      <c r="O761" s="44"/>
    </row>
    <row r="762" spans="1:15" ht="17.25" customHeight="1">
      <c r="A762" s="44"/>
      <c r="B762" s="44"/>
      <c r="C762" s="44"/>
      <c r="D762" s="44"/>
      <c r="E762" s="44"/>
      <c r="F762" s="44"/>
      <c r="G762" s="44"/>
      <c r="H762" s="44"/>
      <c r="I762" s="44"/>
      <c r="J762" s="44"/>
      <c r="K762" s="44"/>
      <c r="L762" s="44"/>
      <c r="M762" s="44"/>
      <c r="N762" s="44"/>
      <c r="O762" s="44"/>
    </row>
    <row r="763" spans="1:15" ht="17.25" customHeight="1">
      <c r="A763" s="44"/>
      <c r="B763" s="44"/>
      <c r="C763" s="44"/>
      <c r="D763" s="44"/>
      <c r="E763" s="44"/>
      <c r="F763" s="44"/>
      <c r="G763" s="44"/>
      <c r="H763" s="44"/>
      <c r="I763" s="44"/>
      <c r="J763" s="44"/>
      <c r="K763" s="44"/>
      <c r="L763" s="44"/>
      <c r="M763" s="44"/>
      <c r="N763" s="44"/>
      <c r="O763" s="44"/>
    </row>
    <row r="764" spans="1:15" ht="17.25" customHeight="1">
      <c r="A764" s="44"/>
      <c r="B764" s="44"/>
      <c r="C764" s="44"/>
      <c r="D764" s="44"/>
      <c r="E764" s="44"/>
      <c r="F764" s="44"/>
      <c r="G764" s="44"/>
      <c r="H764" s="44"/>
      <c r="I764" s="44"/>
      <c r="J764" s="44"/>
      <c r="K764" s="44"/>
      <c r="L764" s="44"/>
      <c r="M764" s="44"/>
      <c r="N764" s="44"/>
      <c r="O764" s="44"/>
    </row>
    <row r="765" spans="1:15" ht="17.25" customHeight="1">
      <c r="A765" s="44"/>
      <c r="B765" s="44"/>
      <c r="C765" s="44"/>
      <c r="D765" s="44"/>
      <c r="E765" s="44"/>
      <c r="F765" s="44"/>
      <c r="G765" s="44"/>
      <c r="H765" s="44"/>
      <c r="I765" s="44"/>
      <c r="J765" s="44"/>
      <c r="K765" s="44"/>
      <c r="L765" s="44"/>
      <c r="M765" s="44"/>
      <c r="N765" s="44"/>
      <c r="O765" s="44"/>
    </row>
    <row r="766" spans="1:15" ht="17.25" customHeight="1">
      <c r="A766" s="44"/>
      <c r="B766" s="44"/>
      <c r="C766" s="44"/>
      <c r="D766" s="44"/>
      <c r="E766" s="44"/>
      <c r="F766" s="44"/>
      <c r="G766" s="44"/>
      <c r="H766" s="44"/>
      <c r="I766" s="44"/>
      <c r="J766" s="44"/>
      <c r="K766" s="44"/>
      <c r="L766" s="44"/>
      <c r="M766" s="44"/>
      <c r="N766" s="44"/>
      <c r="O766" s="44"/>
    </row>
    <row r="767" spans="1:15" ht="17.25" customHeight="1">
      <c r="A767" s="44"/>
      <c r="B767" s="44"/>
      <c r="C767" s="44"/>
      <c r="D767" s="44"/>
      <c r="E767" s="44"/>
      <c r="F767" s="44"/>
      <c r="G767" s="44"/>
      <c r="H767" s="44"/>
      <c r="I767" s="44"/>
      <c r="J767" s="44"/>
      <c r="K767" s="44"/>
      <c r="L767" s="44"/>
      <c r="M767" s="44"/>
      <c r="N767" s="44"/>
      <c r="O767" s="44"/>
    </row>
    <row r="768" spans="1:15" ht="17.25" customHeight="1">
      <c r="A768" s="44"/>
      <c r="B768" s="44"/>
      <c r="C768" s="44"/>
      <c r="D768" s="44"/>
      <c r="E768" s="44"/>
      <c r="F768" s="44"/>
      <c r="G768" s="44"/>
      <c r="H768" s="44"/>
      <c r="I768" s="44"/>
      <c r="J768" s="44"/>
      <c r="K768" s="44"/>
      <c r="L768" s="44"/>
      <c r="M768" s="44"/>
      <c r="N768" s="44"/>
      <c r="O768" s="44"/>
    </row>
    <row r="769" spans="1:15" ht="17.25" customHeight="1">
      <c r="A769" s="44"/>
      <c r="B769" s="44"/>
      <c r="C769" s="44"/>
      <c r="D769" s="44"/>
      <c r="E769" s="44"/>
      <c r="F769" s="44"/>
      <c r="G769" s="44"/>
      <c r="H769" s="44"/>
      <c r="I769" s="44"/>
      <c r="J769" s="44"/>
      <c r="K769" s="44"/>
      <c r="L769" s="44"/>
      <c r="M769" s="44"/>
      <c r="N769" s="44"/>
      <c r="O769" s="44"/>
    </row>
    <row r="770" spans="1:15" ht="17.25" customHeight="1">
      <c r="A770" s="44"/>
      <c r="B770" s="44"/>
      <c r="C770" s="44"/>
      <c r="D770" s="44"/>
      <c r="E770" s="44"/>
      <c r="F770" s="44"/>
      <c r="G770" s="44"/>
      <c r="H770" s="44"/>
      <c r="I770" s="44"/>
      <c r="J770" s="44"/>
      <c r="K770" s="44"/>
      <c r="L770" s="44"/>
      <c r="M770" s="44"/>
      <c r="N770" s="44"/>
      <c r="O770" s="44"/>
    </row>
    <row r="771" spans="1:15" ht="17.25" customHeight="1">
      <c r="A771" s="44"/>
      <c r="B771" s="44"/>
      <c r="C771" s="44"/>
      <c r="D771" s="44"/>
      <c r="E771" s="44"/>
      <c r="F771" s="44"/>
      <c r="G771" s="44"/>
      <c r="H771" s="44"/>
      <c r="I771" s="44"/>
      <c r="J771" s="44"/>
      <c r="K771" s="44"/>
      <c r="L771" s="44"/>
      <c r="M771" s="44"/>
      <c r="N771" s="44"/>
      <c r="O771" s="44"/>
    </row>
    <row r="772" spans="1:15" ht="17.25" customHeight="1">
      <c r="A772" s="44"/>
      <c r="B772" s="44"/>
      <c r="C772" s="44"/>
      <c r="D772" s="44"/>
      <c r="E772" s="44"/>
      <c r="F772" s="44"/>
      <c r="G772" s="44"/>
      <c r="H772" s="44"/>
      <c r="I772" s="44"/>
      <c r="J772" s="44"/>
      <c r="K772" s="44"/>
      <c r="L772" s="44"/>
      <c r="M772" s="44"/>
      <c r="N772" s="44"/>
      <c r="O772" s="44"/>
    </row>
    <row r="773" spans="1:15" ht="17.25" customHeight="1">
      <c r="A773" s="44"/>
      <c r="B773" s="44"/>
      <c r="C773" s="44"/>
      <c r="D773" s="44"/>
      <c r="E773" s="44"/>
      <c r="F773" s="44"/>
      <c r="G773" s="44"/>
      <c r="H773" s="44"/>
      <c r="I773" s="44"/>
      <c r="J773" s="44"/>
      <c r="K773" s="44"/>
      <c r="L773" s="44"/>
      <c r="M773" s="44"/>
      <c r="N773" s="44"/>
      <c r="O773" s="44"/>
    </row>
    <row r="774" spans="1:15" ht="17.25" customHeight="1">
      <c r="A774" s="44"/>
      <c r="B774" s="44"/>
      <c r="C774" s="44"/>
      <c r="D774" s="44"/>
      <c r="E774" s="44"/>
      <c r="F774" s="44"/>
      <c r="G774" s="44"/>
      <c r="H774" s="44"/>
      <c r="I774" s="44"/>
      <c r="J774" s="44"/>
      <c r="K774" s="44"/>
      <c r="L774" s="44"/>
      <c r="M774" s="44"/>
      <c r="N774" s="44"/>
      <c r="O774" s="44"/>
    </row>
    <row r="775" spans="1:15" ht="17.25" customHeight="1">
      <c r="A775" s="44"/>
      <c r="B775" s="44"/>
      <c r="C775" s="44"/>
      <c r="D775" s="44"/>
      <c r="E775" s="44"/>
      <c r="F775" s="44"/>
      <c r="G775" s="44"/>
      <c r="H775" s="44"/>
      <c r="I775" s="44"/>
      <c r="J775" s="44"/>
      <c r="K775" s="44"/>
      <c r="L775" s="44"/>
      <c r="M775" s="44"/>
      <c r="N775" s="44"/>
      <c r="O775" s="44"/>
    </row>
    <row r="776" spans="1:15" ht="17.25" customHeight="1">
      <c r="A776" s="44"/>
      <c r="B776" s="44"/>
      <c r="C776" s="44"/>
      <c r="D776" s="44"/>
      <c r="E776" s="44"/>
      <c r="F776" s="44"/>
      <c r="G776" s="44"/>
      <c r="H776" s="44"/>
      <c r="I776" s="44"/>
      <c r="J776" s="44"/>
      <c r="K776" s="44"/>
      <c r="L776" s="44"/>
      <c r="M776" s="44"/>
      <c r="N776" s="44"/>
      <c r="O776" s="44"/>
    </row>
    <row r="777" spans="1:15" ht="17.25" customHeight="1">
      <c r="A777" s="44"/>
      <c r="B777" s="44"/>
      <c r="C777" s="44"/>
      <c r="D777" s="44"/>
      <c r="E777" s="44"/>
      <c r="F777" s="44"/>
      <c r="G777" s="44"/>
      <c r="H777" s="44"/>
      <c r="I777" s="44"/>
      <c r="J777" s="44"/>
      <c r="K777" s="44"/>
      <c r="L777" s="44"/>
      <c r="M777" s="44"/>
      <c r="N777" s="44"/>
      <c r="O777" s="44"/>
    </row>
    <row r="778" spans="1:15" ht="17.25" customHeight="1">
      <c r="A778" s="44"/>
      <c r="B778" s="44"/>
      <c r="C778" s="44"/>
      <c r="D778" s="44"/>
      <c r="E778" s="44"/>
      <c r="F778" s="44"/>
      <c r="G778" s="44"/>
      <c r="H778" s="44"/>
      <c r="I778" s="44"/>
      <c r="J778" s="44"/>
      <c r="K778" s="44"/>
      <c r="L778" s="44"/>
      <c r="M778" s="44"/>
      <c r="N778" s="44"/>
      <c r="O778" s="44"/>
    </row>
    <row r="779" spans="1:15" ht="17.25" customHeight="1">
      <c r="A779" s="44"/>
      <c r="B779" s="44"/>
      <c r="C779" s="44"/>
      <c r="D779" s="44"/>
      <c r="E779" s="44"/>
      <c r="F779" s="44"/>
      <c r="G779" s="44"/>
      <c r="H779" s="44"/>
      <c r="I779" s="44"/>
      <c r="J779" s="44"/>
      <c r="K779" s="44"/>
      <c r="L779" s="44"/>
      <c r="M779" s="44"/>
      <c r="N779" s="44"/>
      <c r="O779" s="44"/>
    </row>
    <row r="780" spans="1:15" ht="17.25" customHeight="1">
      <c r="A780" s="44"/>
      <c r="B780" s="44"/>
      <c r="C780" s="44"/>
      <c r="D780" s="44"/>
      <c r="E780" s="44"/>
      <c r="F780" s="44"/>
      <c r="G780" s="44"/>
      <c r="H780" s="44"/>
      <c r="I780" s="44"/>
      <c r="J780" s="44"/>
      <c r="K780" s="44"/>
      <c r="L780" s="44"/>
      <c r="M780" s="44"/>
      <c r="N780" s="44"/>
      <c r="O780" s="44"/>
    </row>
    <row r="781" spans="1:15" ht="17.25" customHeight="1">
      <c r="A781" s="44"/>
      <c r="B781" s="44"/>
      <c r="C781" s="44"/>
      <c r="D781" s="44"/>
      <c r="E781" s="44"/>
      <c r="F781" s="44"/>
      <c r="G781" s="44"/>
      <c r="H781" s="44"/>
      <c r="I781" s="44"/>
      <c r="J781" s="44"/>
      <c r="K781" s="44"/>
      <c r="L781" s="44"/>
      <c r="M781" s="44"/>
      <c r="N781" s="44"/>
      <c r="O781" s="44"/>
    </row>
    <row r="782" spans="1:15" ht="17.25" customHeight="1">
      <c r="A782" s="44"/>
      <c r="B782" s="44"/>
      <c r="C782" s="44"/>
      <c r="D782" s="44"/>
      <c r="E782" s="44"/>
      <c r="F782" s="44"/>
      <c r="G782" s="44"/>
      <c r="H782" s="44"/>
      <c r="I782" s="44"/>
      <c r="J782" s="44"/>
      <c r="K782" s="44"/>
      <c r="L782" s="44"/>
      <c r="M782" s="44"/>
      <c r="N782" s="44"/>
      <c r="O782" s="44"/>
    </row>
    <row r="783" spans="1:15" ht="17.25" customHeight="1">
      <c r="A783" s="44"/>
      <c r="B783" s="44"/>
      <c r="C783" s="44"/>
      <c r="D783" s="44"/>
      <c r="E783" s="44"/>
      <c r="F783" s="44"/>
      <c r="G783" s="44"/>
      <c r="H783" s="44"/>
      <c r="I783" s="44"/>
      <c r="J783" s="44"/>
      <c r="K783" s="44"/>
      <c r="L783" s="44"/>
      <c r="M783" s="44"/>
      <c r="N783" s="44"/>
      <c r="O783" s="44"/>
    </row>
    <row r="784" spans="1:15" ht="17.25" customHeight="1">
      <c r="A784" s="44"/>
      <c r="B784" s="44"/>
      <c r="C784" s="44"/>
      <c r="D784" s="44"/>
      <c r="E784" s="44"/>
      <c r="F784" s="44"/>
      <c r="G784" s="44"/>
      <c r="H784" s="44"/>
      <c r="I784" s="44"/>
      <c r="J784" s="44"/>
      <c r="K784" s="44"/>
      <c r="L784" s="44"/>
      <c r="M784" s="44"/>
      <c r="N784" s="44"/>
      <c r="O784" s="44"/>
    </row>
    <row r="785" spans="1:15" ht="17.25" customHeight="1">
      <c r="A785" s="44"/>
      <c r="B785" s="44"/>
      <c r="C785" s="44"/>
      <c r="D785" s="44"/>
      <c r="E785" s="44"/>
      <c r="F785" s="44"/>
      <c r="G785" s="44"/>
      <c r="H785" s="44"/>
      <c r="I785" s="44"/>
      <c r="J785" s="44"/>
      <c r="K785" s="44"/>
      <c r="L785" s="44"/>
      <c r="M785" s="44"/>
      <c r="N785" s="44"/>
      <c r="O785" s="44"/>
    </row>
    <row r="786" spans="1:15" ht="17.25" customHeight="1">
      <c r="A786" s="44"/>
      <c r="B786" s="44"/>
      <c r="C786" s="44"/>
      <c r="D786" s="44"/>
      <c r="E786" s="44"/>
      <c r="F786" s="44"/>
      <c r="G786" s="44"/>
      <c r="H786" s="44"/>
      <c r="I786" s="44"/>
      <c r="J786" s="44"/>
      <c r="K786" s="44"/>
      <c r="L786" s="44"/>
      <c r="M786" s="44"/>
      <c r="N786" s="44"/>
      <c r="O786" s="44"/>
    </row>
    <row r="787" spans="1:15" ht="17.25" customHeight="1">
      <c r="A787" s="44"/>
      <c r="B787" s="44"/>
      <c r="C787" s="44"/>
      <c r="D787" s="44"/>
      <c r="E787" s="44"/>
      <c r="F787" s="44"/>
      <c r="G787" s="44"/>
      <c r="H787" s="44"/>
      <c r="I787" s="44"/>
      <c r="J787" s="44"/>
      <c r="K787" s="44"/>
      <c r="L787" s="44"/>
      <c r="M787" s="44"/>
      <c r="N787" s="44"/>
      <c r="O787" s="44"/>
    </row>
    <row r="788" spans="1:15" ht="17.25" customHeight="1">
      <c r="A788" s="44"/>
      <c r="B788" s="44"/>
      <c r="C788" s="44"/>
      <c r="D788" s="44"/>
      <c r="E788" s="44"/>
      <c r="F788" s="44"/>
      <c r="G788" s="44"/>
      <c r="H788" s="44"/>
      <c r="I788" s="44"/>
      <c r="J788" s="44"/>
      <c r="K788" s="44"/>
      <c r="L788" s="44"/>
      <c r="M788" s="44"/>
      <c r="N788" s="44"/>
      <c r="O788" s="44"/>
    </row>
    <row r="789" spans="1:15" ht="17.25" customHeight="1">
      <c r="A789" s="44"/>
      <c r="B789" s="44"/>
      <c r="C789" s="44"/>
      <c r="D789" s="44"/>
      <c r="E789" s="44"/>
      <c r="F789" s="44"/>
      <c r="G789" s="44"/>
      <c r="H789" s="44"/>
      <c r="I789" s="44"/>
      <c r="J789" s="44"/>
      <c r="K789" s="44"/>
      <c r="L789" s="44"/>
      <c r="M789" s="44"/>
      <c r="N789" s="44"/>
      <c r="O789" s="44"/>
    </row>
    <row r="790" spans="1:15" ht="17.25" customHeight="1">
      <c r="A790" s="44"/>
      <c r="B790" s="44"/>
      <c r="C790" s="44"/>
      <c r="D790" s="44"/>
      <c r="E790" s="44"/>
      <c r="F790" s="44"/>
      <c r="G790" s="44"/>
      <c r="H790" s="44"/>
      <c r="I790" s="44"/>
      <c r="J790" s="44"/>
      <c r="K790" s="44"/>
      <c r="L790" s="44"/>
      <c r="M790" s="44"/>
      <c r="N790" s="44"/>
      <c r="O790" s="44"/>
    </row>
    <row r="791" spans="1:15" ht="17.25" customHeight="1">
      <c r="A791" s="44"/>
      <c r="B791" s="44"/>
      <c r="C791" s="44"/>
      <c r="D791" s="44"/>
      <c r="E791" s="44"/>
      <c r="F791" s="44"/>
      <c r="G791" s="44"/>
      <c r="H791" s="44"/>
      <c r="I791" s="44"/>
      <c r="J791" s="44"/>
      <c r="K791" s="44"/>
      <c r="L791" s="44"/>
      <c r="M791" s="44"/>
      <c r="N791" s="44"/>
      <c r="O791" s="44"/>
    </row>
    <row r="792" spans="1:15" ht="17.25" customHeight="1">
      <c r="A792" s="44"/>
      <c r="B792" s="44"/>
      <c r="C792" s="44"/>
      <c r="D792" s="44"/>
      <c r="E792" s="44"/>
      <c r="F792" s="44"/>
      <c r="G792" s="44"/>
      <c r="H792" s="44"/>
      <c r="I792" s="44"/>
      <c r="J792" s="44"/>
      <c r="K792" s="44"/>
      <c r="L792" s="44"/>
      <c r="M792" s="44"/>
      <c r="N792" s="44"/>
      <c r="O792" s="44"/>
    </row>
    <row r="793" spans="1:15" ht="17.25" customHeight="1">
      <c r="A793" s="44"/>
      <c r="B793" s="44"/>
      <c r="C793" s="44"/>
      <c r="D793" s="44"/>
      <c r="E793" s="44"/>
      <c r="F793" s="44"/>
      <c r="G793" s="44"/>
      <c r="H793" s="44"/>
      <c r="I793" s="44"/>
      <c r="J793" s="44"/>
      <c r="K793" s="44"/>
      <c r="L793" s="44"/>
      <c r="M793" s="44"/>
      <c r="N793" s="44"/>
      <c r="O793" s="44"/>
    </row>
    <row r="794" spans="1:15" ht="17.25" customHeight="1">
      <c r="A794" s="44"/>
      <c r="B794" s="44"/>
      <c r="C794" s="44"/>
      <c r="D794" s="44"/>
      <c r="E794" s="44"/>
      <c r="F794" s="44"/>
      <c r="G794" s="44"/>
      <c r="H794" s="44"/>
      <c r="I794" s="44"/>
      <c r="J794" s="44"/>
      <c r="K794" s="44"/>
      <c r="L794" s="44"/>
      <c r="M794" s="44"/>
      <c r="N794" s="44"/>
      <c r="O794" s="44"/>
    </row>
    <row r="795" spans="1:15" ht="17.25" customHeight="1">
      <c r="A795" s="44"/>
      <c r="B795" s="44"/>
      <c r="C795" s="44"/>
      <c r="D795" s="44"/>
      <c r="E795" s="44"/>
      <c r="F795" s="44"/>
      <c r="G795" s="44"/>
      <c r="H795" s="44"/>
      <c r="I795" s="44"/>
      <c r="J795" s="44"/>
      <c r="K795" s="44"/>
      <c r="L795" s="44"/>
      <c r="M795" s="44"/>
      <c r="N795" s="44"/>
      <c r="O795" s="44"/>
    </row>
    <row r="796" spans="1:15" ht="17.25" customHeight="1">
      <c r="A796" s="44"/>
      <c r="B796" s="44"/>
      <c r="C796" s="44"/>
      <c r="D796" s="44"/>
      <c r="E796" s="44"/>
      <c r="F796" s="44"/>
      <c r="G796" s="44"/>
      <c r="H796" s="44"/>
      <c r="I796" s="44"/>
      <c r="J796" s="44"/>
      <c r="K796" s="44"/>
      <c r="L796" s="44"/>
      <c r="M796" s="44"/>
      <c r="N796" s="44"/>
      <c r="O796" s="44"/>
    </row>
    <row r="797" spans="1:15" ht="17.25" customHeight="1">
      <c r="A797" s="44"/>
      <c r="B797" s="44"/>
      <c r="C797" s="44"/>
      <c r="D797" s="44"/>
      <c r="E797" s="44"/>
      <c r="F797" s="44"/>
      <c r="G797" s="44"/>
      <c r="H797" s="44"/>
      <c r="I797" s="44"/>
      <c r="J797" s="44"/>
      <c r="K797" s="44"/>
      <c r="L797" s="44"/>
      <c r="M797" s="44"/>
      <c r="N797" s="44"/>
      <c r="O797" s="44"/>
    </row>
    <row r="798" spans="1:15" ht="17.25" customHeight="1">
      <c r="A798" s="44"/>
      <c r="B798" s="44"/>
      <c r="C798" s="44"/>
      <c r="D798" s="44"/>
      <c r="E798" s="44"/>
      <c r="F798" s="44"/>
      <c r="G798" s="44"/>
      <c r="H798" s="44"/>
      <c r="I798" s="44"/>
      <c r="J798" s="44"/>
      <c r="K798" s="44"/>
      <c r="L798" s="44"/>
      <c r="M798" s="44"/>
      <c r="N798" s="44"/>
      <c r="O798" s="44"/>
    </row>
    <row r="799" spans="1:15" ht="17.25" customHeight="1">
      <c r="A799" s="44"/>
      <c r="B799" s="44"/>
      <c r="C799" s="44"/>
      <c r="D799" s="44"/>
      <c r="E799" s="44"/>
      <c r="F799" s="44"/>
      <c r="G799" s="44"/>
      <c r="H799" s="44"/>
      <c r="I799" s="44"/>
      <c r="J799" s="44"/>
      <c r="K799" s="44"/>
      <c r="L799" s="44"/>
      <c r="M799" s="44"/>
      <c r="N799" s="44"/>
      <c r="O799" s="44"/>
    </row>
    <row r="800" spans="1:15" ht="17.25" customHeight="1">
      <c r="A800" s="44"/>
      <c r="B800" s="44"/>
      <c r="C800" s="44"/>
      <c r="D800" s="44"/>
      <c r="E800" s="44"/>
      <c r="F800" s="44"/>
      <c r="G800" s="44"/>
      <c r="H800" s="44"/>
      <c r="I800" s="44"/>
      <c r="J800" s="44"/>
      <c r="K800" s="44"/>
      <c r="L800" s="44"/>
      <c r="M800" s="44"/>
      <c r="N800" s="44"/>
      <c r="O800" s="44"/>
    </row>
    <row r="801" spans="1:15" ht="17.25" customHeight="1">
      <c r="A801" s="44"/>
      <c r="B801" s="44"/>
      <c r="C801" s="44"/>
      <c r="D801" s="44"/>
      <c r="E801" s="44"/>
      <c r="F801" s="44"/>
      <c r="G801" s="44"/>
      <c r="H801" s="44"/>
      <c r="I801" s="44"/>
      <c r="J801" s="44"/>
      <c r="K801" s="44"/>
      <c r="L801" s="44"/>
      <c r="M801" s="44"/>
      <c r="N801" s="44"/>
      <c r="O801" s="44"/>
    </row>
    <row r="802" spans="1:15" ht="17.25" customHeight="1">
      <c r="A802" s="44"/>
      <c r="B802" s="44"/>
      <c r="C802" s="44"/>
      <c r="D802" s="44"/>
      <c r="E802" s="44"/>
      <c r="F802" s="44"/>
      <c r="G802" s="44"/>
      <c r="H802" s="44"/>
      <c r="I802" s="44"/>
      <c r="J802" s="44"/>
      <c r="K802" s="44"/>
      <c r="L802" s="44"/>
      <c r="M802" s="44"/>
      <c r="N802" s="44"/>
      <c r="O802" s="44"/>
    </row>
    <row r="803" spans="1:15" ht="17.25" customHeight="1">
      <c r="A803" s="44"/>
      <c r="B803" s="44"/>
      <c r="C803" s="44"/>
      <c r="D803" s="44"/>
      <c r="E803" s="44"/>
      <c r="F803" s="44"/>
      <c r="G803" s="44"/>
      <c r="H803" s="44"/>
      <c r="I803" s="44"/>
      <c r="J803" s="44"/>
      <c r="K803" s="44"/>
      <c r="L803" s="44"/>
      <c r="M803" s="44"/>
      <c r="N803" s="44"/>
      <c r="O803" s="44"/>
    </row>
    <row r="804" spans="1:15" ht="17.25" customHeight="1">
      <c r="A804" s="44"/>
      <c r="B804" s="44"/>
      <c r="C804" s="44"/>
      <c r="D804" s="44"/>
      <c r="E804" s="44"/>
      <c r="F804" s="44"/>
      <c r="G804" s="44"/>
      <c r="H804" s="44"/>
      <c r="I804" s="44"/>
      <c r="J804" s="44"/>
      <c r="K804" s="44"/>
      <c r="L804" s="44"/>
      <c r="M804" s="44"/>
      <c r="N804" s="44"/>
      <c r="O804" s="44"/>
    </row>
    <row r="805" spans="1:15" ht="17.25" customHeight="1">
      <c r="A805" s="44"/>
      <c r="B805" s="44"/>
      <c r="C805" s="44"/>
      <c r="D805" s="44"/>
      <c r="E805" s="44"/>
      <c r="F805" s="44"/>
      <c r="G805" s="44"/>
      <c r="H805" s="44"/>
      <c r="I805" s="44"/>
      <c r="J805" s="44"/>
      <c r="K805" s="44"/>
      <c r="L805" s="44"/>
      <c r="M805" s="44"/>
      <c r="N805" s="44"/>
      <c r="O805" s="44"/>
    </row>
    <row r="806" spans="1:15" ht="17.25" customHeight="1">
      <c r="A806" s="44"/>
      <c r="B806" s="44"/>
      <c r="C806" s="44"/>
      <c r="D806" s="44"/>
      <c r="E806" s="44"/>
      <c r="F806" s="44"/>
      <c r="G806" s="44"/>
      <c r="H806" s="44"/>
      <c r="I806" s="44"/>
      <c r="J806" s="44"/>
      <c r="K806" s="44"/>
      <c r="L806" s="44"/>
      <c r="M806" s="44"/>
      <c r="N806" s="44"/>
      <c r="O806" s="44"/>
    </row>
    <row r="807" spans="1:15" ht="17.25" customHeight="1">
      <c r="A807" s="44"/>
      <c r="B807" s="44"/>
      <c r="C807" s="44"/>
      <c r="D807" s="44"/>
      <c r="E807" s="44"/>
      <c r="F807" s="44"/>
      <c r="G807" s="44"/>
      <c r="H807" s="44"/>
      <c r="I807" s="44"/>
      <c r="J807" s="44"/>
      <c r="K807" s="44"/>
      <c r="L807" s="44"/>
      <c r="M807" s="44"/>
      <c r="N807" s="44"/>
      <c r="O807" s="44"/>
    </row>
    <row r="808" spans="1:15" ht="17.25" customHeight="1">
      <c r="A808" s="44"/>
      <c r="B808" s="44"/>
      <c r="C808" s="44"/>
      <c r="D808" s="44"/>
      <c r="E808" s="44"/>
      <c r="F808" s="44"/>
      <c r="G808" s="44"/>
      <c r="H808" s="44"/>
      <c r="I808" s="44"/>
      <c r="J808" s="44"/>
      <c r="K808" s="44"/>
      <c r="L808" s="44"/>
      <c r="M808" s="44"/>
      <c r="N808" s="44"/>
      <c r="O808" s="44"/>
    </row>
    <row r="809" spans="1:15" ht="17.25" customHeight="1">
      <c r="A809" s="44"/>
      <c r="B809" s="44"/>
      <c r="C809" s="44"/>
      <c r="D809" s="44"/>
      <c r="E809" s="44"/>
      <c r="F809" s="44"/>
      <c r="G809" s="44"/>
      <c r="H809" s="44"/>
      <c r="I809" s="44"/>
      <c r="J809" s="44"/>
      <c r="K809" s="44"/>
      <c r="L809" s="44"/>
      <c r="M809" s="44"/>
      <c r="N809" s="44"/>
      <c r="O809" s="44"/>
    </row>
    <row r="810" spans="1:15" ht="17.25" customHeight="1">
      <c r="A810" s="44"/>
      <c r="B810" s="44"/>
      <c r="C810" s="44"/>
      <c r="D810" s="44"/>
      <c r="E810" s="44"/>
      <c r="F810" s="44"/>
      <c r="G810" s="44"/>
      <c r="H810" s="44"/>
      <c r="I810" s="44"/>
      <c r="J810" s="44"/>
      <c r="K810" s="44"/>
      <c r="L810" s="44"/>
      <c r="M810" s="44"/>
      <c r="N810" s="44"/>
      <c r="O810" s="44"/>
    </row>
    <row r="811" spans="1:15" ht="17.25" customHeight="1">
      <c r="A811" s="44"/>
      <c r="B811" s="44"/>
      <c r="C811" s="44"/>
      <c r="D811" s="44"/>
      <c r="E811" s="44"/>
      <c r="F811" s="44"/>
      <c r="G811" s="44"/>
      <c r="H811" s="44"/>
      <c r="I811" s="44"/>
      <c r="J811" s="44"/>
      <c r="K811" s="44"/>
      <c r="L811" s="44"/>
      <c r="M811" s="44"/>
      <c r="N811" s="44"/>
      <c r="O811" s="44"/>
    </row>
    <row r="812" spans="1:15" ht="17.25" customHeight="1">
      <c r="A812" s="44"/>
      <c r="B812" s="44"/>
      <c r="C812" s="44"/>
      <c r="D812" s="44"/>
      <c r="E812" s="44"/>
      <c r="F812" s="44"/>
      <c r="G812" s="44"/>
      <c r="H812" s="44"/>
      <c r="I812" s="44"/>
      <c r="J812" s="44"/>
      <c r="K812" s="44"/>
      <c r="L812" s="44"/>
      <c r="M812" s="44"/>
      <c r="N812" s="44"/>
      <c r="O812" s="44"/>
    </row>
    <row r="813" spans="1:15" ht="17.25" customHeight="1">
      <c r="A813" s="44"/>
      <c r="B813" s="44"/>
      <c r="C813" s="44"/>
      <c r="D813" s="44"/>
      <c r="E813" s="44"/>
      <c r="F813" s="44"/>
      <c r="G813" s="44"/>
      <c r="H813" s="44"/>
      <c r="I813" s="44"/>
      <c r="J813" s="44"/>
      <c r="K813" s="44"/>
      <c r="L813" s="44"/>
      <c r="M813" s="44"/>
      <c r="N813" s="44"/>
      <c r="O813" s="44"/>
    </row>
    <row r="814" spans="1:15" ht="17.25" customHeight="1">
      <c r="A814" s="44"/>
      <c r="B814" s="44"/>
      <c r="C814" s="44"/>
      <c r="D814" s="44"/>
      <c r="E814" s="44"/>
      <c r="F814" s="44"/>
      <c r="G814" s="44"/>
      <c r="H814" s="44"/>
      <c r="I814" s="44"/>
      <c r="J814" s="44"/>
      <c r="K814" s="44"/>
      <c r="L814" s="44"/>
      <c r="M814" s="44"/>
      <c r="N814" s="44"/>
      <c r="O814" s="44"/>
    </row>
    <row r="815" spans="1:15" ht="17.25" customHeight="1">
      <c r="A815" s="44"/>
      <c r="B815" s="44"/>
      <c r="C815" s="44"/>
      <c r="D815" s="44"/>
      <c r="E815" s="44"/>
      <c r="F815" s="44"/>
      <c r="G815" s="44"/>
      <c r="H815" s="44"/>
      <c r="I815" s="44"/>
      <c r="J815" s="44"/>
      <c r="K815" s="44"/>
      <c r="L815" s="44"/>
      <c r="M815" s="44"/>
      <c r="N815" s="44"/>
      <c r="O815" s="44"/>
    </row>
    <row r="816" spans="1:15" ht="17.25" customHeight="1">
      <c r="A816" s="44"/>
      <c r="B816" s="44"/>
      <c r="C816" s="44"/>
      <c r="D816" s="44"/>
      <c r="E816" s="44"/>
      <c r="F816" s="44"/>
      <c r="G816" s="44"/>
      <c r="H816" s="44"/>
      <c r="I816" s="44"/>
      <c r="J816" s="44"/>
      <c r="K816" s="44"/>
      <c r="L816" s="44"/>
      <c r="M816" s="44"/>
      <c r="N816" s="44"/>
      <c r="O816" s="44"/>
    </row>
    <row r="817" spans="1:15" ht="17.25" customHeight="1">
      <c r="A817" s="44"/>
      <c r="B817" s="44"/>
      <c r="C817" s="44"/>
      <c r="D817" s="44"/>
      <c r="E817" s="44"/>
      <c r="F817" s="44"/>
      <c r="G817" s="44"/>
      <c r="H817" s="44"/>
      <c r="I817" s="44"/>
      <c r="J817" s="44"/>
      <c r="K817" s="44"/>
      <c r="L817" s="44"/>
      <c r="M817" s="44"/>
      <c r="N817" s="44"/>
      <c r="O817" s="44"/>
    </row>
    <row r="818" spans="1:15" ht="17.25" customHeight="1">
      <c r="A818" s="44"/>
      <c r="B818" s="44"/>
      <c r="C818" s="44"/>
      <c r="D818" s="44"/>
      <c r="E818" s="44"/>
      <c r="F818" s="44"/>
      <c r="G818" s="44"/>
      <c r="H818" s="44"/>
      <c r="I818" s="44"/>
      <c r="J818" s="44"/>
      <c r="K818" s="44"/>
      <c r="L818" s="44"/>
      <c r="M818" s="44"/>
      <c r="N818" s="44"/>
      <c r="O818" s="44"/>
    </row>
    <row r="819" spans="1:15" ht="17.25" customHeight="1">
      <c r="A819" s="44"/>
      <c r="B819" s="44"/>
      <c r="C819" s="44"/>
      <c r="D819" s="44"/>
      <c r="E819" s="44"/>
      <c r="F819" s="44"/>
      <c r="G819" s="44"/>
      <c r="H819" s="44"/>
      <c r="I819" s="44"/>
      <c r="J819" s="44"/>
      <c r="K819" s="44"/>
      <c r="L819" s="44"/>
      <c r="M819" s="44"/>
      <c r="N819" s="44"/>
      <c r="O819" s="44"/>
    </row>
    <row r="820" spans="1:15" ht="17.25" customHeight="1">
      <c r="A820" s="44"/>
      <c r="B820" s="44"/>
      <c r="C820" s="44"/>
      <c r="D820" s="44"/>
      <c r="E820" s="44"/>
      <c r="F820" s="44"/>
      <c r="G820" s="44"/>
      <c r="H820" s="44"/>
      <c r="I820" s="44"/>
      <c r="J820" s="44"/>
      <c r="K820" s="44"/>
      <c r="L820" s="44"/>
      <c r="M820" s="44"/>
      <c r="N820" s="44"/>
      <c r="O820" s="44"/>
    </row>
    <row r="821" spans="1:15" ht="17.25" customHeight="1">
      <c r="A821" s="44"/>
      <c r="B821" s="44"/>
      <c r="C821" s="44"/>
      <c r="D821" s="44"/>
      <c r="E821" s="44"/>
      <c r="F821" s="44"/>
      <c r="G821" s="44"/>
      <c r="H821" s="44"/>
      <c r="I821" s="44"/>
      <c r="J821" s="44"/>
      <c r="K821" s="44"/>
      <c r="L821" s="44"/>
      <c r="M821" s="44"/>
      <c r="N821" s="44"/>
      <c r="O821" s="44"/>
    </row>
    <row r="822" spans="1:15" ht="17.25" customHeight="1">
      <c r="A822" s="44"/>
      <c r="B822" s="44"/>
      <c r="C822" s="44"/>
      <c r="D822" s="44"/>
      <c r="E822" s="44"/>
      <c r="F822" s="44"/>
      <c r="G822" s="44"/>
      <c r="H822" s="44"/>
      <c r="I822" s="44"/>
      <c r="J822" s="44"/>
      <c r="K822" s="44"/>
      <c r="L822" s="44"/>
      <c r="M822" s="44"/>
      <c r="N822" s="44"/>
      <c r="O822" s="44"/>
    </row>
    <row r="823" spans="1:15" ht="17.25" customHeight="1">
      <c r="A823" s="44"/>
      <c r="B823" s="44"/>
      <c r="C823" s="44"/>
      <c r="D823" s="44"/>
      <c r="E823" s="44"/>
      <c r="F823" s="44"/>
      <c r="G823" s="44"/>
      <c r="H823" s="44"/>
      <c r="I823" s="44"/>
      <c r="J823" s="44"/>
      <c r="K823" s="44"/>
      <c r="L823" s="44"/>
      <c r="M823" s="44"/>
      <c r="N823" s="44"/>
      <c r="O823" s="44"/>
    </row>
    <row r="824" spans="1:15" ht="17.25" customHeight="1">
      <c r="A824" s="44"/>
      <c r="B824" s="44"/>
      <c r="C824" s="44"/>
      <c r="D824" s="44"/>
      <c r="E824" s="44"/>
      <c r="F824" s="44"/>
      <c r="G824" s="44"/>
      <c r="H824" s="44"/>
      <c r="I824" s="44"/>
      <c r="J824" s="44"/>
      <c r="K824" s="44"/>
      <c r="L824" s="44"/>
      <c r="M824" s="44"/>
      <c r="N824" s="44"/>
      <c r="O824" s="44"/>
    </row>
    <row r="825" spans="1:15" ht="17.25" customHeight="1">
      <c r="A825" s="44"/>
      <c r="B825" s="44"/>
      <c r="C825" s="44"/>
      <c r="D825" s="44"/>
      <c r="E825" s="44"/>
      <c r="F825" s="44"/>
      <c r="G825" s="44"/>
      <c r="H825" s="44"/>
      <c r="I825" s="44"/>
      <c r="J825" s="44"/>
      <c r="K825" s="44"/>
      <c r="L825" s="44"/>
      <c r="M825" s="44"/>
      <c r="N825" s="44"/>
      <c r="O825" s="44"/>
    </row>
    <row r="826" spans="1:15" ht="17.25" customHeight="1">
      <c r="A826" s="44"/>
      <c r="B826" s="44"/>
      <c r="C826" s="44"/>
      <c r="D826" s="44"/>
      <c r="E826" s="44"/>
      <c r="F826" s="44"/>
      <c r="G826" s="44"/>
      <c r="H826" s="44"/>
      <c r="I826" s="44"/>
      <c r="J826" s="44"/>
      <c r="K826" s="44"/>
      <c r="L826" s="44"/>
      <c r="M826" s="44"/>
      <c r="N826" s="44"/>
      <c r="O826" s="44"/>
    </row>
    <row r="827" spans="1:15" ht="17.25" customHeight="1">
      <c r="A827" s="44"/>
      <c r="B827" s="44"/>
      <c r="C827" s="44"/>
      <c r="D827" s="44"/>
      <c r="E827" s="44"/>
      <c r="F827" s="44"/>
      <c r="G827" s="44"/>
      <c r="H827" s="44"/>
      <c r="I827" s="44"/>
      <c r="J827" s="44"/>
      <c r="K827" s="44"/>
      <c r="L827" s="44"/>
      <c r="M827" s="44"/>
      <c r="N827" s="44"/>
      <c r="O827" s="44"/>
    </row>
    <row r="828" spans="1:15" ht="17.25" customHeight="1">
      <c r="A828" s="44"/>
      <c r="B828" s="44"/>
      <c r="C828" s="44"/>
      <c r="D828" s="44"/>
      <c r="E828" s="44"/>
      <c r="F828" s="44"/>
      <c r="G828" s="44"/>
      <c r="H828" s="44"/>
      <c r="I828" s="44"/>
      <c r="J828" s="44"/>
      <c r="K828" s="44"/>
      <c r="L828" s="44"/>
      <c r="M828" s="44"/>
      <c r="N828" s="44"/>
      <c r="O828" s="44"/>
    </row>
    <row r="829" spans="1:15" ht="17.25" customHeight="1">
      <c r="A829" s="44"/>
      <c r="B829" s="44"/>
      <c r="C829" s="44"/>
      <c r="D829" s="44"/>
      <c r="E829" s="44"/>
      <c r="F829" s="44"/>
      <c r="G829" s="44"/>
      <c r="H829" s="44"/>
      <c r="I829" s="44"/>
      <c r="J829" s="44"/>
      <c r="K829" s="44"/>
      <c r="L829" s="44"/>
      <c r="M829" s="44"/>
      <c r="N829" s="44"/>
      <c r="O829" s="44"/>
    </row>
    <row r="830" spans="1:15" ht="17.25" customHeight="1">
      <c r="A830" s="44"/>
      <c r="B830" s="44"/>
      <c r="C830" s="44"/>
      <c r="D830" s="44"/>
      <c r="E830" s="44"/>
      <c r="F830" s="44"/>
      <c r="G830" s="44"/>
      <c r="H830" s="44"/>
      <c r="I830" s="44"/>
      <c r="J830" s="44"/>
      <c r="K830" s="44"/>
      <c r="L830" s="44"/>
      <c r="M830" s="44"/>
      <c r="N830" s="44"/>
      <c r="O830" s="44"/>
    </row>
    <row r="831" spans="1:15" ht="17.25" customHeight="1">
      <c r="A831" s="44"/>
      <c r="B831" s="44"/>
      <c r="C831" s="44"/>
      <c r="D831" s="44"/>
      <c r="E831" s="44"/>
      <c r="F831" s="44"/>
      <c r="G831" s="44"/>
      <c r="H831" s="44"/>
      <c r="I831" s="44"/>
      <c r="J831" s="44"/>
      <c r="K831" s="44"/>
      <c r="L831" s="44"/>
      <c r="M831" s="44"/>
      <c r="N831" s="44"/>
      <c r="O831" s="44"/>
    </row>
    <row r="832" spans="1:15" ht="17.25" customHeight="1">
      <c r="A832" s="44"/>
      <c r="B832" s="44"/>
      <c r="C832" s="44"/>
      <c r="D832" s="44"/>
      <c r="E832" s="44"/>
      <c r="F832" s="44"/>
      <c r="G832" s="44"/>
      <c r="H832" s="44"/>
      <c r="I832" s="44"/>
      <c r="J832" s="44"/>
      <c r="K832" s="44"/>
      <c r="L832" s="44"/>
      <c r="M832" s="44"/>
      <c r="N832" s="44"/>
      <c r="O832" s="44"/>
    </row>
    <row r="833" spans="1:15" ht="17.25" customHeight="1">
      <c r="A833" s="44"/>
      <c r="B833" s="44"/>
      <c r="C833" s="44"/>
      <c r="D833" s="44"/>
      <c r="E833" s="44"/>
      <c r="F833" s="44"/>
      <c r="G833" s="44"/>
      <c r="H833" s="44"/>
      <c r="I833" s="44"/>
      <c r="J833" s="44"/>
      <c r="K833" s="44"/>
      <c r="L833" s="44"/>
      <c r="M833" s="44"/>
      <c r="N833" s="44"/>
      <c r="O833" s="44"/>
    </row>
    <row r="834" spans="1:15" ht="17.25" customHeight="1">
      <c r="A834" s="44"/>
      <c r="B834" s="44"/>
      <c r="C834" s="44"/>
      <c r="D834" s="44"/>
      <c r="E834" s="44"/>
      <c r="F834" s="44"/>
      <c r="G834" s="44"/>
      <c r="H834" s="44"/>
      <c r="I834" s="44"/>
      <c r="J834" s="44"/>
      <c r="K834" s="44"/>
      <c r="L834" s="44"/>
      <c r="M834" s="44"/>
      <c r="N834" s="44"/>
      <c r="O834" s="44"/>
    </row>
    <row r="835" spans="1:15" ht="17.25" customHeight="1">
      <c r="A835" s="44"/>
      <c r="B835" s="44"/>
      <c r="C835" s="44"/>
      <c r="D835" s="44"/>
      <c r="E835" s="44"/>
      <c r="F835" s="44"/>
      <c r="G835" s="44"/>
      <c r="H835" s="44"/>
      <c r="I835" s="44"/>
      <c r="J835" s="44"/>
      <c r="K835" s="44"/>
      <c r="L835" s="44"/>
      <c r="M835" s="44"/>
      <c r="N835" s="44"/>
      <c r="O835" s="44"/>
    </row>
    <row r="836" spans="1:15" ht="17.25" customHeight="1">
      <c r="A836" s="44"/>
      <c r="B836" s="44"/>
      <c r="C836" s="44"/>
      <c r="D836" s="44"/>
      <c r="E836" s="44"/>
      <c r="F836" s="44"/>
      <c r="G836" s="44"/>
      <c r="H836" s="44"/>
      <c r="I836" s="44"/>
      <c r="J836" s="44"/>
      <c r="K836" s="44"/>
      <c r="L836" s="44"/>
      <c r="M836" s="44"/>
      <c r="N836" s="44"/>
      <c r="O836" s="44"/>
    </row>
    <row r="837" spans="1:15" ht="17.25" customHeight="1">
      <c r="A837" s="44"/>
      <c r="B837" s="44"/>
      <c r="C837" s="44"/>
      <c r="D837" s="44"/>
      <c r="E837" s="44"/>
      <c r="F837" s="44"/>
      <c r="G837" s="44"/>
      <c r="H837" s="44"/>
      <c r="I837" s="44"/>
      <c r="J837" s="44"/>
      <c r="K837" s="44"/>
      <c r="L837" s="44"/>
      <c r="M837" s="44"/>
      <c r="N837" s="44"/>
      <c r="O837" s="44"/>
    </row>
    <row r="838" spans="1:15" ht="17.25" customHeight="1">
      <c r="A838" s="44"/>
      <c r="B838" s="44"/>
      <c r="C838" s="44"/>
      <c r="D838" s="44"/>
      <c r="E838" s="44"/>
      <c r="F838" s="44"/>
      <c r="G838" s="44"/>
      <c r="H838" s="44"/>
      <c r="I838" s="44"/>
      <c r="J838" s="44"/>
      <c r="K838" s="44"/>
      <c r="L838" s="44"/>
      <c r="M838" s="44"/>
      <c r="N838" s="44"/>
      <c r="O838" s="44"/>
    </row>
    <row r="839" spans="1:15" ht="17.25" customHeight="1">
      <c r="A839" s="44"/>
      <c r="B839" s="44"/>
      <c r="C839" s="44"/>
      <c r="D839" s="44"/>
      <c r="E839" s="44"/>
      <c r="F839" s="44"/>
      <c r="G839" s="44"/>
      <c r="H839" s="44"/>
      <c r="I839" s="44"/>
      <c r="J839" s="44"/>
      <c r="K839" s="44"/>
      <c r="L839" s="44"/>
      <c r="M839" s="44"/>
      <c r="N839" s="44"/>
      <c r="O839" s="44"/>
    </row>
    <row r="840" spans="1:15" ht="17.25" customHeight="1">
      <c r="A840" s="44"/>
      <c r="B840" s="44"/>
      <c r="C840" s="44"/>
      <c r="D840" s="44"/>
      <c r="E840" s="44"/>
      <c r="F840" s="44"/>
      <c r="G840" s="44"/>
      <c r="H840" s="44"/>
      <c r="I840" s="44"/>
      <c r="J840" s="44"/>
      <c r="K840" s="44"/>
      <c r="L840" s="44"/>
      <c r="M840" s="44"/>
      <c r="N840" s="44"/>
      <c r="O840" s="44"/>
    </row>
    <row r="841" spans="1:15" ht="17.25" customHeight="1">
      <c r="A841" s="44"/>
      <c r="B841" s="44"/>
      <c r="C841" s="44"/>
      <c r="D841" s="44"/>
      <c r="E841" s="44"/>
      <c r="F841" s="44"/>
      <c r="G841" s="44"/>
      <c r="H841" s="44"/>
      <c r="I841" s="44"/>
      <c r="J841" s="44"/>
      <c r="K841" s="44"/>
      <c r="L841" s="44"/>
      <c r="M841" s="44"/>
      <c r="N841" s="44"/>
      <c r="O841" s="44"/>
    </row>
    <row r="842" spans="1:15" ht="17.25" customHeight="1">
      <c r="A842" s="44"/>
      <c r="B842" s="44"/>
      <c r="C842" s="44"/>
      <c r="D842" s="44"/>
      <c r="E842" s="44"/>
      <c r="F842" s="44"/>
      <c r="G842" s="44"/>
      <c r="H842" s="44"/>
      <c r="I842" s="44"/>
      <c r="J842" s="44"/>
      <c r="K842" s="44"/>
      <c r="L842" s="44"/>
      <c r="M842" s="44"/>
      <c r="N842" s="44"/>
      <c r="O842" s="44"/>
    </row>
    <row r="843" spans="1:15" ht="17.25" customHeight="1">
      <c r="A843" s="44"/>
      <c r="B843" s="44"/>
      <c r="C843" s="44"/>
      <c r="D843" s="44"/>
      <c r="E843" s="44"/>
      <c r="F843" s="44"/>
      <c r="G843" s="44"/>
      <c r="H843" s="44"/>
      <c r="I843" s="44"/>
      <c r="J843" s="44"/>
      <c r="K843" s="44"/>
      <c r="L843" s="44"/>
      <c r="M843" s="44"/>
      <c r="N843" s="44"/>
      <c r="O843" s="44"/>
    </row>
    <row r="844" spans="1:15" ht="17.25" customHeight="1">
      <c r="A844" s="44"/>
      <c r="B844" s="44"/>
      <c r="C844" s="44"/>
      <c r="D844" s="44"/>
      <c r="E844" s="44"/>
      <c r="F844" s="44"/>
      <c r="G844" s="44"/>
      <c r="H844" s="44"/>
      <c r="I844" s="44"/>
      <c r="J844" s="44"/>
      <c r="K844" s="44"/>
      <c r="L844" s="44"/>
      <c r="M844" s="44"/>
      <c r="N844" s="44"/>
      <c r="O844" s="44"/>
    </row>
    <row r="845" spans="1:15" ht="17.25" customHeight="1">
      <c r="A845" s="44"/>
      <c r="B845" s="44"/>
      <c r="C845" s="44"/>
      <c r="D845" s="44"/>
      <c r="E845" s="44"/>
      <c r="F845" s="44"/>
      <c r="G845" s="44"/>
      <c r="H845" s="44"/>
      <c r="I845" s="44"/>
      <c r="J845" s="44"/>
      <c r="K845" s="44"/>
      <c r="L845" s="44"/>
      <c r="M845" s="44"/>
      <c r="N845" s="44"/>
      <c r="O845" s="44"/>
    </row>
    <row r="846" spans="1:15" ht="17.25" customHeight="1">
      <c r="A846" s="44"/>
      <c r="B846" s="44"/>
      <c r="C846" s="44"/>
      <c r="D846" s="44"/>
      <c r="E846" s="44"/>
      <c r="F846" s="44"/>
      <c r="G846" s="44"/>
      <c r="H846" s="44"/>
      <c r="I846" s="44"/>
      <c r="J846" s="44"/>
      <c r="K846" s="44"/>
      <c r="L846" s="44"/>
      <c r="M846" s="44"/>
      <c r="N846" s="44"/>
      <c r="O846" s="44"/>
    </row>
    <row r="847" spans="1:15" ht="17.25" customHeight="1">
      <c r="A847" s="44"/>
      <c r="B847" s="44"/>
      <c r="C847" s="44"/>
      <c r="D847" s="44"/>
      <c r="E847" s="44"/>
      <c r="F847" s="44"/>
      <c r="G847" s="44"/>
      <c r="H847" s="44"/>
      <c r="I847" s="44"/>
      <c r="J847" s="44"/>
      <c r="K847" s="44"/>
      <c r="L847" s="44"/>
      <c r="M847" s="44"/>
      <c r="N847" s="44"/>
      <c r="O847" s="44"/>
    </row>
    <row r="848" spans="1:15" ht="17.25" customHeight="1">
      <c r="A848" s="44"/>
      <c r="B848" s="44"/>
      <c r="C848" s="44"/>
      <c r="D848" s="44"/>
      <c r="E848" s="44"/>
      <c r="F848" s="44"/>
      <c r="G848" s="44"/>
      <c r="H848" s="44"/>
      <c r="I848" s="44"/>
      <c r="J848" s="44"/>
      <c r="K848" s="44"/>
      <c r="L848" s="44"/>
      <c r="M848" s="44"/>
      <c r="N848" s="44"/>
      <c r="O848" s="44"/>
    </row>
    <row r="849" spans="1:15" ht="17.25" customHeight="1">
      <c r="A849" s="44"/>
      <c r="B849" s="44"/>
      <c r="C849" s="44"/>
      <c r="D849" s="44"/>
      <c r="E849" s="44"/>
      <c r="F849" s="44"/>
      <c r="G849" s="44"/>
      <c r="H849" s="44"/>
      <c r="I849" s="44"/>
      <c r="J849" s="44"/>
      <c r="K849" s="44"/>
      <c r="L849" s="44"/>
      <c r="M849" s="44"/>
      <c r="N849" s="44"/>
      <c r="O849" s="44"/>
    </row>
    <row r="850" spans="1:15" ht="17.25" customHeight="1">
      <c r="A850" s="44"/>
      <c r="B850" s="44"/>
      <c r="C850" s="44"/>
      <c r="D850" s="44"/>
      <c r="E850" s="44"/>
      <c r="F850" s="44"/>
      <c r="G850" s="44"/>
      <c r="H850" s="44"/>
      <c r="I850" s="44"/>
      <c r="J850" s="44"/>
      <c r="K850" s="44"/>
      <c r="L850" s="44"/>
      <c r="M850" s="44"/>
      <c r="N850" s="44"/>
      <c r="O850" s="44"/>
    </row>
    <row r="851" spans="1:15" ht="17.25" customHeight="1">
      <c r="A851" s="44"/>
      <c r="B851" s="44"/>
      <c r="C851" s="44"/>
      <c r="D851" s="44"/>
      <c r="E851" s="44"/>
      <c r="F851" s="44"/>
      <c r="G851" s="44"/>
      <c r="H851" s="44"/>
      <c r="I851" s="44"/>
      <c r="J851" s="44"/>
      <c r="K851" s="44"/>
      <c r="L851" s="44"/>
      <c r="M851" s="44"/>
      <c r="N851" s="44"/>
      <c r="O851" s="44"/>
    </row>
    <row r="852" spans="1:15" ht="17.25" customHeight="1">
      <c r="A852" s="44"/>
      <c r="B852" s="44"/>
      <c r="C852" s="44"/>
      <c r="D852" s="44"/>
      <c r="E852" s="44"/>
      <c r="F852" s="44"/>
      <c r="G852" s="44"/>
      <c r="H852" s="44"/>
      <c r="I852" s="44"/>
      <c r="J852" s="44"/>
      <c r="K852" s="44"/>
      <c r="L852" s="44"/>
      <c r="M852" s="44"/>
      <c r="N852" s="44"/>
      <c r="O852" s="44"/>
    </row>
    <row r="853" spans="1:15" ht="17.25" customHeight="1">
      <c r="A853" s="44"/>
      <c r="B853" s="44"/>
      <c r="C853" s="44"/>
      <c r="D853" s="44"/>
      <c r="E853" s="44"/>
      <c r="F853" s="44"/>
      <c r="G853" s="44"/>
      <c r="H853" s="44"/>
      <c r="I853" s="44"/>
      <c r="J853" s="44"/>
      <c r="K853" s="44"/>
      <c r="L853" s="44"/>
      <c r="M853" s="44"/>
      <c r="N853" s="44"/>
      <c r="O853" s="44"/>
    </row>
    <row r="854" spans="1:15" ht="17.25" customHeight="1">
      <c r="A854" s="44"/>
      <c r="B854" s="44"/>
      <c r="C854" s="44"/>
      <c r="D854" s="44"/>
      <c r="E854" s="44"/>
      <c r="F854" s="44"/>
      <c r="G854" s="44"/>
      <c r="H854" s="44"/>
      <c r="I854" s="44"/>
      <c r="J854" s="44"/>
      <c r="K854" s="44"/>
      <c r="L854" s="44"/>
      <c r="M854" s="44"/>
      <c r="N854" s="44"/>
      <c r="O854" s="44"/>
    </row>
    <row r="855" spans="1:15" ht="17.25" customHeight="1">
      <c r="A855" s="44"/>
      <c r="B855" s="44"/>
      <c r="C855" s="44"/>
      <c r="D855" s="44"/>
      <c r="E855" s="44"/>
      <c r="F855" s="44"/>
      <c r="G855" s="44"/>
      <c r="H855" s="44"/>
      <c r="I855" s="44"/>
      <c r="J855" s="44"/>
      <c r="K855" s="44"/>
      <c r="L855" s="44"/>
      <c r="M855" s="44"/>
      <c r="N855" s="44"/>
      <c r="O855" s="44"/>
    </row>
    <row r="856" spans="1:15" ht="17.25" customHeight="1">
      <c r="A856" s="44"/>
      <c r="B856" s="44"/>
      <c r="C856" s="44"/>
      <c r="D856" s="44"/>
      <c r="E856" s="44"/>
      <c r="F856" s="44"/>
      <c r="G856" s="44"/>
      <c r="H856" s="44"/>
      <c r="I856" s="44"/>
      <c r="J856" s="44"/>
      <c r="K856" s="44"/>
      <c r="L856" s="44"/>
      <c r="M856" s="44"/>
      <c r="N856" s="44"/>
      <c r="O856" s="44"/>
    </row>
    <row r="857" spans="1:15" ht="17.25" customHeight="1">
      <c r="A857" s="44"/>
      <c r="B857" s="44"/>
      <c r="C857" s="44"/>
      <c r="D857" s="44"/>
      <c r="E857" s="44"/>
      <c r="F857" s="44"/>
      <c r="G857" s="44"/>
      <c r="H857" s="44"/>
      <c r="I857" s="44"/>
      <c r="J857" s="44"/>
      <c r="K857" s="44"/>
      <c r="L857" s="44"/>
      <c r="M857" s="44"/>
      <c r="N857" s="44"/>
      <c r="O857" s="44"/>
    </row>
    <row r="858" spans="1:15" ht="17.25" customHeight="1">
      <c r="A858" s="44"/>
      <c r="B858" s="44"/>
      <c r="C858" s="44"/>
      <c r="D858" s="44"/>
      <c r="E858" s="44"/>
      <c r="F858" s="44"/>
      <c r="G858" s="44"/>
      <c r="H858" s="44"/>
      <c r="I858" s="44"/>
      <c r="J858" s="44"/>
      <c r="K858" s="44"/>
      <c r="L858" s="44"/>
      <c r="M858" s="44"/>
      <c r="N858" s="44"/>
      <c r="O858" s="44"/>
    </row>
    <row r="859" spans="1:15" ht="17.25" customHeight="1">
      <c r="A859" s="44"/>
      <c r="B859" s="44"/>
      <c r="C859" s="44"/>
      <c r="D859" s="44"/>
      <c r="E859" s="44"/>
      <c r="F859" s="44"/>
      <c r="G859" s="44"/>
      <c r="H859" s="44"/>
      <c r="I859" s="44"/>
      <c r="J859" s="44"/>
      <c r="K859" s="44"/>
      <c r="L859" s="44"/>
      <c r="M859" s="44"/>
      <c r="N859" s="44"/>
      <c r="O859" s="44"/>
    </row>
    <row r="860" spans="1:15" ht="17.25" customHeight="1">
      <c r="A860" s="44"/>
      <c r="B860" s="44"/>
      <c r="C860" s="44"/>
      <c r="D860" s="44"/>
      <c r="E860" s="44"/>
      <c r="F860" s="44"/>
      <c r="G860" s="44"/>
      <c r="H860" s="44"/>
      <c r="I860" s="44"/>
      <c r="J860" s="44"/>
      <c r="K860" s="44"/>
      <c r="L860" s="44"/>
      <c r="M860" s="44"/>
      <c r="N860" s="44"/>
      <c r="O860" s="44"/>
    </row>
    <row r="861" spans="1:15" ht="17.25" customHeight="1">
      <c r="A861" s="44"/>
      <c r="B861" s="44"/>
      <c r="C861" s="44"/>
      <c r="D861" s="44"/>
      <c r="E861" s="44"/>
      <c r="F861" s="44"/>
      <c r="G861" s="44"/>
      <c r="H861" s="44"/>
      <c r="I861" s="44"/>
      <c r="J861" s="44"/>
      <c r="K861" s="44"/>
      <c r="L861" s="44"/>
      <c r="M861" s="44"/>
      <c r="N861" s="44"/>
      <c r="O861" s="44"/>
    </row>
    <row r="862" spans="1:15" ht="17.25" customHeight="1">
      <c r="A862" s="44"/>
      <c r="B862" s="44"/>
      <c r="C862" s="44"/>
      <c r="D862" s="44"/>
      <c r="E862" s="44"/>
      <c r="F862" s="44"/>
      <c r="G862" s="44"/>
      <c r="H862" s="44"/>
      <c r="I862" s="44"/>
      <c r="J862" s="44"/>
      <c r="K862" s="44"/>
      <c r="L862" s="44"/>
      <c r="M862" s="44"/>
      <c r="N862" s="44"/>
      <c r="O862" s="44"/>
    </row>
    <row r="863" spans="1:15" ht="17.25" customHeight="1">
      <c r="A863" s="44"/>
      <c r="B863" s="44"/>
      <c r="C863" s="44"/>
      <c r="D863" s="44"/>
      <c r="E863" s="44"/>
      <c r="F863" s="44"/>
      <c r="G863" s="44"/>
      <c r="H863" s="44"/>
      <c r="I863" s="44"/>
      <c r="J863" s="44"/>
      <c r="K863" s="44"/>
      <c r="L863" s="44"/>
      <c r="M863" s="44"/>
      <c r="N863" s="44"/>
      <c r="O863" s="44"/>
    </row>
    <row r="864" spans="1:15" ht="17.25" customHeight="1">
      <c r="A864" s="44"/>
      <c r="B864" s="44"/>
      <c r="C864" s="44"/>
      <c r="D864" s="44"/>
      <c r="E864" s="44"/>
      <c r="F864" s="44"/>
      <c r="G864" s="44"/>
      <c r="H864" s="44"/>
      <c r="I864" s="44"/>
      <c r="J864" s="44"/>
      <c r="K864" s="44"/>
      <c r="L864" s="44"/>
      <c r="M864" s="44"/>
      <c r="N864" s="44"/>
      <c r="O864" s="44"/>
    </row>
    <row r="865" spans="1:15" ht="17.25" customHeight="1">
      <c r="A865" s="44"/>
      <c r="B865" s="44"/>
      <c r="C865" s="44"/>
      <c r="D865" s="44"/>
      <c r="E865" s="44"/>
      <c r="F865" s="44"/>
      <c r="G865" s="44"/>
      <c r="H865" s="44"/>
      <c r="I865" s="44"/>
      <c r="J865" s="44"/>
      <c r="K865" s="44"/>
      <c r="L865" s="44"/>
      <c r="M865" s="44"/>
      <c r="N865" s="44"/>
      <c r="O865" s="44"/>
    </row>
    <row r="866" spans="1:15" ht="17.25" customHeight="1">
      <c r="A866" s="44"/>
      <c r="B866" s="44"/>
      <c r="C866" s="44"/>
      <c r="D866" s="44"/>
      <c r="E866" s="44"/>
      <c r="F866" s="44"/>
      <c r="G866" s="44"/>
      <c r="H866" s="44"/>
      <c r="I866" s="44"/>
      <c r="J866" s="44"/>
      <c r="K866" s="44"/>
      <c r="L866" s="44"/>
      <c r="M866" s="44"/>
      <c r="N866" s="44"/>
      <c r="O866" s="44"/>
    </row>
    <row r="867" spans="1:15" ht="17.25" customHeight="1">
      <c r="A867" s="44"/>
      <c r="B867" s="44"/>
      <c r="C867" s="44"/>
      <c r="D867" s="44"/>
      <c r="E867" s="44"/>
      <c r="F867" s="44"/>
      <c r="G867" s="44"/>
      <c r="H867" s="44"/>
      <c r="I867" s="44"/>
      <c r="J867" s="44"/>
      <c r="K867" s="44"/>
      <c r="L867" s="44"/>
      <c r="M867" s="44"/>
      <c r="N867" s="44"/>
      <c r="O867" s="44"/>
    </row>
    <row r="868" spans="1:15" ht="17.25" customHeight="1">
      <c r="A868" s="44"/>
      <c r="B868" s="44"/>
      <c r="C868" s="44"/>
      <c r="D868" s="44"/>
      <c r="E868" s="44"/>
      <c r="F868" s="44"/>
      <c r="G868" s="44"/>
      <c r="H868" s="44"/>
      <c r="I868" s="44"/>
      <c r="J868" s="44"/>
      <c r="K868" s="44"/>
      <c r="L868" s="44"/>
      <c r="M868" s="44"/>
      <c r="N868" s="44"/>
      <c r="O868" s="44"/>
    </row>
    <row r="869" spans="1:15" ht="17.25" customHeight="1">
      <c r="A869" s="44"/>
      <c r="B869" s="44"/>
      <c r="C869" s="44"/>
      <c r="D869" s="44"/>
      <c r="E869" s="44"/>
      <c r="F869" s="44"/>
      <c r="G869" s="44"/>
      <c r="H869" s="44"/>
      <c r="I869" s="44"/>
      <c r="J869" s="44"/>
      <c r="K869" s="44"/>
      <c r="L869" s="44"/>
      <c r="M869" s="44"/>
      <c r="N869" s="44"/>
      <c r="O869" s="44"/>
    </row>
    <row r="870" spans="1:15" ht="17.25" customHeight="1">
      <c r="A870" s="44"/>
      <c r="B870" s="44"/>
      <c r="C870" s="44"/>
      <c r="D870" s="44"/>
      <c r="E870" s="44"/>
      <c r="F870" s="44"/>
      <c r="G870" s="44"/>
      <c r="H870" s="44"/>
      <c r="I870" s="44"/>
      <c r="J870" s="44"/>
      <c r="K870" s="44"/>
      <c r="L870" s="44"/>
      <c r="M870" s="44"/>
      <c r="N870" s="44"/>
      <c r="O870" s="44"/>
    </row>
    <row r="871" spans="1:15" ht="17.25" customHeight="1">
      <c r="A871" s="44"/>
      <c r="B871" s="44"/>
      <c r="C871" s="44"/>
      <c r="D871" s="44"/>
      <c r="E871" s="44"/>
      <c r="F871" s="44"/>
      <c r="G871" s="44"/>
      <c r="H871" s="44"/>
      <c r="I871" s="44"/>
      <c r="J871" s="44"/>
      <c r="K871" s="44"/>
      <c r="L871" s="44"/>
      <c r="M871" s="44"/>
      <c r="N871" s="44"/>
      <c r="O871" s="44"/>
    </row>
    <row r="872" spans="1:15" ht="17.25" customHeight="1">
      <c r="A872" s="44"/>
      <c r="B872" s="44"/>
      <c r="C872" s="44"/>
      <c r="D872" s="44"/>
      <c r="E872" s="44"/>
      <c r="F872" s="44"/>
      <c r="G872" s="44"/>
      <c r="H872" s="44"/>
      <c r="I872" s="44"/>
      <c r="J872" s="44"/>
      <c r="K872" s="44"/>
      <c r="L872" s="44"/>
      <c r="M872" s="44"/>
      <c r="N872" s="44"/>
      <c r="O872" s="44"/>
    </row>
    <row r="873" spans="1:15" ht="17.25" customHeight="1">
      <c r="A873" s="44"/>
      <c r="B873" s="44"/>
      <c r="C873" s="44"/>
      <c r="D873" s="44"/>
      <c r="E873" s="44"/>
      <c r="F873" s="44"/>
      <c r="G873" s="44"/>
      <c r="H873" s="44"/>
      <c r="I873" s="44"/>
      <c r="J873" s="44"/>
      <c r="K873" s="44"/>
      <c r="L873" s="44"/>
      <c r="M873" s="44"/>
      <c r="N873" s="44"/>
      <c r="O873" s="44"/>
    </row>
    <row r="874" spans="1:15" ht="17.25" customHeight="1">
      <c r="A874" s="44"/>
      <c r="B874" s="44"/>
      <c r="C874" s="44"/>
      <c r="D874" s="44"/>
      <c r="E874" s="44"/>
      <c r="F874" s="44"/>
      <c r="G874" s="44"/>
      <c r="H874" s="44"/>
      <c r="I874" s="44"/>
      <c r="J874" s="44"/>
      <c r="K874" s="44"/>
      <c r="L874" s="44"/>
      <c r="M874" s="44"/>
      <c r="N874" s="44"/>
      <c r="O874" s="44"/>
    </row>
    <row r="875" spans="1:15" ht="17.25" customHeight="1">
      <c r="A875" s="44"/>
      <c r="B875" s="44"/>
      <c r="C875" s="44"/>
      <c r="D875" s="44"/>
      <c r="E875" s="44"/>
      <c r="F875" s="44"/>
      <c r="G875" s="44"/>
      <c r="H875" s="44"/>
      <c r="I875" s="44"/>
      <c r="J875" s="44"/>
      <c r="K875" s="44"/>
      <c r="L875" s="44"/>
      <c r="M875" s="44"/>
      <c r="N875" s="44"/>
      <c r="O875" s="44"/>
    </row>
    <row r="876" spans="1:15" ht="17.25" customHeight="1">
      <c r="A876" s="44"/>
      <c r="B876" s="44"/>
      <c r="C876" s="44"/>
      <c r="D876" s="44"/>
      <c r="E876" s="44"/>
      <c r="F876" s="44"/>
      <c r="G876" s="44"/>
      <c r="H876" s="44"/>
      <c r="I876" s="44"/>
      <c r="J876" s="44"/>
      <c r="K876" s="44"/>
      <c r="L876" s="44"/>
      <c r="M876" s="44"/>
      <c r="N876" s="44"/>
      <c r="O876" s="44"/>
    </row>
    <row r="877" spans="1:15" ht="17.25" customHeight="1">
      <c r="A877" s="44"/>
      <c r="B877" s="44"/>
      <c r="C877" s="44"/>
      <c r="D877" s="44"/>
      <c r="E877" s="44"/>
      <c r="F877" s="44"/>
      <c r="G877" s="44"/>
      <c r="H877" s="44"/>
      <c r="I877" s="44"/>
      <c r="J877" s="44"/>
      <c r="K877" s="44"/>
      <c r="L877" s="44"/>
      <c r="M877" s="44"/>
      <c r="N877" s="44"/>
      <c r="O877" s="44"/>
    </row>
    <row r="878" spans="1:15" ht="17.25" customHeight="1">
      <c r="A878" s="44"/>
      <c r="B878" s="44"/>
      <c r="C878" s="44"/>
      <c r="D878" s="44"/>
      <c r="E878" s="44"/>
      <c r="F878" s="44"/>
      <c r="G878" s="44"/>
      <c r="H878" s="44"/>
      <c r="I878" s="44"/>
      <c r="J878" s="44"/>
      <c r="K878" s="44"/>
      <c r="L878" s="44"/>
      <c r="M878" s="44"/>
      <c r="N878" s="44"/>
      <c r="O878" s="44"/>
    </row>
    <row r="879" spans="1:15" ht="17.25" customHeight="1">
      <c r="A879" s="44"/>
      <c r="B879" s="44"/>
      <c r="C879" s="44"/>
      <c r="D879" s="44"/>
      <c r="E879" s="44"/>
      <c r="F879" s="44"/>
      <c r="G879" s="44"/>
      <c r="H879" s="44"/>
      <c r="I879" s="44"/>
      <c r="J879" s="44"/>
      <c r="K879" s="44"/>
      <c r="L879" s="44"/>
      <c r="M879" s="44"/>
      <c r="N879" s="44"/>
      <c r="O879" s="44"/>
    </row>
    <row r="880" spans="1:15" ht="17.25" customHeight="1">
      <c r="A880" s="44"/>
      <c r="B880" s="44"/>
      <c r="C880" s="44"/>
      <c r="D880" s="44"/>
      <c r="E880" s="44"/>
      <c r="F880" s="44"/>
      <c r="G880" s="44"/>
      <c r="H880" s="44"/>
      <c r="I880" s="44"/>
      <c r="J880" s="44"/>
      <c r="K880" s="44"/>
      <c r="L880" s="44"/>
      <c r="M880" s="44"/>
      <c r="N880" s="44"/>
      <c r="O880" s="44"/>
    </row>
    <row r="881" spans="1:15" ht="17.25" customHeight="1">
      <c r="A881" s="44"/>
      <c r="B881" s="44"/>
      <c r="C881" s="44"/>
      <c r="D881" s="44"/>
      <c r="E881" s="44"/>
      <c r="F881" s="44"/>
      <c r="G881" s="44"/>
      <c r="H881" s="44"/>
      <c r="I881" s="44"/>
      <c r="J881" s="44"/>
      <c r="K881" s="44"/>
      <c r="L881" s="44"/>
      <c r="M881" s="44"/>
      <c r="N881" s="44"/>
      <c r="O881" s="44"/>
    </row>
    <row r="882" spans="1:15" ht="17.25" customHeight="1">
      <c r="A882" s="44"/>
      <c r="B882" s="44"/>
      <c r="C882" s="44"/>
      <c r="D882" s="44"/>
      <c r="E882" s="44"/>
      <c r="F882" s="44"/>
      <c r="G882" s="44"/>
      <c r="H882" s="44"/>
      <c r="I882" s="44"/>
      <c r="J882" s="44"/>
      <c r="K882" s="44"/>
      <c r="L882" s="44"/>
      <c r="M882" s="44"/>
      <c r="N882" s="44"/>
      <c r="O882" s="44"/>
    </row>
    <row r="883" spans="1:15" ht="17.25" customHeight="1">
      <c r="A883" s="44"/>
      <c r="B883" s="44"/>
      <c r="C883" s="44"/>
      <c r="D883" s="44"/>
      <c r="E883" s="44"/>
      <c r="F883" s="44"/>
      <c r="G883" s="44"/>
      <c r="H883" s="44"/>
      <c r="I883" s="44"/>
      <c r="J883" s="44"/>
      <c r="K883" s="44"/>
      <c r="L883" s="44"/>
      <c r="M883" s="44"/>
      <c r="N883" s="44"/>
      <c r="O883" s="44"/>
    </row>
    <row r="884" spans="1:15" ht="17.25" customHeight="1">
      <c r="A884" s="44"/>
      <c r="B884" s="44"/>
      <c r="C884" s="44"/>
      <c r="D884" s="44"/>
      <c r="E884" s="44"/>
      <c r="F884" s="44"/>
      <c r="G884" s="44"/>
      <c r="H884" s="44"/>
      <c r="I884" s="44"/>
      <c r="J884" s="44"/>
      <c r="K884" s="44"/>
      <c r="L884" s="44"/>
      <c r="M884" s="44"/>
      <c r="N884" s="44"/>
      <c r="O884" s="44"/>
    </row>
    <row r="885" spans="1:15" ht="17.25" customHeight="1">
      <c r="A885" s="44"/>
      <c r="B885" s="44"/>
      <c r="C885" s="44"/>
      <c r="D885" s="44"/>
      <c r="E885" s="44"/>
      <c r="F885" s="44"/>
      <c r="G885" s="44"/>
      <c r="H885" s="44"/>
      <c r="I885" s="44"/>
      <c r="J885" s="44"/>
      <c r="K885" s="44"/>
      <c r="L885" s="44"/>
      <c r="M885" s="44"/>
      <c r="N885" s="44"/>
      <c r="O885" s="44"/>
    </row>
    <row r="886" spans="1:15" ht="17.25" customHeight="1">
      <c r="A886" s="44"/>
      <c r="B886" s="44"/>
      <c r="C886" s="44"/>
      <c r="D886" s="44"/>
      <c r="E886" s="44"/>
      <c r="F886" s="44"/>
      <c r="G886" s="44"/>
      <c r="H886" s="44"/>
      <c r="I886" s="44"/>
      <c r="J886" s="44"/>
      <c r="K886" s="44"/>
      <c r="L886" s="44"/>
      <c r="M886" s="44"/>
      <c r="N886" s="44"/>
      <c r="O886" s="44"/>
    </row>
    <row r="887" spans="1:15" ht="17.25" customHeight="1">
      <c r="A887" s="44"/>
      <c r="B887" s="44"/>
      <c r="C887" s="44"/>
      <c r="D887" s="44"/>
      <c r="E887" s="44"/>
      <c r="F887" s="44"/>
      <c r="G887" s="44"/>
      <c r="H887" s="44"/>
      <c r="I887" s="44"/>
      <c r="J887" s="44"/>
      <c r="K887" s="44"/>
      <c r="L887" s="44"/>
      <c r="M887" s="44"/>
      <c r="N887" s="44"/>
      <c r="O887" s="44"/>
    </row>
    <row r="888" spans="1:15" ht="17.25" customHeight="1">
      <c r="A888" s="44"/>
      <c r="B888" s="44"/>
      <c r="C888" s="44"/>
      <c r="D888" s="44"/>
      <c r="E888" s="44"/>
      <c r="F888" s="44"/>
      <c r="G888" s="44"/>
      <c r="H888" s="44"/>
      <c r="I888" s="44"/>
      <c r="J888" s="44"/>
      <c r="K888" s="44"/>
      <c r="L888" s="44"/>
      <c r="M888" s="44"/>
      <c r="N888" s="44"/>
      <c r="O888" s="44"/>
    </row>
    <row r="889" spans="1:15" ht="17.25" customHeight="1">
      <c r="A889" s="44"/>
      <c r="B889" s="44"/>
      <c r="C889" s="44"/>
      <c r="D889" s="44"/>
      <c r="E889" s="44"/>
      <c r="F889" s="44"/>
      <c r="G889" s="44"/>
      <c r="H889" s="44"/>
      <c r="I889" s="44"/>
      <c r="J889" s="44"/>
      <c r="K889" s="44"/>
      <c r="L889" s="44"/>
      <c r="M889" s="44"/>
      <c r="N889" s="44"/>
      <c r="O889" s="44"/>
    </row>
    <row r="890" spans="1:15" ht="17.25" customHeight="1">
      <c r="A890" s="44"/>
      <c r="B890" s="44"/>
      <c r="C890" s="44"/>
      <c r="D890" s="44"/>
      <c r="E890" s="44"/>
      <c r="F890" s="44"/>
      <c r="G890" s="44"/>
      <c r="H890" s="44"/>
      <c r="I890" s="44"/>
      <c r="J890" s="44"/>
      <c r="K890" s="44"/>
      <c r="L890" s="44"/>
      <c r="M890" s="44"/>
      <c r="N890" s="44"/>
      <c r="O890" s="44"/>
    </row>
    <row r="891" spans="1:15" ht="17.25" customHeight="1">
      <c r="A891" s="44"/>
      <c r="B891" s="44"/>
      <c r="C891" s="44"/>
      <c r="D891" s="44"/>
      <c r="E891" s="44"/>
      <c r="F891" s="44"/>
      <c r="G891" s="44"/>
      <c r="H891" s="44"/>
      <c r="I891" s="44"/>
      <c r="J891" s="44"/>
      <c r="K891" s="44"/>
      <c r="L891" s="44"/>
      <c r="M891" s="44"/>
      <c r="N891" s="44"/>
      <c r="O891" s="44"/>
    </row>
    <row r="892" spans="1:15" ht="17.25" customHeight="1">
      <c r="A892" s="44"/>
      <c r="B892" s="44"/>
      <c r="C892" s="44"/>
      <c r="D892" s="44"/>
      <c r="E892" s="44"/>
      <c r="F892" s="44"/>
      <c r="G892" s="44"/>
      <c r="H892" s="44"/>
      <c r="I892" s="44"/>
      <c r="J892" s="44"/>
      <c r="K892" s="44"/>
      <c r="L892" s="44"/>
      <c r="M892" s="44"/>
      <c r="N892" s="44"/>
      <c r="O892" s="44"/>
    </row>
    <row r="893" spans="1:15" ht="17.25" customHeight="1">
      <c r="A893" s="44"/>
      <c r="B893" s="44"/>
      <c r="C893" s="44"/>
      <c r="D893" s="44"/>
      <c r="E893" s="44"/>
      <c r="F893" s="44"/>
      <c r="G893" s="44"/>
      <c r="H893" s="44"/>
      <c r="I893" s="44"/>
      <c r="J893" s="44"/>
      <c r="K893" s="44"/>
      <c r="L893" s="44"/>
      <c r="M893" s="44"/>
      <c r="N893" s="44"/>
      <c r="O893" s="44"/>
    </row>
    <row r="894" spans="1:15" ht="17.25" customHeight="1">
      <c r="A894" s="44"/>
      <c r="B894" s="44"/>
      <c r="C894" s="44"/>
      <c r="D894" s="44"/>
      <c r="E894" s="44"/>
      <c r="F894" s="44"/>
      <c r="G894" s="44"/>
      <c r="H894" s="44"/>
      <c r="I894" s="44"/>
      <c r="J894" s="44"/>
      <c r="K894" s="44"/>
      <c r="L894" s="44"/>
      <c r="M894" s="44"/>
      <c r="N894" s="44"/>
      <c r="O894" s="44"/>
    </row>
    <row r="895" spans="1:15" ht="17.25" customHeight="1">
      <c r="A895" s="44"/>
      <c r="B895" s="44"/>
      <c r="C895" s="44"/>
      <c r="D895" s="44"/>
      <c r="E895" s="44"/>
      <c r="F895" s="44"/>
      <c r="G895" s="44"/>
      <c r="H895" s="44"/>
      <c r="I895" s="44"/>
      <c r="J895" s="44"/>
      <c r="K895" s="44"/>
      <c r="L895" s="44"/>
      <c r="M895" s="44"/>
      <c r="N895" s="44"/>
      <c r="O895" s="44"/>
    </row>
    <row r="896" spans="1:15" ht="17.25" customHeight="1">
      <c r="A896" s="44"/>
      <c r="B896" s="44"/>
      <c r="C896" s="44"/>
      <c r="D896" s="44"/>
      <c r="E896" s="44"/>
      <c r="F896" s="44"/>
      <c r="G896" s="44"/>
      <c r="H896" s="44"/>
      <c r="I896" s="44"/>
      <c r="J896" s="44"/>
      <c r="K896" s="44"/>
      <c r="L896" s="44"/>
      <c r="M896" s="44"/>
      <c r="N896" s="44"/>
      <c r="O896" s="44"/>
    </row>
    <row r="897" spans="1:15" ht="17.25" customHeight="1">
      <c r="A897" s="44"/>
      <c r="B897" s="44"/>
      <c r="C897" s="44"/>
      <c r="D897" s="44"/>
      <c r="E897" s="44"/>
      <c r="F897" s="44"/>
      <c r="G897" s="44"/>
      <c r="H897" s="44"/>
      <c r="I897" s="44"/>
      <c r="J897" s="44"/>
      <c r="K897" s="44"/>
      <c r="L897" s="44"/>
      <c r="M897" s="44"/>
      <c r="N897" s="44"/>
      <c r="O897" s="44"/>
    </row>
    <row r="898" spans="1:15" ht="17.25" customHeight="1">
      <c r="A898" s="44"/>
      <c r="B898" s="44"/>
      <c r="C898" s="44"/>
      <c r="D898" s="44"/>
      <c r="E898" s="44"/>
      <c r="F898" s="44"/>
      <c r="G898" s="44"/>
      <c r="H898" s="44"/>
      <c r="I898" s="44"/>
      <c r="J898" s="44"/>
      <c r="K898" s="44"/>
      <c r="L898" s="44"/>
      <c r="M898" s="44"/>
      <c r="N898" s="44"/>
      <c r="O898" s="44"/>
    </row>
    <row r="899" spans="1:15" ht="17.25" customHeight="1">
      <c r="A899" s="44"/>
      <c r="B899" s="44"/>
      <c r="C899" s="44"/>
      <c r="D899" s="44"/>
      <c r="E899" s="44"/>
      <c r="F899" s="44"/>
      <c r="G899" s="44"/>
      <c r="H899" s="44"/>
      <c r="I899" s="44"/>
      <c r="J899" s="44"/>
      <c r="K899" s="44"/>
      <c r="L899" s="44"/>
      <c r="M899" s="44"/>
      <c r="N899" s="44"/>
      <c r="O899" s="44"/>
    </row>
    <row r="900" spans="1:15" ht="17.25" customHeight="1">
      <c r="A900" s="44"/>
      <c r="B900" s="44"/>
      <c r="C900" s="44"/>
      <c r="D900" s="44"/>
      <c r="E900" s="44"/>
      <c r="F900" s="44"/>
      <c r="G900" s="44"/>
      <c r="H900" s="44"/>
      <c r="I900" s="44"/>
      <c r="J900" s="44"/>
      <c r="K900" s="44"/>
      <c r="L900" s="44"/>
      <c r="M900" s="44"/>
      <c r="N900" s="44"/>
      <c r="O900" s="44"/>
    </row>
    <row r="901" spans="1:15" ht="17.25" customHeight="1">
      <c r="A901" s="44"/>
      <c r="B901" s="44"/>
      <c r="C901" s="44"/>
      <c r="D901" s="44"/>
      <c r="E901" s="44"/>
      <c r="F901" s="44"/>
      <c r="G901" s="44"/>
      <c r="H901" s="44"/>
      <c r="I901" s="44"/>
      <c r="J901" s="44"/>
      <c r="K901" s="44"/>
      <c r="L901" s="44"/>
      <c r="M901" s="44"/>
      <c r="N901" s="44"/>
      <c r="O901" s="44"/>
    </row>
    <row r="902" spans="1:15" ht="17.25" customHeight="1">
      <c r="A902" s="44"/>
      <c r="B902" s="44"/>
      <c r="C902" s="44"/>
      <c r="D902" s="44"/>
      <c r="E902" s="44"/>
      <c r="F902" s="44"/>
      <c r="G902" s="44"/>
      <c r="H902" s="44"/>
      <c r="I902" s="44"/>
      <c r="J902" s="44"/>
      <c r="K902" s="44"/>
      <c r="L902" s="44"/>
      <c r="M902" s="44"/>
      <c r="N902" s="44"/>
      <c r="O902" s="44"/>
    </row>
    <row r="903" spans="1:15" ht="17.25" customHeight="1">
      <c r="A903" s="44"/>
      <c r="B903" s="44"/>
      <c r="C903" s="44"/>
      <c r="D903" s="44"/>
      <c r="E903" s="44"/>
      <c r="F903" s="44"/>
      <c r="G903" s="44"/>
      <c r="H903" s="44"/>
      <c r="I903" s="44"/>
      <c r="J903" s="44"/>
      <c r="K903" s="44"/>
      <c r="L903" s="44"/>
      <c r="M903" s="44"/>
      <c r="N903" s="44"/>
      <c r="O903" s="44"/>
    </row>
    <row r="904" spans="1:15" ht="17.25" customHeight="1">
      <c r="A904" s="44"/>
      <c r="B904" s="44"/>
      <c r="C904" s="44"/>
      <c r="D904" s="44"/>
      <c r="E904" s="44"/>
      <c r="F904" s="44"/>
      <c r="G904" s="44"/>
      <c r="H904" s="44"/>
      <c r="I904" s="44"/>
      <c r="J904" s="44"/>
      <c r="K904" s="44"/>
      <c r="L904" s="44"/>
      <c r="M904" s="44"/>
      <c r="N904" s="44"/>
      <c r="O904" s="44"/>
    </row>
    <row r="905" spans="1:15" ht="17.25" customHeight="1">
      <c r="A905" s="44"/>
      <c r="B905" s="44"/>
      <c r="C905" s="44"/>
      <c r="D905" s="44"/>
      <c r="E905" s="44"/>
      <c r="F905" s="44"/>
      <c r="G905" s="44"/>
      <c r="H905" s="44"/>
      <c r="I905" s="44"/>
      <c r="J905" s="44"/>
      <c r="K905" s="44"/>
      <c r="L905" s="44"/>
      <c r="M905" s="44"/>
      <c r="N905" s="44"/>
      <c r="O905" s="44"/>
    </row>
    <row r="906" spans="1:15" ht="17.25" customHeight="1">
      <c r="A906" s="44"/>
      <c r="B906" s="44"/>
      <c r="C906" s="44"/>
      <c r="D906" s="44"/>
      <c r="E906" s="44"/>
      <c r="F906" s="44"/>
      <c r="G906" s="44"/>
      <c r="H906" s="44"/>
      <c r="I906" s="44"/>
      <c r="J906" s="44"/>
      <c r="K906" s="44"/>
      <c r="L906" s="44"/>
      <c r="M906" s="44"/>
      <c r="N906" s="44"/>
      <c r="O906" s="44"/>
    </row>
    <row r="907" spans="1:15" ht="17.25" customHeight="1">
      <c r="A907" s="44"/>
      <c r="B907" s="44"/>
      <c r="C907" s="44"/>
      <c r="D907" s="44"/>
      <c r="E907" s="44"/>
      <c r="F907" s="44"/>
      <c r="G907" s="44"/>
      <c r="H907" s="44"/>
      <c r="I907" s="44"/>
      <c r="J907" s="44"/>
      <c r="K907" s="44"/>
      <c r="L907" s="44"/>
      <c r="M907" s="44"/>
      <c r="N907" s="44"/>
      <c r="O907" s="44"/>
    </row>
    <row r="908" spans="1:15" ht="17.25" customHeight="1">
      <c r="A908" s="44"/>
      <c r="B908" s="44"/>
      <c r="C908" s="44"/>
      <c r="D908" s="44"/>
      <c r="E908" s="44"/>
      <c r="F908" s="44"/>
      <c r="G908" s="44"/>
      <c r="H908" s="44"/>
      <c r="I908" s="44"/>
      <c r="J908" s="44"/>
      <c r="K908" s="44"/>
      <c r="L908" s="44"/>
      <c r="M908" s="44"/>
      <c r="N908" s="44"/>
      <c r="O908" s="44"/>
    </row>
    <row r="909" spans="1:15" ht="17.25" customHeight="1">
      <c r="A909" s="44"/>
      <c r="B909" s="44"/>
      <c r="C909" s="44"/>
      <c r="D909" s="44"/>
      <c r="E909" s="44"/>
      <c r="F909" s="44"/>
      <c r="G909" s="44"/>
      <c r="H909" s="44"/>
      <c r="I909" s="44"/>
      <c r="J909" s="44"/>
      <c r="K909" s="44"/>
      <c r="L909" s="44"/>
      <c r="M909" s="44"/>
      <c r="N909" s="44"/>
      <c r="O909" s="44"/>
    </row>
    <row r="910" spans="1:15" ht="17.25" customHeight="1">
      <c r="A910" s="44"/>
      <c r="B910" s="44"/>
      <c r="C910" s="44"/>
      <c r="D910" s="44"/>
      <c r="E910" s="44"/>
      <c r="F910" s="44"/>
      <c r="G910" s="44"/>
      <c r="H910" s="44"/>
      <c r="I910" s="44"/>
      <c r="J910" s="44"/>
      <c r="K910" s="44"/>
      <c r="L910" s="44"/>
      <c r="M910" s="44"/>
      <c r="N910" s="44"/>
      <c r="O910" s="44"/>
    </row>
    <row r="911" spans="1:15" ht="17.25" customHeight="1">
      <c r="A911" s="44"/>
      <c r="B911" s="44"/>
      <c r="C911" s="44"/>
      <c r="D911" s="44"/>
      <c r="E911" s="44"/>
      <c r="F911" s="44"/>
      <c r="G911" s="44"/>
      <c r="H911" s="44"/>
      <c r="I911" s="44"/>
      <c r="J911" s="44"/>
      <c r="K911" s="44"/>
      <c r="L911" s="44"/>
      <c r="M911" s="44"/>
      <c r="N911" s="44"/>
      <c r="O911" s="44"/>
    </row>
    <row r="912" spans="1:15" ht="17.25" customHeight="1">
      <c r="A912" s="44"/>
      <c r="B912" s="44"/>
      <c r="C912" s="44"/>
      <c r="D912" s="44"/>
      <c r="E912" s="44"/>
      <c r="F912" s="44"/>
      <c r="G912" s="44"/>
      <c r="H912" s="44"/>
      <c r="I912" s="44"/>
      <c r="J912" s="44"/>
      <c r="K912" s="44"/>
      <c r="L912" s="44"/>
      <c r="M912" s="44"/>
      <c r="N912" s="44"/>
      <c r="O912" s="44"/>
    </row>
    <row r="913" spans="1:15" ht="17.25" customHeight="1">
      <c r="A913" s="44"/>
      <c r="B913" s="44"/>
      <c r="C913" s="44"/>
      <c r="D913" s="44"/>
      <c r="E913" s="44"/>
      <c r="F913" s="44"/>
      <c r="G913" s="44"/>
      <c r="H913" s="44"/>
      <c r="I913" s="44"/>
      <c r="J913" s="44"/>
      <c r="K913" s="44"/>
      <c r="L913" s="44"/>
      <c r="M913" s="44"/>
      <c r="N913" s="44"/>
      <c r="O913" s="44"/>
    </row>
    <row r="914" spans="1:15" ht="17.25" customHeight="1">
      <c r="A914" s="44"/>
      <c r="B914" s="44"/>
      <c r="C914" s="44"/>
      <c r="D914" s="44"/>
      <c r="E914" s="44"/>
      <c r="F914" s="44"/>
      <c r="G914" s="44"/>
      <c r="H914" s="44"/>
      <c r="I914" s="44"/>
      <c r="J914" s="44"/>
      <c r="K914" s="44"/>
      <c r="L914" s="44"/>
      <c r="M914" s="44"/>
      <c r="N914" s="44"/>
      <c r="O914" s="44"/>
    </row>
    <row r="915" spans="1:15" ht="17.25" customHeight="1">
      <c r="A915" s="44"/>
      <c r="B915" s="44"/>
      <c r="C915" s="44"/>
      <c r="D915" s="44"/>
      <c r="E915" s="44"/>
      <c r="F915" s="44"/>
      <c r="G915" s="44"/>
      <c r="H915" s="44"/>
      <c r="I915" s="44"/>
      <c r="J915" s="44"/>
      <c r="K915" s="44"/>
      <c r="L915" s="44"/>
      <c r="M915" s="44"/>
      <c r="N915" s="44"/>
      <c r="O915" s="44"/>
    </row>
    <row r="916" spans="1:15" ht="17.25" customHeight="1">
      <c r="A916" s="44"/>
      <c r="B916" s="44"/>
      <c r="C916" s="44"/>
      <c r="D916" s="44"/>
      <c r="E916" s="44"/>
      <c r="F916" s="44"/>
      <c r="G916" s="44"/>
      <c r="H916" s="44"/>
      <c r="I916" s="44"/>
      <c r="J916" s="44"/>
      <c r="K916" s="44"/>
      <c r="L916" s="44"/>
      <c r="M916" s="44"/>
      <c r="N916" s="44"/>
      <c r="O916" s="44"/>
    </row>
    <row r="917" spans="1:15" ht="17.25" customHeight="1">
      <c r="A917" s="44"/>
      <c r="B917" s="44"/>
      <c r="C917" s="44"/>
      <c r="D917" s="44"/>
      <c r="E917" s="44"/>
      <c r="F917" s="44"/>
      <c r="G917" s="44"/>
      <c r="H917" s="44"/>
      <c r="I917" s="44"/>
      <c r="J917" s="44"/>
      <c r="K917" s="44"/>
      <c r="L917" s="44"/>
      <c r="M917" s="44"/>
      <c r="N917" s="44"/>
      <c r="O917" s="44"/>
    </row>
    <row r="918" spans="1:15" ht="17.25" customHeight="1">
      <c r="A918" s="44"/>
      <c r="B918" s="44"/>
      <c r="C918" s="44"/>
      <c r="D918" s="44"/>
      <c r="E918" s="44"/>
      <c r="F918" s="44"/>
      <c r="G918" s="44"/>
      <c r="H918" s="44"/>
      <c r="I918" s="44"/>
      <c r="J918" s="44"/>
      <c r="K918" s="44"/>
      <c r="L918" s="44"/>
      <c r="M918" s="44"/>
      <c r="N918" s="44"/>
      <c r="O918" s="44"/>
    </row>
    <row r="919" spans="1:15" ht="17.25" customHeight="1">
      <c r="A919" s="44"/>
      <c r="B919" s="44"/>
      <c r="C919" s="44"/>
      <c r="D919" s="44"/>
      <c r="E919" s="44"/>
      <c r="F919" s="44"/>
      <c r="G919" s="44"/>
      <c r="H919" s="44"/>
      <c r="I919" s="44"/>
      <c r="J919" s="44"/>
      <c r="K919" s="44"/>
      <c r="L919" s="44"/>
      <c r="M919" s="44"/>
      <c r="N919" s="44"/>
      <c r="O919" s="44"/>
    </row>
    <row r="920" spans="1:15" ht="17.25" customHeight="1">
      <c r="A920" s="44"/>
      <c r="B920" s="44"/>
      <c r="C920" s="44"/>
      <c r="D920" s="44"/>
      <c r="E920" s="44"/>
      <c r="F920" s="44"/>
      <c r="G920" s="44"/>
      <c r="H920" s="44"/>
      <c r="I920" s="44"/>
      <c r="J920" s="44"/>
      <c r="K920" s="44"/>
      <c r="L920" s="44"/>
      <c r="M920" s="44"/>
      <c r="N920" s="44"/>
      <c r="O920" s="44"/>
    </row>
    <row r="921" spans="1:15" ht="17.25" customHeight="1">
      <c r="A921" s="44"/>
      <c r="B921" s="44"/>
      <c r="C921" s="44"/>
      <c r="D921" s="44"/>
      <c r="E921" s="44"/>
      <c r="F921" s="44"/>
      <c r="G921" s="44"/>
      <c r="H921" s="44"/>
      <c r="I921" s="44"/>
      <c r="J921" s="44"/>
      <c r="K921" s="44"/>
      <c r="L921" s="44"/>
      <c r="M921" s="44"/>
      <c r="N921" s="44"/>
      <c r="O921" s="44"/>
    </row>
    <row r="922" spans="1:15" ht="17.25" customHeight="1">
      <c r="A922" s="44"/>
      <c r="B922" s="44"/>
      <c r="C922" s="44"/>
      <c r="D922" s="44"/>
      <c r="E922" s="44"/>
      <c r="F922" s="44"/>
      <c r="G922" s="44"/>
      <c r="H922" s="44"/>
      <c r="I922" s="44"/>
      <c r="J922" s="44"/>
      <c r="K922" s="44"/>
      <c r="L922" s="44"/>
      <c r="M922" s="44"/>
      <c r="N922" s="44"/>
      <c r="O922" s="44"/>
    </row>
    <row r="923" spans="1:15" ht="17.25" customHeight="1">
      <c r="A923" s="44"/>
      <c r="B923" s="44"/>
      <c r="C923" s="44"/>
      <c r="D923" s="44"/>
      <c r="E923" s="44"/>
      <c r="F923" s="44"/>
      <c r="G923" s="44"/>
      <c r="H923" s="44"/>
      <c r="I923" s="44"/>
      <c r="J923" s="44"/>
      <c r="K923" s="44"/>
      <c r="L923" s="44"/>
      <c r="M923" s="44"/>
      <c r="N923" s="44"/>
      <c r="O923" s="44"/>
    </row>
    <row r="924" spans="1:15" ht="17.25" customHeight="1">
      <c r="A924" s="44"/>
      <c r="B924" s="44"/>
      <c r="C924" s="44"/>
      <c r="D924" s="44"/>
      <c r="E924" s="44"/>
      <c r="F924" s="44"/>
      <c r="G924" s="44"/>
      <c r="H924" s="44"/>
      <c r="I924" s="44"/>
      <c r="J924" s="44"/>
      <c r="K924" s="44"/>
      <c r="L924" s="44"/>
      <c r="M924" s="44"/>
      <c r="N924" s="44"/>
      <c r="O924" s="44"/>
    </row>
    <row r="925" spans="1:15" ht="17.25" customHeight="1">
      <c r="A925" s="44"/>
      <c r="B925" s="44"/>
      <c r="C925" s="44"/>
      <c r="D925" s="44"/>
      <c r="E925" s="44"/>
      <c r="F925" s="44"/>
      <c r="G925" s="44"/>
      <c r="H925" s="44"/>
      <c r="I925" s="44"/>
      <c r="J925" s="44"/>
      <c r="K925" s="44"/>
      <c r="L925" s="44"/>
      <c r="M925" s="44"/>
      <c r="N925" s="44"/>
      <c r="O925" s="44"/>
    </row>
    <row r="926" spans="1:15" ht="17.25" customHeight="1">
      <c r="A926" s="44"/>
      <c r="B926" s="44"/>
      <c r="C926" s="44"/>
      <c r="D926" s="44"/>
      <c r="E926" s="44"/>
      <c r="F926" s="44"/>
      <c r="G926" s="44"/>
      <c r="H926" s="44"/>
      <c r="I926" s="44"/>
      <c r="J926" s="44"/>
      <c r="K926" s="44"/>
      <c r="L926" s="44"/>
      <c r="M926" s="44"/>
      <c r="N926" s="44"/>
      <c r="O926" s="44"/>
    </row>
    <row r="927" spans="1:15" ht="17.25" customHeight="1">
      <c r="A927" s="44"/>
      <c r="B927" s="44"/>
      <c r="C927" s="44"/>
      <c r="D927" s="44"/>
      <c r="E927" s="44"/>
      <c r="F927" s="44"/>
      <c r="G927" s="44"/>
      <c r="H927" s="44"/>
      <c r="I927" s="44"/>
      <c r="J927" s="44"/>
      <c r="K927" s="44"/>
      <c r="L927" s="44"/>
      <c r="M927" s="44"/>
      <c r="N927" s="44"/>
      <c r="O927" s="44"/>
    </row>
    <row r="928" spans="1:15" ht="17.25" customHeight="1">
      <c r="A928" s="44"/>
      <c r="B928" s="44"/>
      <c r="C928" s="44"/>
      <c r="D928" s="44"/>
      <c r="E928" s="44"/>
      <c r="F928" s="44"/>
      <c r="G928" s="44"/>
      <c r="H928" s="44"/>
      <c r="I928" s="44"/>
      <c r="J928" s="44"/>
      <c r="K928" s="44"/>
      <c r="L928" s="44"/>
      <c r="M928" s="44"/>
      <c r="N928" s="44"/>
      <c r="O928" s="44"/>
    </row>
    <row r="929" spans="1:15" ht="17.25" customHeight="1">
      <c r="A929" s="44"/>
      <c r="B929" s="44"/>
      <c r="C929" s="44"/>
      <c r="D929" s="44"/>
      <c r="E929" s="44"/>
      <c r="F929" s="44"/>
      <c r="G929" s="44"/>
      <c r="H929" s="44"/>
      <c r="I929" s="44"/>
      <c r="J929" s="44"/>
      <c r="K929" s="44"/>
      <c r="L929" s="44"/>
      <c r="M929" s="44"/>
      <c r="N929" s="44"/>
      <c r="O929" s="44"/>
    </row>
    <row r="930" spans="1:15" ht="17.25" customHeight="1">
      <c r="A930" s="44"/>
      <c r="B930" s="44"/>
      <c r="C930" s="44"/>
      <c r="D930" s="44"/>
      <c r="E930" s="44"/>
      <c r="F930" s="44"/>
      <c r="G930" s="44"/>
      <c r="H930" s="44"/>
      <c r="I930" s="44"/>
      <c r="J930" s="44"/>
      <c r="K930" s="44"/>
      <c r="L930" s="44"/>
      <c r="M930" s="44"/>
      <c r="N930" s="44"/>
      <c r="O930" s="44"/>
    </row>
    <row r="931" spans="1:15" ht="17.25" customHeight="1">
      <c r="A931" s="44"/>
      <c r="B931" s="44"/>
      <c r="C931" s="44"/>
      <c r="D931" s="44"/>
      <c r="E931" s="44"/>
      <c r="F931" s="44"/>
      <c r="G931" s="44"/>
      <c r="H931" s="44"/>
      <c r="I931" s="44"/>
      <c r="J931" s="44"/>
      <c r="K931" s="44"/>
      <c r="L931" s="44"/>
      <c r="M931" s="44"/>
      <c r="N931" s="44"/>
      <c r="O931" s="44"/>
    </row>
    <row r="932" spans="1:15" ht="17.25" customHeight="1">
      <c r="A932" s="44"/>
      <c r="B932" s="44"/>
      <c r="C932" s="44"/>
      <c r="D932" s="44"/>
      <c r="E932" s="44"/>
      <c r="F932" s="44"/>
      <c r="G932" s="44"/>
      <c r="H932" s="44"/>
      <c r="I932" s="44"/>
      <c r="J932" s="44"/>
      <c r="K932" s="44"/>
      <c r="L932" s="44"/>
      <c r="M932" s="44"/>
      <c r="N932" s="44"/>
      <c r="O932" s="44"/>
    </row>
    <row r="933" spans="1:15" ht="17.25" customHeight="1">
      <c r="A933" s="44"/>
      <c r="B933" s="44"/>
      <c r="C933" s="44"/>
      <c r="D933" s="44"/>
      <c r="E933" s="44"/>
      <c r="F933" s="44"/>
      <c r="G933" s="44"/>
      <c r="H933" s="44"/>
      <c r="I933" s="44"/>
      <c r="J933" s="44"/>
      <c r="K933" s="44"/>
      <c r="L933" s="44"/>
      <c r="M933" s="44"/>
      <c r="N933" s="44"/>
      <c r="O933" s="44"/>
    </row>
    <row r="934" spans="1:15" ht="17.25" customHeight="1">
      <c r="A934" s="44"/>
      <c r="B934" s="44"/>
      <c r="C934" s="44"/>
      <c r="D934" s="44"/>
      <c r="E934" s="44"/>
      <c r="F934" s="44"/>
      <c r="G934" s="44"/>
      <c r="H934" s="44"/>
      <c r="I934" s="44"/>
      <c r="J934" s="44"/>
      <c r="K934" s="44"/>
      <c r="L934" s="44"/>
      <c r="M934" s="44"/>
      <c r="N934" s="44"/>
      <c r="O934" s="44"/>
    </row>
    <row r="935" spans="1:15" ht="17.25" customHeight="1">
      <c r="A935" s="44"/>
      <c r="B935" s="44"/>
      <c r="C935" s="44"/>
      <c r="D935" s="44"/>
      <c r="E935" s="44"/>
      <c r="F935" s="44"/>
      <c r="G935" s="44"/>
      <c r="H935" s="44"/>
      <c r="I935" s="44"/>
      <c r="J935" s="44"/>
      <c r="K935" s="44"/>
      <c r="L935" s="44"/>
      <c r="M935" s="44"/>
      <c r="N935" s="44"/>
      <c r="O935" s="44"/>
    </row>
    <row r="936" spans="1:15" ht="17.25" customHeight="1">
      <c r="A936" s="44"/>
      <c r="B936" s="44"/>
      <c r="C936" s="44"/>
      <c r="D936" s="44"/>
      <c r="E936" s="44"/>
      <c r="F936" s="44"/>
      <c r="G936" s="44"/>
      <c r="H936" s="44"/>
      <c r="I936" s="44"/>
      <c r="J936" s="44"/>
      <c r="K936" s="44"/>
      <c r="L936" s="44"/>
      <c r="M936" s="44"/>
      <c r="N936" s="44"/>
      <c r="O936" s="44"/>
    </row>
    <row r="937" spans="1:15" ht="17.25" customHeight="1">
      <c r="A937" s="44"/>
      <c r="B937" s="44"/>
      <c r="C937" s="44"/>
      <c r="D937" s="44"/>
      <c r="E937" s="44"/>
      <c r="F937" s="44"/>
      <c r="G937" s="44"/>
      <c r="H937" s="44"/>
      <c r="I937" s="44"/>
      <c r="J937" s="44"/>
      <c r="K937" s="44"/>
      <c r="L937" s="44"/>
      <c r="M937" s="44"/>
      <c r="N937" s="44"/>
      <c r="O937" s="44"/>
    </row>
    <row r="938" spans="1:15" ht="17.25" customHeight="1">
      <c r="A938" s="44"/>
      <c r="B938" s="44"/>
      <c r="C938" s="44"/>
      <c r="D938" s="44"/>
      <c r="E938" s="44"/>
      <c r="F938" s="44"/>
      <c r="G938" s="44"/>
      <c r="H938" s="44"/>
      <c r="I938" s="44"/>
      <c r="J938" s="44"/>
      <c r="K938" s="44"/>
      <c r="L938" s="44"/>
      <c r="M938" s="44"/>
      <c r="N938" s="44"/>
      <c r="O938" s="44"/>
    </row>
    <row r="939" spans="1:15" ht="17.25" customHeight="1">
      <c r="A939" s="44"/>
      <c r="B939" s="44"/>
      <c r="C939" s="44"/>
      <c r="D939" s="44"/>
      <c r="E939" s="44"/>
      <c r="F939" s="44"/>
      <c r="G939" s="44"/>
      <c r="H939" s="44"/>
      <c r="I939" s="44"/>
      <c r="J939" s="44"/>
      <c r="K939" s="44"/>
      <c r="L939" s="44"/>
      <c r="M939" s="44"/>
      <c r="N939" s="44"/>
      <c r="O939" s="44"/>
    </row>
    <row r="940" spans="1:15" ht="17.25" customHeight="1">
      <c r="A940" s="44"/>
      <c r="B940" s="44"/>
      <c r="C940" s="44"/>
      <c r="D940" s="44"/>
      <c r="E940" s="44"/>
      <c r="F940" s="44"/>
      <c r="G940" s="44"/>
      <c r="H940" s="44"/>
      <c r="I940" s="44"/>
      <c r="J940" s="44"/>
      <c r="K940" s="44"/>
      <c r="L940" s="44"/>
      <c r="M940" s="44"/>
      <c r="N940" s="44"/>
      <c r="O940" s="44"/>
    </row>
    <row r="941" spans="1:15" ht="17.25" customHeight="1">
      <c r="A941" s="44"/>
      <c r="B941" s="44"/>
      <c r="C941" s="44"/>
      <c r="D941" s="44"/>
      <c r="E941" s="44"/>
      <c r="F941" s="44"/>
      <c r="G941" s="44"/>
      <c r="H941" s="44"/>
      <c r="I941" s="44"/>
      <c r="J941" s="44"/>
      <c r="K941" s="44"/>
      <c r="L941" s="44"/>
      <c r="M941" s="44"/>
      <c r="N941" s="44"/>
      <c r="O941" s="44"/>
    </row>
    <row r="942" spans="1:15" ht="17.25" customHeight="1">
      <c r="A942" s="44"/>
      <c r="B942" s="44"/>
      <c r="C942" s="44"/>
      <c r="D942" s="44"/>
      <c r="E942" s="44"/>
      <c r="F942" s="44"/>
      <c r="G942" s="44"/>
      <c r="H942" s="44"/>
      <c r="I942" s="44"/>
      <c r="J942" s="44"/>
      <c r="K942" s="44"/>
      <c r="L942" s="44"/>
      <c r="M942" s="44"/>
      <c r="N942" s="44"/>
      <c r="O942" s="44"/>
    </row>
    <row r="943" spans="1:15" ht="17.25" customHeight="1">
      <c r="A943" s="44"/>
      <c r="B943" s="44"/>
      <c r="C943" s="44"/>
      <c r="D943" s="44"/>
      <c r="E943" s="44"/>
      <c r="F943" s="44"/>
      <c r="G943" s="44"/>
      <c r="H943" s="44"/>
      <c r="I943" s="44"/>
      <c r="J943" s="44"/>
      <c r="K943" s="44"/>
      <c r="L943" s="44"/>
      <c r="M943" s="44"/>
      <c r="N943" s="44"/>
      <c r="O943" s="44"/>
    </row>
    <row r="944" spans="1:15" ht="17.25" customHeight="1">
      <c r="A944" s="44"/>
      <c r="B944" s="44"/>
      <c r="C944" s="44"/>
      <c r="D944" s="44"/>
      <c r="E944" s="44"/>
      <c r="F944" s="44"/>
      <c r="G944" s="44"/>
      <c r="H944" s="44"/>
      <c r="I944" s="44"/>
      <c r="J944" s="44"/>
      <c r="K944" s="44"/>
      <c r="L944" s="44"/>
      <c r="M944" s="44"/>
      <c r="N944" s="44"/>
      <c r="O944" s="44"/>
    </row>
    <row r="945" spans="1:15" ht="17.25" customHeight="1">
      <c r="A945" s="44"/>
      <c r="B945" s="44"/>
      <c r="C945" s="44"/>
      <c r="D945" s="44"/>
      <c r="E945" s="44"/>
      <c r="F945" s="44"/>
      <c r="G945" s="44"/>
      <c r="H945" s="44"/>
      <c r="I945" s="44"/>
      <c r="J945" s="44"/>
      <c r="K945" s="44"/>
      <c r="L945" s="44"/>
      <c r="M945" s="44"/>
      <c r="N945" s="44"/>
      <c r="O945" s="44"/>
    </row>
    <row r="946" spans="1:15" ht="17.25" customHeight="1">
      <c r="A946" s="44"/>
      <c r="B946" s="44"/>
      <c r="C946" s="44"/>
      <c r="D946" s="44"/>
      <c r="E946" s="44"/>
      <c r="F946" s="44"/>
      <c r="G946" s="44"/>
      <c r="H946" s="44"/>
      <c r="I946" s="44"/>
      <c r="J946" s="44"/>
      <c r="K946" s="44"/>
      <c r="L946" s="44"/>
      <c r="M946" s="44"/>
      <c r="N946" s="44"/>
      <c r="O946" s="44"/>
    </row>
    <row r="947" spans="1:15" ht="17.25" customHeight="1">
      <c r="A947" s="44"/>
      <c r="B947" s="44"/>
      <c r="C947" s="44"/>
      <c r="D947" s="44"/>
      <c r="E947" s="44"/>
      <c r="F947" s="44"/>
      <c r="G947" s="44"/>
      <c r="H947" s="44"/>
      <c r="I947" s="44"/>
      <c r="J947" s="44"/>
      <c r="K947" s="44"/>
      <c r="L947" s="44"/>
      <c r="M947" s="44"/>
      <c r="N947" s="44"/>
      <c r="O947" s="44"/>
    </row>
    <row r="948" spans="1:15" ht="17.25" customHeight="1">
      <c r="A948" s="44"/>
      <c r="B948" s="44"/>
      <c r="C948" s="44"/>
      <c r="D948" s="44"/>
      <c r="E948" s="44"/>
      <c r="F948" s="44"/>
      <c r="G948" s="44"/>
      <c r="H948" s="44"/>
      <c r="I948" s="44"/>
      <c r="J948" s="44"/>
      <c r="K948" s="44"/>
      <c r="L948" s="44"/>
      <c r="M948" s="44"/>
      <c r="N948" s="44"/>
      <c r="O948" s="44"/>
    </row>
    <row r="949" spans="1:15" ht="17.25" customHeight="1">
      <c r="A949" s="44"/>
      <c r="B949" s="44"/>
      <c r="C949" s="44"/>
      <c r="D949" s="44"/>
      <c r="E949" s="44"/>
      <c r="F949" s="44"/>
      <c r="G949" s="44"/>
      <c r="H949" s="44"/>
      <c r="I949" s="44"/>
      <c r="J949" s="44"/>
      <c r="K949" s="44"/>
      <c r="L949" s="44"/>
      <c r="M949" s="44"/>
      <c r="N949" s="44"/>
      <c r="O949" s="44"/>
    </row>
    <row r="950" spans="1:15" ht="17.25" customHeight="1">
      <c r="A950" s="44"/>
      <c r="B950" s="44"/>
      <c r="C950" s="44"/>
      <c r="D950" s="44"/>
      <c r="E950" s="44"/>
      <c r="F950" s="44"/>
      <c r="G950" s="44"/>
      <c r="H950" s="44"/>
      <c r="I950" s="44"/>
      <c r="J950" s="44"/>
      <c r="K950" s="44"/>
      <c r="L950" s="44"/>
      <c r="M950" s="44"/>
      <c r="N950" s="44"/>
      <c r="O950" s="44"/>
    </row>
    <row r="951" spans="1:15" ht="17.25" customHeight="1">
      <c r="A951" s="44"/>
      <c r="B951" s="44"/>
      <c r="C951" s="44"/>
      <c r="D951" s="44"/>
      <c r="E951" s="44"/>
      <c r="F951" s="44"/>
      <c r="G951" s="44"/>
      <c r="H951" s="44"/>
      <c r="I951" s="44"/>
      <c r="J951" s="44"/>
      <c r="K951" s="44"/>
      <c r="L951" s="44"/>
      <c r="M951" s="44"/>
      <c r="N951" s="44"/>
      <c r="O951" s="44"/>
    </row>
    <row r="952" spans="1:15" ht="17.25" customHeight="1">
      <c r="A952" s="44"/>
      <c r="B952" s="44"/>
      <c r="C952" s="44"/>
      <c r="D952" s="44"/>
      <c r="E952" s="44"/>
      <c r="F952" s="44"/>
      <c r="G952" s="44"/>
      <c r="H952" s="44"/>
      <c r="I952" s="44"/>
      <c r="J952" s="44"/>
      <c r="K952" s="44"/>
      <c r="L952" s="44"/>
      <c r="M952" s="44"/>
      <c r="N952" s="44"/>
      <c r="O952" s="44"/>
    </row>
    <row r="953" spans="1:15" ht="17.25" customHeight="1">
      <c r="A953" s="44"/>
      <c r="B953" s="44"/>
      <c r="C953" s="44"/>
      <c r="D953" s="44"/>
      <c r="E953" s="44"/>
      <c r="F953" s="44"/>
      <c r="G953" s="44"/>
      <c r="H953" s="44"/>
      <c r="I953" s="44"/>
      <c r="J953" s="44"/>
      <c r="K953" s="44"/>
      <c r="L953" s="44"/>
      <c r="M953" s="44"/>
      <c r="N953" s="44"/>
      <c r="O953" s="44"/>
    </row>
    <row r="954" spans="1:15" ht="17.25" customHeight="1">
      <c r="A954" s="44"/>
      <c r="B954" s="44"/>
      <c r="C954" s="44"/>
      <c r="D954" s="44"/>
      <c r="E954" s="44"/>
      <c r="F954" s="44"/>
      <c r="G954" s="44"/>
      <c r="H954" s="44"/>
      <c r="I954" s="44"/>
      <c r="J954" s="44"/>
      <c r="K954" s="44"/>
      <c r="L954" s="44"/>
      <c r="M954" s="44"/>
      <c r="N954" s="44"/>
      <c r="O954" s="44"/>
    </row>
    <row r="955" spans="1:15" ht="17.25" customHeight="1">
      <c r="A955" s="44"/>
      <c r="B955" s="44"/>
      <c r="C955" s="44"/>
      <c r="D955" s="44"/>
      <c r="E955" s="44"/>
      <c r="F955" s="44"/>
      <c r="G955" s="44"/>
      <c r="H955" s="44"/>
      <c r="I955" s="44"/>
      <c r="J955" s="44"/>
      <c r="K955" s="44"/>
      <c r="L955" s="44"/>
      <c r="M955" s="44"/>
      <c r="N955" s="44"/>
      <c r="O955" s="44"/>
    </row>
    <row r="956" spans="1:15" ht="17.25" customHeight="1">
      <c r="A956" s="44"/>
      <c r="B956" s="44"/>
      <c r="C956" s="44"/>
      <c r="D956" s="44"/>
      <c r="E956" s="44"/>
      <c r="F956" s="44"/>
      <c r="G956" s="44"/>
      <c r="H956" s="44"/>
      <c r="I956" s="44"/>
      <c r="J956" s="44"/>
      <c r="K956" s="44"/>
      <c r="L956" s="44"/>
      <c r="M956" s="44"/>
      <c r="N956" s="44"/>
      <c r="O956" s="44"/>
    </row>
    <row r="957" spans="1:15" ht="17.25" customHeight="1">
      <c r="A957" s="44"/>
      <c r="B957" s="44"/>
      <c r="C957" s="44"/>
      <c r="D957" s="44"/>
      <c r="E957" s="44"/>
      <c r="F957" s="44"/>
      <c r="G957" s="44"/>
      <c r="H957" s="44"/>
      <c r="I957" s="44"/>
      <c r="J957" s="44"/>
      <c r="K957" s="44"/>
      <c r="L957" s="44"/>
      <c r="M957" s="44"/>
      <c r="N957" s="44"/>
      <c r="O957" s="44"/>
    </row>
    <row r="958" spans="1:15" ht="17.25" customHeight="1">
      <c r="A958" s="44"/>
      <c r="B958" s="44"/>
      <c r="C958" s="44"/>
      <c r="D958" s="44"/>
      <c r="E958" s="44"/>
      <c r="F958" s="44"/>
      <c r="G958" s="44"/>
      <c r="H958" s="44"/>
      <c r="I958" s="44"/>
      <c r="J958" s="44"/>
      <c r="K958" s="44"/>
      <c r="L958" s="44"/>
      <c r="M958" s="44"/>
      <c r="N958" s="44"/>
      <c r="O958" s="44"/>
    </row>
    <row r="959" spans="1:15" ht="17.25" customHeight="1">
      <c r="A959" s="44"/>
      <c r="B959" s="44"/>
      <c r="C959" s="44"/>
      <c r="D959" s="44"/>
      <c r="E959" s="44"/>
      <c r="F959" s="44"/>
      <c r="G959" s="44"/>
      <c r="H959" s="44"/>
      <c r="I959" s="44"/>
      <c r="J959" s="44"/>
      <c r="K959" s="44"/>
      <c r="L959" s="44"/>
      <c r="M959" s="44"/>
      <c r="N959" s="44"/>
      <c r="O959" s="44"/>
    </row>
    <row r="960" spans="1:15" ht="17.25" customHeight="1">
      <c r="A960" s="44"/>
      <c r="B960" s="44"/>
      <c r="C960" s="44"/>
      <c r="D960" s="44"/>
      <c r="E960" s="44"/>
      <c r="F960" s="44"/>
      <c r="G960" s="44"/>
      <c r="H960" s="44"/>
      <c r="I960" s="44"/>
      <c r="J960" s="44"/>
      <c r="K960" s="44"/>
      <c r="L960" s="44"/>
      <c r="M960" s="44"/>
      <c r="N960" s="44"/>
      <c r="O960" s="44"/>
    </row>
    <row r="961" spans="1:15" ht="17.25" customHeight="1">
      <c r="A961" s="44"/>
      <c r="B961" s="44"/>
      <c r="C961" s="44"/>
      <c r="D961" s="44"/>
      <c r="E961" s="44"/>
      <c r="F961" s="44"/>
      <c r="G961" s="44"/>
      <c r="H961" s="44"/>
      <c r="I961" s="44"/>
      <c r="J961" s="44"/>
      <c r="K961" s="44"/>
      <c r="L961" s="44"/>
      <c r="M961" s="44"/>
      <c r="N961" s="44"/>
      <c r="O961" s="44"/>
    </row>
    <row r="962" spans="1:15" ht="17.25" customHeight="1">
      <c r="A962" s="44"/>
      <c r="B962" s="44"/>
      <c r="C962" s="44"/>
      <c r="D962" s="44"/>
      <c r="E962" s="44"/>
      <c r="F962" s="44"/>
      <c r="G962" s="44"/>
      <c r="H962" s="44"/>
      <c r="I962" s="44"/>
      <c r="J962" s="44"/>
      <c r="K962" s="44"/>
      <c r="L962" s="44"/>
      <c r="M962" s="44"/>
      <c r="N962" s="44"/>
      <c r="O962" s="44"/>
    </row>
    <row r="963" spans="1:15" ht="17.25" customHeight="1">
      <c r="A963" s="44"/>
      <c r="B963" s="44"/>
      <c r="C963" s="44"/>
      <c r="D963" s="44"/>
      <c r="E963" s="44"/>
      <c r="F963" s="44"/>
      <c r="G963" s="44"/>
      <c r="H963" s="44"/>
      <c r="I963" s="44"/>
      <c r="J963" s="44"/>
      <c r="K963" s="44"/>
      <c r="L963" s="44"/>
      <c r="M963" s="44"/>
      <c r="N963" s="44"/>
      <c r="O963" s="44"/>
    </row>
    <row r="964" spans="1:15" ht="17.25" customHeight="1">
      <c r="A964" s="44"/>
      <c r="B964" s="44"/>
      <c r="C964" s="44"/>
      <c r="D964" s="44"/>
      <c r="E964" s="44"/>
      <c r="F964" s="44"/>
      <c r="G964" s="44"/>
      <c r="H964" s="44"/>
      <c r="I964" s="44"/>
      <c r="J964" s="44"/>
      <c r="K964" s="44"/>
      <c r="L964" s="44"/>
      <c r="M964" s="44"/>
      <c r="N964" s="44"/>
      <c r="O964" s="44"/>
    </row>
    <row r="965" spans="1:15" ht="17.25" customHeight="1">
      <c r="A965" s="44"/>
      <c r="B965" s="44"/>
      <c r="C965" s="44"/>
      <c r="D965" s="44"/>
      <c r="E965" s="44"/>
      <c r="F965" s="44"/>
      <c r="G965" s="44"/>
      <c r="H965" s="44"/>
      <c r="I965" s="44"/>
      <c r="J965" s="44"/>
      <c r="K965" s="44"/>
      <c r="L965" s="44"/>
      <c r="M965" s="44"/>
      <c r="N965" s="44"/>
      <c r="O965" s="44"/>
    </row>
    <row r="966" spans="1:15" ht="17.25" customHeight="1">
      <c r="A966" s="44"/>
      <c r="B966" s="44"/>
      <c r="C966" s="44"/>
      <c r="D966" s="44"/>
      <c r="E966" s="44"/>
      <c r="F966" s="44"/>
      <c r="G966" s="44"/>
      <c r="H966" s="44"/>
      <c r="I966" s="44"/>
      <c r="J966" s="44"/>
      <c r="K966" s="44"/>
      <c r="L966" s="44"/>
      <c r="M966" s="44"/>
      <c r="N966" s="44"/>
      <c r="O966" s="44"/>
    </row>
    <row r="967" spans="1:15" ht="17.25" customHeight="1">
      <c r="A967" s="44"/>
      <c r="B967" s="44"/>
      <c r="C967" s="44"/>
      <c r="D967" s="44"/>
      <c r="E967" s="44"/>
      <c r="F967" s="44"/>
      <c r="G967" s="44"/>
      <c r="H967" s="44"/>
      <c r="I967" s="44"/>
      <c r="J967" s="44"/>
      <c r="K967" s="44"/>
      <c r="L967" s="44"/>
      <c r="M967" s="44"/>
      <c r="N967" s="44"/>
      <c r="O967" s="44"/>
    </row>
    <row r="968" spans="1:15" ht="17.25" customHeight="1">
      <c r="A968" s="44"/>
      <c r="B968" s="44"/>
      <c r="C968" s="44"/>
      <c r="D968" s="44"/>
      <c r="E968" s="44"/>
      <c r="F968" s="44"/>
      <c r="G968" s="44"/>
      <c r="H968" s="44"/>
      <c r="I968" s="44"/>
      <c r="J968" s="44"/>
      <c r="K968" s="44"/>
      <c r="L968" s="44"/>
      <c r="M968" s="44"/>
      <c r="N968" s="44"/>
      <c r="O968" s="44"/>
    </row>
    <row r="969" spans="1:15" ht="17.25" customHeight="1">
      <c r="A969" s="44"/>
      <c r="B969" s="44"/>
      <c r="C969" s="44"/>
      <c r="D969" s="44"/>
      <c r="E969" s="44"/>
      <c r="F969" s="44"/>
      <c r="G969" s="44"/>
      <c r="H969" s="44"/>
      <c r="I969" s="44"/>
      <c r="J969" s="44"/>
      <c r="K969" s="44"/>
      <c r="L969" s="44"/>
      <c r="M969" s="44"/>
      <c r="N969" s="44"/>
      <c r="O969" s="44"/>
    </row>
    <row r="970" spans="1:15" ht="17.25" customHeight="1">
      <c r="A970" s="44"/>
      <c r="B970" s="44"/>
      <c r="C970" s="44"/>
      <c r="D970" s="44"/>
      <c r="E970" s="44"/>
      <c r="F970" s="44"/>
      <c r="G970" s="44"/>
      <c r="H970" s="44"/>
      <c r="I970" s="44"/>
      <c r="J970" s="44"/>
      <c r="K970" s="44"/>
      <c r="L970" s="44"/>
      <c r="M970" s="44"/>
      <c r="N970" s="44"/>
      <c r="O970" s="44"/>
    </row>
    <row r="971" spans="1:15" ht="17.25" customHeight="1">
      <c r="A971" s="44"/>
      <c r="B971" s="44"/>
      <c r="C971" s="44"/>
      <c r="D971" s="44"/>
      <c r="E971" s="44"/>
      <c r="F971" s="44"/>
      <c r="G971" s="44"/>
      <c r="H971" s="44"/>
      <c r="I971" s="44"/>
      <c r="J971" s="44"/>
      <c r="K971" s="44"/>
      <c r="L971" s="44"/>
      <c r="M971" s="44"/>
      <c r="N971" s="44"/>
      <c r="O971" s="44"/>
    </row>
    <row r="972" spans="1:15" ht="17.25" customHeight="1">
      <c r="A972" s="44"/>
      <c r="B972" s="44"/>
      <c r="C972" s="44"/>
      <c r="D972" s="44"/>
      <c r="E972" s="44"/>
      <c r="F972" s="44"/>
      <c r="G972" s="44"/>
      <c r="H972" s="44"/>
      <c r="I972" s="44"/>
      <c r="J972" s="44"/>
      <c r="K972" s="44"/>
      <c r="L972" s="44"/>
      <c r="M972" s="44"/>
      <c r="N972" s="44"/>
      <c r="O972" s="44"/>
    </row>
    <row r="973" spans="1:15" ht="17.25" customHeight="1">
      <c r="A973" s="44"/>
      <c r="B973" s="44"/>
      <c r="C973" s="44"/>
      <c r="D973" s="44"/>
      <c r="E973" s="44"/>
      <c r="F973" s="44"/>
      <c r="G973" s="44"/>
      <c r="H973" s="44"/>
      <c r="I973" s="44"/>
      <c r="J973" s="44"/>
      <c r="K973" s="44"/>
      <c r="L973" s="44"/>
      <c r="M973" s="44"/>
      <c r="N973" s="44"/>
      <c r="O973" s="44"/>
    </row>
    <row r="974" spans="1:15" ht="17.25" customHeight="1">
      <c r="A974" s="44"/>
      <c r="B974" s="44"/>
      <c r="C974" s="44"/>
      <c r="D974" s="44"/>
      <c r="E974" s="44"/>
      <c r="F974" s="44"/>
      <c r="G974" s="44"/>
      <c r="H974" s="44"/>
      <c r="I974" s="44"/>
      <c r="J974" s="44"/>
      <c r="K974" s="44"/>
      <c r="L974" s="44"/>
      <c r="M974" s="44"/>
      <c r="N974" s="44"/>
      <c r="O974" s="44"/>
    </row>
    <row r="975" spans="1:15" ht="17.25" customHeight="1">
      <c r="A975" s="44"/>
      <c r="B975" s="44"/>
      <c r="C975" s="44"/>
      <c r="D975" s="44"/>
      <c r="E975" s="44"/>
      <c r="F975" s="44"/>
      <c r="G975" s="44"/>
      <c r="H975" s="44"/>
      <c r="I975" s="44"/>
      <c r="J975" s="44"/>
      <c r="K975" s="44"/>
      <c r="L975" s="44"/>
      <c r="M975" s="44"/>
      <c r="N975" s="44"/>
      <c r="O975" s="44"/>
    </row>
    <row r="976" spans="1:15" ht="17.25" customHeight="1">
      <c r="A976" s="44"/>
      <c r="B976" s="44"/>
      <c r="C976" s="44"/>
      <c r="D976" s="44"/>
      <c r="E976" s="44"/>
      <c r="F976" s="44"/>
      <c r="G976" s="44"/>
      <c r="H976" s="44"/>
      <c r="I976" s="44"/>
      <c r="J976" s="44"/>
      <c r="K976" s="44"/>
      <c r="L976" s="44"/>
      <c r="M976" s="44"/>
      <c r="N976" s="44"/>
      <c r="O976" s="44"/>
    </row>
    <row r="977" spans="1:15" ht="17.25" customHeight="1">
      <c r="A977" s="44"/>
      <c r="B977" s="44"/>
      <c r="C977" s="44"/>
      <c r="D977" s="44"/>
      <c r="E977" s="44"/>
      <c r="F977" s="44"/>
      <c r="G977" s="44"/>
      <c r="H977" s="44"/>
      <c r="I977" s="44"/>
      <c r="J977" s="44"/>
      <c r="K977" s="44"/>
      <c r="L977" s="44"/>
      <c r="M977" s="44"/>
      <c r="N977" s="44"/>
      <c r="O977" s="44"/>
    </row>
    <row r="978" spans="1:15" ht="17.25" customHeight="1">
      <c r="A978" s="44"/>
      <c r="B978" s="44"/>
      <c r="C978" s="44"/>
      <c r="D978" s="44"/>
      <c r="E978" s="44"/>
      <c r="F978" s="44"/>
      <c r="G978" s="44"/>
      <c r="H978" s="44"/>
      <c r="I978" s="44"/>
      <c r="J978" s="44"/>
      <c r="K978" s="44"/>
      <c r="L978" s="44"/>
      <c r="M978" s="44"/>
      <c r="N978" s="44"/>
      <c r="O978" s="44"/>
    </row>
    <row r="979" spans="1:15" ht="17.25" customHeight="1">
      <c r="A979" s="44"/>
      <c r="B979" s="44"/>
      <c r="C979" s="44"/>
      <c r="D979" s="44"/>
      <c r="E979" s="44"/>
      <c r="F979" s="44"/>
      <c r="G979" s="44"/>
      <c r="H979" s="44"/>
      <c r="I979" s="44"/>
      <c r="J979" s="44"/>
      <c r="K979" s="44"/>
      <c r="L979" s="44"/>
      <c r="M979" s="44"/>
      <c r="N979" s="44"/>
      <c r="O979" s="44"/>
    </row>
    <row r="980" spans="1:15" ht="17.25" customHeight="1">
      <c r="A980" s="44"/>
      <c r="B980" s="44"/>
      <c r="C980" s="44"/>
      <c r="D980" s="44"/>
      <c r="E980" s="44"/>
      <c r="F980" s="44"/>
      <c r="G980" s="44"/>
      <c r="H980" s="44"/>
      <c r="I980" s="44"/>
      <c r="J980" s="44"/>
      <c r="K980" s="44"/>
      <c r="L980" s="44"/>
      <c r="M980" s="44"/>
      <c r="N980" s="44"/>
      <c r="O980" s="44"/>
    </row>
    <row r="981" spans="1:15" ht="17.25" customHeight="1">
      <c r="A981" s="44"/>
      <c r="B981" s="44"/>
      <c r="C981" s="44"/>
      <c r="D981" s="44"/>
      <c r="E981" s="44"/>
      <c r="F981" s="44"/>
      <c r="G981" s="44"/>
      <c r="H981" s="44"/>
      <c r="I981" s="44"/>
      <c r="J981" s="44"/>
      <c r="K981" s="44"/>
      <c r="L981" s="44"/>
      <c r="M981" s="44"/>
      <c r="N981" s="44"/>
      <c r="O981" s="44"/>
    </row>
    <row r="982" spans="1:15" ht="17.25" customHeight="1">
      <c r="A982" s="44"/>
      <c r="B982" s="44"/>
      <c r="C982" s="44"/>
      <c r="D982" s="44"/>
      <c r="E982" s="44"/>
      <c r="F982" s="44"/>
      <c r="G982" s="44"/>
      <c r="H982" s="44"/>
      <c r="I982" s="44"/>
      <c r="J982" s="44"/>
      <c r="K982" s="44"/>
      <c r="L982" s="44"/>
      <c r="M982" s="44"/>
      <c r="N982" s="44"/>
      <c r="O982" s="44"/>
    </row>
    <row r="983" spans="1:15" ht="17.25" customHeight="1">
      <c r="A983" s="44"/>
      <c r="B983" s="44"/>
      <c r="C983" s="44"/>
      <c r="D983" s="44"/>
      <c r="E983" s="44"/>
      <c r="F983" s="44"/>
      <c r="G983" s="44"/>
      <c r="H983" s="44"/>
      <c r="I983" s="44"/>
      <c r="J983" s="44"/>
      <c r="K983" s="44"/>
      <c r="L983" s="44"/>
      <c r="M983" s="44"/>
      <c r="N983" s="44"/>
      <c r="O983" s="44"/>
    </row>
    <row r="984" spans="1:15" ht="17.25" customHeight="1">
      <c r="A984" s="44"/>
      <c r="B984" s="44"/>
      <c r="C984" s="44"/>
      <c r="D984" s="44"/>
      <c r="E984" s="44"/>
      <c r="F984" s="44"/>
      <c r="G984" s="44"/>
      <c r="H984" s="44"/>
      <c r="I984" s="44"/>
      <c r="J984" s="44"/>
      <c r="K984" s="44"/>
      <c r="L984" s="44"/>
      <c r="M984" s="44"/>
      <c r="N984" s="44"/>
      <c r="O984" s="44"/>
    </row>
    <row r="985" spans="1:15" ht="17.25" customHeight="1">
      <c r="A985" s="44"/>
      <c r="B985" s="44"/>
      <c r="C985" s="44"/>
      <c r="D985" s="44"/>
      <c r="E985" s="44"/>
      <c r="F985" s="44"/>
      <c r="G985" s="44"/>
      <c r="H985" s="44"/>
      <c r="I985" s="44"/>
      <c r="J985" s="44"/>
      <c r="K985" s="44"/>
      <c r="L985" s="44"/>
      <c r="M985" s="44"/>
      <c r="N985" s="44"/>
      <c r="O985" s="44"/>
    </row>
    <row r="986" spans="1:15" ht="17.25" customHeight="1">
      <c r="A986" s="44"/>
      <c r="B986" s="44"/>
      <c r="C986" s="44"/>
      <c r="D986" s="44"/>
      <c r="E986" s="44"/>
      <c r="F986" s="44"/>
      <c r="G986" s="44"/>
      <c r="H986" s="44"/>
      <c r="I986" s="44"/>
      <c r="J986" s="44"/>
      <c r="K986" s="44"/>
      <c r="L986" s="44"/>
      <c r="M986" s="44"/>
      <c r="N986" s="44"/>
      <c r="O986" s="44"/>
    </row>
    <row r="987" spans="1:15" ht="15" customHeight="1"/>
    <row r="988" spans="1:15" ht="15" customHeight="1"/>
    <row r="989" spans="1:15" ht="15" customHeight="1"/>
    <row r="990" spans="1:15" ht="15" customHeight="1"/>
    <row r="991" spans="1:15" ht="15" customHeight="1"/>
    <row r="992" spans="1:15" ht="15" customHeight="1"/>
    <row r="993" ht="15" customHeight="1"/>
    <row r="994" ht="15" customHeight="1"/>
    <row r="995" ht="15" customHeight="1"/>
    <row r="996" ht="15" customHeight="1"/>
    <row r="997" ht="15" customHeight="1"/>
    <row r="998" ht="15" customHeight="1"/>
  </sheetData>
  <mergeCells count="2">
    <mergeCell ref="G1:J2"/>
    <mergeCell ref="B4:C4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98"/>
  <sheetViews>
    <sheetView showGridLines="0" workbookViewId="0">
      <selection activeCell="L27" sqref="L27"/>
    </sheetView>
  </sheetViews>
  <sheetFormatPr baseColWidth="10" defaultColWidth="14.42578125" defaultRowHeight="15"/>
  <cols>
    <col min="1" max="1" width="5.28515625" style="46" customWidth="1"/>
    <col min="2" max="3" width="12.42578125" style="46" customWidth="1"/>
    <col min="4" max="4" width="6.140625" style="46" customWidth="1"/>
    <col min="5" max="5" width="4.85546875" style="46" customWidth="1"/>
    <col min="6" max="6" width="3.28515625" style="46" customWidth="1"/>
    <col min="7" max="10" width="11.42578125" style="46" customWidth="1"/>
    <col min="11" max="11" width="8.42578125" style="46" customWidth="1"/>
    <col min="12" max="12" width="11.42578125" style="46" customWidth="1"/>
    <col min="13" max="13" width="7" style="46" customWidth="1"/>
    <col min="14" max="14" width="13.85546875" style="46" customWidth="1"/>
    <col min="15" max="15" width="3.140625" style="46" customWidth="1"/>
    <col min="16" max="16" width="30.85546875" style="46" customWidth="1"/>
    <col min="17" max="16384" width="14.42578125" style="46"/>
  </cols>
  <sheetData>
    <row r="1" spans="1:18" ht="21.75" customHeight="1">
      <c r="A1" s="44"/>
      <c r="B1" s="44"/>
      <c r="C1" s="44"/>
      <c r="D1" s="45"/>
      <c r="E1" s="45"/>
      <c r="F1" s="45"/>
      <c r="G1" s="156" t="s">
        <v>68</v>
      </c>
      <c r="H1" s="157"/>
      <c r="I1" s="157"/>
      <c r="J1" s="157"/>
      <c r="K1" s="44"/>
      <c r="L1" s="44"/>
      <c r="M1" s="44"/>
      <c r="N1" s="44"/>
      <c r="O1" s="44"/>
    </row>
    <row r="2" spans="1:18" ht="25.5" customHeight="1">
      <c r="A2" s="44"/>
      <c r="B2" s="44"/>
      <c r="C2" s="44"/>
      <c r="D2" s="47"/>
      <c r="E2" s="47"/>
      <c r="F2" s="47"/>
      <c r="G2" s="157"/>
      <c r="H2" s="157"/>
      <c r="I2" s="157"/>
      <c r="J2" s="157"/>
      <c r="K2" s="44"/>
      <c r="L2" s="44"/>
      <c r="M2" s="44"/>
      <c r="N2" s="44"/>
      <c r="O2" s="44"/>
      <c r="P2" s="46" t="s">
        <v>56</v>
      </c>
    </row>
    <row r="3" spans="1:18" ht="17.25" customHeight="1" thickBot="1">
      <c r="A3" s="44"/>
      <c r="B3" s="44"/>
      <c r="C3" s="44"/>
      <c r="D3" s="48"/>
      <c r="E3" s="48"/>
      <c r="F3" s="48"/>
      <c r="G3" s="44"/>
      <c r="H3" s="44"/>
      <c r="I3" s="44"/>
      <c r="J3" s="44"/>
      <c r="K3" s="44"/>
      <c r="L3" s="44"/>
      <c r="M3" s="44"/>
      <c r="N3" s="44"/>
      <c r="O3" s="44"/>
    </row>
    <row r="4" spans="1:18" ht="17.25" customHeight="1">
      <c r="A4" s="44"/>
      <c r="B4" s="158" t="s">
        <v>94</v>
      </c>
      <c r="C4" s="159"/>
      <c r="D4" s="48"/>
      <c r="E4" s="48"/>
      <c r="F4" s="48"/>
      <c r="G4" s="44"/>
      <c r="H4" s="44"/>
      <c r="I4" s="44"/>
      <c r="J4" s="44"/>
      <c r="K4" s="44"/>
      <c r="L4" s="44"/>
      <c r="M4" s="44"/>
      <c r="N4" s="44"/>
      <c r="O4" s="44"/>
      <c r="P4" s="49"/>
      <c r="Q4" s="49" t="s">
        <v>69</v>
      </c>
      <c r="R4" s="49" t="s">
        <v>70</v>
      </c>
    </row>
    <row r="5" spans="1:18" ht="17.25" customHeight="1">
      <c r="A5" s="50" t="s">
        <v>71</v>
      </c>
      <c r="B5" s="50" t="s">
        <v>69</v>
      </c>
      <c r="C5" s="50" t="s">
        <v>70</v>
      </c>
      <c r="D5" s="48"/>
      <c r="E5" s="48"/>
      <c r="F5" s="48"/>
      <c r="G5" s="44"/>
      <c r="H5" s="44"/>
      <c r="I5" s="44"/>
      <c r="J5" s="44"/>
      <c r="K5" s="44"/>
      <c r="L5" s="44"/>
      <c r="M5" s="44"/>
      <c r="N5" s="44"/>
      <c r="O5" s="44"/>
      <c r="P5" s="51" t="s">
        <v>57</v>
      </c>
      <c r="Q5" s="52">
        <v>0.44317958101850902</v>
      </c>
      <c r="R5" s="52">
        <v>0.28883252777777418</v>
      </c>
    </row>
    <row r="6" spans="1:18" ht="17.25" customHeight="1">
      <c r="A6" s="53">
        <v>1</v>
      </c>
      <c r="B6" s="125">
        <v>9.8284750000061594E-2</v>
      </c>
      <c r="C6" s="125">
        <v>5.5193874999986299E-2</v>
      </c>
      <c r="D6" s="48"/>
      <c r="E6" s="48"/>
      <c r="F6" s="48"/>
      <c r="G6" s="44" t="s">
        <v>72</v>
      </c>
      <c r="H6" s="44"/>
      <c r="I6" s="44"/>
      <c r="J6" s="44"/>
      <c r="K6" s="44"/>
      <c r="L6" s="44"/>
      <c r="M6" s="44"/>
      <c r="N6" s="44"/>
      <c r="O6" s="44"/>
      <c r="P6" s="51" t="s">
        <v>58</v>
      </c>
      <c r="Q6" s="54">
        <v>0.14537412548986117</v>
      </c>
      <c r="R6" s="54">
        <v>3.3513903219751534E-2</v>
      </c>
    </row>
    <row r="7" spans="1:18" ht="17.25" customHeight="1">
      <c r="A7" s="53">
        <v>2</v>
      </c>
      <c r="B7" s="125">
        <v>0.25577262500002002</v>
      </c>
      <c r="C7" s="125">
        <v>0.70846087499995747</v>
      </c>
      <c r="D7" s="48"/>
      <c r="E7" s="48"/>
      <c r="F7" s="48"/>
      <c r="G7" s="44"/>
      <c r="H7" s="44"/>
      <c r="I7" s="55" t="s">
        <v>73</v>
      </c>
      <c r="J7" s="56">
        <f>AVERAGE(B6:B23)</f>
        <v>0.22904330555554805</v>
      </c>
      <c r="K7" s="57" t="s">
        <v>74</v>
      </c>
      <c r="L7" s="58">
        <f>COUNT(B6:B23)</f>
        <v>18</v>
      </c>
      <c r="M7" s="57" t="s">
        <v>73</v>
      </c>
      <c r="N7" s="59">
        <f>_xlfn.VAR.S(B6:B23)</f>
        <v>1.9654021983525033E-2</v>
      </c>
      <c r="O7" s="44"/>
      <c r="P7" s="51" t="s">
        <v>59</v>
      </c>
      <c r="Q7" s="51">
        <v>18</v>
      </c>
      <c r="R7" s="51">
        <v>18</v>
      </c>
    </row>
    <row r="8" spans="1:18" ht="17.25" customHeight="1">
      <c r="A8" s="53">
        <v>3</v>
      </c>
      <c r="B8" s="125">
        <v>4.2181249999941897E-2</v>
      </c>
      <c r="C8" s="125">
        <v>4.1722374999949352E-2</v>
      </c>
      <c r="D8" s="48"/>
      <c r="E8" s="48"/>
      <c r="F8" s="48"/>
      <c r="G8" s="44"/>
      <c r="H8" s="44"/>
      <c r="I8" s="60" t="s">
        <v>73</v>
      </c>
      <c r="J8" s="56">
        <f>AVERAGE(C6:C23)</f>
        <v>0.26296994444444349</v>
      </c>
      <c r="K8" s="57" t="s">
        <v>75</v>
      </c>
      <c r="L8" s="58">
        <f>COUNT(C6:C23)</f>
        <v>18</v>
      </c>
      <c r="M8" s="57" t="s">
        <v>73</v>
      </c>
      <c r="N8" s="59">
        <f>_xlfn.VAR.S(C6:C23)</f>
        <v>4.5174652007991589E-2</v>
      </c>
      <c r="O8" s="44"/>
      <c r="P8" s="51" t="s">
        <v>60</v>
      </c>
      <c r="Q8" s="54">
        <v>8.9444014354806353E-2</v>
      </c>
      <c r="R8" s="51"/>
    </row>
    <row r="9" spans="1:18" ht="17.25" customHeight="1">
      <c r="A9" s="53">
        <v>4</v>
      </c>
      <c r="B9" s="125">
        <v>9.1827624999950785E-2</v>
      </c>
      <c r="C9" s="125">
        <v>5.5796249999957581E-3</v>
      </c>
      <c r="D9" s="48"/>
      <c r="E9" s="48"/>
      <c r="F9" s="48"/>
      <c r="G9" s="44"/>
      <c r="H9" s="44"/>
      <c r="I9" s="44"/>
      <c r="J9" s="44"/>
      <c r="K9" s="44"/>
      <c r="L9" s="44"/>
      <c r="M9" s="57" t="s">
        <v>73</v>
      </c>
      <c r="N9" s="59">
        <f>((L7-1)*N7+(L8-1)*N8)/(L7+L8-2)</f>
        <v>3.2414336995758311E-2</v>
      </c>
      <c r="O9" s="44"/>
      <c r="P9" s="51" t="s">
        <v>61</v>
      </c>
      <c r="Q9" s="51">
        <v>0</v>
      </c>
      <c r="R9" s="51"/>
    </row>
    <row r="10" spans="1:18" ht="17.25" customHeight="1">
      <c r="A10" s="53">
        <v>5</v>
      </c>
      <c r="B10" s="125">
        <v>0.32920487499995943</v>
      </c>
      <c r="C10" s="125">
        <v>4.0627374999985477E-2</v>
      </c>
      <c r="D10" s="48"/>
      <c r="E10" s="48"/>
      <c r="F10" s="48"/>
      <c r="G10" s="44"/>
      <c r="H10" s="44"/>
      <c r="I10" s="57" t="s">
        <v>76</v>
      </c>
      <c r="J10" s="61">
        <f>ABS((J7-J8)/SQRT(N7/L7+N8/L8))</f>
        <v>0.56531891854142158</v>
      </c>
      <c r="K10" s="44"/>
      <c r="L10" s="44"/>
      <c r="M10" s="44"/>
      <c r="N10" s="44"/>
      <c r="O10" s="44"/>
      <c r="P10" s="51" t="s">
        <v>62</v>
      </c>
      <c r="Q10" s="51">
        <v>34</v>
      </c>
      <c r="R10" s="51"/>
    </row>
    <row r="11" spans="1:18" ht="17.25" customHeight="1" thickBot="1">
      <c r="A11" s="53">
        <v>6</v>
      </c>
      <c r="B11" s="125">
        <v>9.8853999999960251E-2</v>
      </c>
      <c r="C11" s="125">
        <v>0.12615162499997701</v>
      </c>
      <c r="D11" s="48"/>
      <c r="E11" s="48"/>
      <c r="F11" s="48"/>
      <c r="G11" s="44"/>
      <c r="H11" s="44"/>
      <c r="I11" s="44"/>
      <c r="J11" s="44"/>
      <c r="K11" s="44"/>
      <c r="L11" s="44"/>
      <c r="M11" s="62"/>
      <c r="N11" s="44">
        <f>J10</f>
        <v>0.56531891854142158</v>
      </c>
      <c r="O11" s="44"/>
      <c r="P11" s="51" t="s">
        <v>63</v>
      </c>
      <c r="Q11" s="81">
        <v>1.5482602214075776</v>
      </c>
      <c r="R11" s="51"/>
    </row>
    <row r="12" spans="1:18" ht="17.25" customHeight="1">
      <c r="A12" s="53">
        <v>1</v>
      </c>
      <c r="B12" s="30">
        <v>0.100532624999971</v>
      </c>
      <c r="C12" s="30">
        <v>0.32141712499998221</v>
      </c>
      <c r="D12" s="48"/>
      <c r="E12" s="48"/>
      <c r="F12" s="48"/>
      <c r="G12" s="44"/>
      <c r="H12" s="44"/>
      <c r="I12" s="44"/>
      <c r="J12" s="44"/>
      <c r="K12" s="44"/>
      <c r="L12" s="44"/>
      <c r="M12" s="62"/>
      <c r="N12" s="44"/>
      <c r="O12" s="44"/>
      <c r="P12" s="51" t="s">
        <v>64</v>
      </c>
      <c r="Q12" s="51">
        <v>6.5409292048025119E-2</v>
      </c>
      <c r="R12" s="51"/>
    </row>
    <row r="13" spans="1:18" ht="17.25" customHeight="1">
      <c r="A13" s="53">
        <v>2</v>
      </c>
      <c r="B13" s="125">
        <v>0.12055800000001682</v>
      </c>
      <c r="C13" s="125">
        <v>0.4725016250000067</v>
      </c>
      <c r="D13" s="48"/>
      <c r="E13" s="48"/>
      <c r="F13" s="48"/>
      <c r="G13" s="63" t="s">
        <v>77</v>
      </c>
      <c r="H13" s="63"/>
      <c r="I13" s="64" t="s">
        <v>78</v>
      </c>
      <c r="J13" s="65">
        <f>L7+L8-2</f>
        <v>34</v>
      </c>
      <c r="K13" s="44"/>
      <c r="L13" s="44"/>
      <c r="M13" s="62"/>
      <c r="N13" s="66"/>
      <c r="O13" s="44"/>
      <c r="P13" s="51" t="s">
        <v>65</v>
      </c>
      <c r="Q13" s="51">
        <v>1.6909242551868542</v>
      </c>
      <c r="R13" s="51"/>
    </row>
    <row r="14" spans="1:18" ht="17.25" customHeight="1">
      <c r="A14" s="53">
        <v>3</v>
      </c>
      <c r="B14" s="125">
        <v>0.49262824999993882</v>
      </c>
      <c r="C14" s="125">
        <v>0.56019537499997796</v>
      </c>
      <c r="D14" s="48"/>
      <c r="E14" s="48"/>
      <c r="F14" s="48"/>
      <c r="G14" s="63"/>
      <c r="H14" s="63"/>
      <c r="I14" s="80" t="s">
        <v>79</v>
      </c>
      <c r="J14" s="67">
        <v>0.02</v>
      </c>
      <c r="K14" s="68"/>
      <c r="L14" s="44"/>
      <c r="M14" s="44"/>
      <c r="N14" s="66"/>
      <c r="O14" s="44"/>
      <c r="P14" s="51" t="s">
        <v>66</v>
      </c>
      <c r="Q14" s="54">
        <v>0.13081858409605024</v>
      </c>
      <c r="R14" s="51"/>
    </row>
    <row r="15" spans="1:18" ht="17.25" customHeight="1" thickBot="1">
      <c r="A15" s="53">
        <v>4</v>
      </c>
      <c r="B15" s="125">
        <v>0.22085924999998952</v>
      </c>
      <c r="C15" s="125">
        <v>0.61811150000005455</v>
      </c>
      <c r="D15" s="48"/>
      <c r="E15" s="48"/>
      <c r="F15" s="48"/>
      <c r="G15" s="63"/>
      <c r="H15" s="63"/>
      <c r="I15" s="63"/>
      <c r="J15" s="63"/>
      <c r="K15" s="44"/>
      <c r="L15" s="44"/>
      <c r="M15" s="44"/>
      <c r="N15" s="44"/>
      <c r="O15" s="44"/>
      <c r="P15" s="69" t="s">
        <v>67</v>
      </c>
      <c r="Q15" s="70">
        <v>2.0322445093177191</v>
      </c>
      <c r="R15" s="69"/>
    </row>
    <row r="16" spans="1:18" ht="17.25" customHeight="1">
      <c r="A16" s="53">
        <v>5</v>
      </c>
      <c r="B16" s="125">
        <v>0.32452975000001061</v>
      </c>
      <c r="C16" s="125">
        <v>0.36056924999996909</v>
      </c>
      <c r="D16" s="48"/>
      <c r="E16" s="48"/>
      <c r="F16" s="48"/>
      <c r="G16" s="63"/>
      <c r="H16" s="63"/>
      <c r="I16" s="71" t="s">
        <v>73</v>
      </c>
      <c r="J16" s="72">
        <f>_xlfn.T.INV.2T(J14,J13)</f>
        <v>2.4411496279064839</v>
      </c>
      <c r="K16" s="73"/>
      <c r="L16" s="62">
        <f>-J16</f>
        <v>-2.4411496279064839</v>
      </c>
      <c r="M16" s="44"/>
      <c r="N16" s="74">
        <f>J16</f>
        <v>2.4411496279064839</v>
      </c>
      <c r="O16" s="44"/>
    </row>
    <row r="17" spans="1:15" ht="17.25" customHeight="1" thickBot="1">
      <c r="A17" s="53">
        <v>6</v>
      </c>
      <c r="B17" s="34">
        <v>0.128905374999988</v>
      </c>
      <c r="C17" s="34">
        <v>0.22221050000007381</v>
      </c>
      <c r="D17" s="48"/>
      <c r="E17" s="48"/>
      <c r="F17" s="48"/>
      <c r="G17" s="63"/>
      <c r="H17" s="63"/>
      <c r="I17" s="63" t="s">
        <v>80</v>
      </c>
      <c r="J17" s="72">
        <f>_xlfn.T.DIST.2T(J10,J13)</f>
        <v>0.57556864479223446</v>
      </c>
      <c r="K17" s="44" t="s">
        <v>83</v>
      </c>
      <c r="L17" s="44"/>
      <c r="M17" s="44"/>
      <c r="N17" s="44"/>
      <c r="O17" s="44"/>
    </row>
    <row r="18" spans="1:15" ht="17.25" customHeight="1">
      <c r="A18" s="53">
        <v>1</v>
      </c>
      <c r="B18" s="30">
        <v>0.32271024999999998</v>
      </c>
      <c r="C18" s="30">
        <v>0.208594500000061</v>
      </c>
      <c r="D18" s="48"/>
      <c r="E18" s="48"/>
      <c r="F18" s="48"/>
      <c r="G18" s="44"/>
      <c r="H18" s="75"/>
      <c r="I18" s="44"/>
      <c r="J18" s="44"/>
      <c r="K18" s="44"/>
      <c r="L18" s="44"/>
      <c r="M18" s="44"/>
      <c r="N18" s="44"/>
      <c r="O18" s="44"/>
    </row>
    <row r="19" spans="1:15" ht="17.25" customHeight="1">
      <c r="A19" s="53">
        <v>2</v>
      </c>
      <c r="B19" s="125">
        <v>0.139048750000029</v>
      </c>
      <c r="C19" s="125">
        <v>0.27790475000000497</v>
      </c>
      <c r="D19" s="48"/>
      <c r="E19" s="48"/>
      <c r="F19" s="48"/>
      <c r="G19" s="57" t="s">
        <v>81</v>
      </c>
      <c r="H19" s="76" t="s">
        <v>116</v>
      </c>
      <c r="I19" s="44"/>
      <c r="J19" s="44"/>
      <c r="K19" s="44"/>
      <c r="L19" s="44"/>
      <c r="M19" s="44"/>
      <c r="N19" s="44"/>
      <c r="O19" s="44"/>
    </row>
    <row r="20" spans="1:15" ht="17.25" customHeight="1">
      <c r="A20" s="53">
        <v>3</v>
      </c>
      <c r="B20" s="125">
        <v>0.42702100000002502</v>
      </c>
      <c r="C20" s="125">
        <v>0.32987212500006502</v>
      </c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</row>
    <row r="21" spans="1:15" ht="17.25" customHeight="1">
      <c r="A21" s="53">
        <v>4</v>
      </c>
      <c r="B21" s="125">
        <v>0.45728500000001299</v>
      </c>
      <c r="C21" s="125">
        <v>9.8009124999975938E-2</v>
      </c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</row>
    <row r="22" spans="1:15" ht="17.25" customHeight="1">
      <c r="A22" s="53">
        <v>5</v>
      </c>
      <c r="B22" s="125">
        <v>0.30818625000000599</v>
      </c>
      <c r="C22" s="125">
        <v>0.19988224999997301</v>
      </c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</row>
    <row r="23" spans="1:15" ht="17.25" customHeight="1" thickBot="1">
      <c r="A23" s="53">
        <v>6</v>
      </c>
      <c r="B23" s="34">
        <v>0.164389874999983</v>
      </c>
      <c r="C23" s="34">
        <v>8.645512499998631E-2</v>
      </c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</row>
    <row r="24" spans="1:15" ht="17.25" customHeight="1">
      <c r="A24" s="44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</row>
    <row r="25" spans="1:15" ht="17.25" customHeight="1">
      <c r="A25" s="44"/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</row>
    <row r="26" spans="1:15" ht="17.25" customHeight="1">
      <c r="A26" s="44"/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</row>
    <row r="27" spans="1:15" ht="17.25" customHeight="1">
      <c r="A27" s="44"/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</row>
    <row r="28" spans="1:15" ht="17.25" customHeight="1">
      <c r="A28" s="44"/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</row>
    <row r="29" spans="1:15" ht="17.25" customHeight="1">
      <c r="A29" s="44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</row>
    <row r="30" spans="1:15" ht="17.25" customHeight="1">
      <c r="A30" s="44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</row>
    <row r="31" spans="1:15" ht="17.25" customHeight="1">
      <c r="A31" s="44"/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</row>
    <row r="32" spans="1:15" ht="17.25" customHeight="1">
      <c r="A32" s="44"/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</row>
    <row r="33" spans="1:15" ht="17.25" customHeight="1">
      <c r="A33" s="44"/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</row>
    <row r="34" spans="1:15" ht="17.25" customHeight="1">
      <c r="A34" s="44"/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</row>
    <row r="35" spans="1:15" ht="17.25" customHeight="1">
      <c r="A35" s="44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</row>
    <row r="36" spans="1:15" ht="17.25" customHeight="1">
      <c r="A36" s="44"/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</row>
    <row r="37" spans="1:15" ht="17.25" customHeight="1">
      <c r="A37" s="44"/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</row>
    <row r="38" spans="1:15" ht="17.25" customHeight="1">
      <c r="A38" s="44"/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</row>
    <row r="39" spans="1:15" ht="17.25" customHeight="1">
      <c r="A39" s="44"/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</row>
    <row r="40" spans="1:15" ht="17.25" customHeight="1">
      <c r="A40" s="44"/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</row>
    <row r="41" spans="1:15" ht="17.25" customHeight="1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</row>
    <row r="42" spans="1:15" ht="17.25" customHeight="1">
      <c r="A42" s="44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</row>
    <row r="43" spans="1:15" ht="17.25" customHeight="1">
      <c r="A43" s="44"/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</row>
    <row r="44" spans="1:15" ht="17.25" customHeight="1">
      <c r="A44" s="44"/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</row>
    <row r="45" spans="1:15" ht="17.25" customHeight="1">
      <c r="A45" s="44"/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</row>
    <row r="46" spans="1:15" ht="17.25" customHeight="1">
      <c r="A46" s="44"/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</row>
    <row r="47" spans="1:15" ht="17.25" customHeight="1">
      <c r="A47" s="44"/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</row>
    <row r="48" spans="1:15" ht="17.25" customHeight="1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</row>
    <row r="49" spans="1:15" ht="17.25" customHeight="1">
      <c r="A49" s="44"/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</row>
    <row r="50" spans="1:15" ht="17.25" customHeight="1">
      <c r="A50" s="44"/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</row>
    <row r="51" spans="1:15" ht="17.25" customHeight="1">
      <c r="A51" s="44"/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</row>
    <row r="52" spans="1:15" ht="17.25" customHeight="1">
      <c r="A52" s="44"/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</row>
    <row r="53" spans="1:15" ht="17.25" customHeight="1">
      <c r="A53" s="44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</row>
    <row r="54" spans="1:15" ht="17.25" customHeight="1">
      <c r="A54" s="44"/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</row>
    <row r="55" spans="1:15" ht="17.25" customHeight="1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</row>
    <row r="56" spans="1:15" ht="17.25" customHeight="1">
      <c r="A56" s="44"/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</row>
    <row r="57" spans="1:15" ht="17.25" customHeight="1">
      <c r="A57" s="44"/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</row>
    <row r="58" spans="1:15" ht="17.25" customHeight="1">
      <c r="A58" s="44"/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</row>
    <row r="59" spans="1:15" ht="17.25" customHeight="1">
      <c r="A59" s="44"/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</row>
    <row r="60" spans="1:15" ht="17.25" customHeight="1">
      <c r="A60" s="44"/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</row>
    <row r="61" spans="1:15" ht="17.25" customHeight="1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</row>
    <row r="62" spans="1:15" ht="17.25" customHeight="1">
      <c r="A62" s="44"/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</row>
    <row r="63" spans="1:15" ht="17.25" customHeight="1">
      <c r="A63" s="44"/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</row>
    <row r="64" spans="1:15" ht="17.25" customHeight="1">
      <c r="A64" s="44"/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</row>
    <row r="65" spans="1:15" ht="17.25" customHeight="1">
      <c r="A65" s="44"/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</row>
    <row r="66" spans="1:15" ht="17.25" customHeight="1">
      <c r="A66" s="44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</row>
    <row r="67" spans="1:15" ht="17.25" customHeight="1">
      <c r="A67" s="44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</row>
    <row r="68" spans="1:15" ht="17.25" customHeight="1">
      <c r="A68" s="44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</row>
    <row r="69" spans="1:15" ht="17.25" customHeight="1">
      <c r="A69" s="44"/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</row>
    <row r="70" spans="1:15" ht="17.25" customHeight="1">
      <c r="A70" s="44"/>
      <c r="B70" s="44"/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</row>
    <row r="71" spans="1:15" ht="17.25" customHeight="1">
      <c r="A71" s="44"/>
      <c r="B71" s="44"/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</row>
    <row r="72" spans="1:15" ht="17.25" customHeight="1">
      <c r="A72" s="44"/>
      <c r="B72" s="44"/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</row>
    <row r="73" spans="1:15" ht="17.25" customHeight="1">
      <c r="A73" s="44"/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</row>
    <row r="74" spans="1:15" ht="17.25" customHeight="1">
      <c r="A74" s="44"/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</row>
    <row r="75" spans="1:15" ht="17.25" customHeight="1">
      <c r="A75" s="44"/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</row>
    <row r="76" spans="1:15" ht="17.25" customHeight="1">
      <c r="A76" s="44"/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</row>
    <row r="77" spans="1:15" ht="17.25" customHeight="1">
      <c r="A77" s="44"/>
      <c r="B77" s="44"/>
      <c r="C77" s="44"/>
      <c r="D77" s="44"/>
      <c r="E77" s="44"/>
      <c r="F77" s="44"/>
      <c r="G77" s="44"/>
      <c r="H77" s="44"/>
      <c r="I77" s="44"/>
      <c r="J77" s="44"/>
      <c r="K77" s="44"/>
      <c r="L77" s="44"/>
      <c r="M77" s="44"/>
      <c r="N77" s="44"/>
      <c r="O77" s="44"/>
    </row>
    <row r="78" spans="1:15" ht="17.25" customHeight="1">
      <c r="A78" s="44"/>
      <c r="B78" s="44"/>
      <c r="C78" s="44"/>
      <c r="D78" s="44"/>
      <c r="E78" s="44"/>
      <c r="F78" s="44"/>
      <c r="G78" s="44"/>
      <c r="H78" s="44"/>
      <c r="I78" s="44"/>
      <c r="J78" s="44"/>
      <c r="K78" s="44"/>
      <c r="L78" s="44"/>
      <c r="M78" s="44"/>
      <c r="N78" s="44"/>
      <c r="O78" s="44"/>
    </row>
    <row r="79" spans="1:15" ht="17.25" customHeight="1">
      <c r="A79" s="44"/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</row>
    <row r="80" spans="1:15" ht="17.25" customHeight="1">
      <c r="A80" s="44"/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</row>
    <row r="81" spans="1:15" ht="17.25" customHeight="1">
      <c r="A81" s="44"/>
      <c r="B81" s="44"/>
      <c r="C81" s="44"/>
      <c r="D81" s="44"/>
      <c r="E81" s="44"/>
      <c r="F81" s="44"/>
      <c r="G81" s="44"/>
      <c r="H81" s="44"/>
      <c r="I81" s="44"/>
      <c r="J81" s="44"/>
      <c r="K81" s="44"/>
      <c r="L81" s="44"/>
      <c r="M81" s="44"/>
      <c r="N81" s="44"/>
      <c r="O81" s="44"/>
    </row>
    <row r="82" spans="1:15" ht="17.25" customHeight="1">
      <c r="A82" s="44"/>
      <c r="B82" s="44"/>
      <c r="C82" s="44"/>
      <c r="D82" s="44"/>
      <c r="E82" s="44"/>
      <c r="F82" s="44"/>
      <c r="G82" s="44"/>
      <c r="H82" s="44"/>
      <c r="I82" s="44"/>
      <c r="J82" s="44"/>
      <c r="K82" s="44"/>
      <c r="L82" s="44"/>
      <c r="M82" s="44"/>
      <c r="N82" s="44"/>
      <c r="O82" s="44"/>
    </row>
    <row r="83" spans="1:15" ht="17.25" customHeight="1">
      <c r="A83" s="44"/>
      <c r="B83" s="44"/>
      <c r="C83" s="44"/>
      <c r="D83" s="44"/>
      <c r="E83" s="44"/>
      <c r="F83" s="44"/>
      <c r="G83" s="44"/>
      <c r="H83" s="44"/>
      <c r="I83" s="44"/>
      <c r="J83" s="44"/>
      <c r="K83" s="44"/>
      <c r="L83" s="44"/>
      <c r="M83" s="44"/>
      <c r="N83" s="44"/>
      <c r="O83" s="44"/>
    </row>
    <row r="84" spans="1:15" ht="17.25" customHeight="1">
      <c r="A84" s="44"/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M84" s="44"/>
      <c r="N84" s="44"/>
      <c r="O84" s="44"/>
    </row>
    <row r="85" spans="1:15" ht="17.25" customHeight="1">
      <c r="A85" s="44"/>
      <c r="B85" s="44"/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</row>
    <row r="86" spans="1:15" ht="17.25" customHeight="1">
      <c r="A86" s="44"/>
      <c r="B86" s="44"/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</row>
    <row r="87" spans="1:15" ht="17.25" customHeight="1">
      <c r="A87" s="44"/>
      <c r="B87" s="44"/>
      <c r="C87" s="44"/>
      <c r="D87" s="44"/>
      <c r="E87" s="44"/>
      <c r="F87" s="44"/>
      <c r="G87" s="44"/>
      <c r="H87" s="44"/>
      <c r="I87" s="44"/>
      <c r="J87" s="44"/>
      <c r="K87" s="44"/>
      <c r="L87" s="44"/>
      <c r="M87" s="44"/>
      <c r="N87" s="44"/>
      <c r="O87" s="44"/>
    </row>
    <row r="88" spans="1:15" ht="17.25" customHeight="1">
      <c r="A88" s="44"/>
      <c r="B88" s="44"/>
      <c r="C88" s="44"/>
      <c r="D88" s="44"/>
      <c r="E88" s="44"/>
      <c r="F88" s="44"/>
      <c r="G88" s="44"/>
      <c r="H88" s="44"/>
      <c r="I88" s="44"/>
      <c r="J88" s="44"/>
      <c r="K88" s="44"/>
      <c r="L88" s="44"/>
      <c r="M88" s="44"/>
      <c r="N88" s="44"/>
      <c r="O88" s="44"/>
    </row>
    <row r="89" spans="1:15" ht="17.25" customHeight="1">
      <c r="A89" s="44"/>
      <c r="B89" s="44"/>
      <c r="C89" s="44"/>
      <c r="D89" s="44"/>
      <c r="E89" s="44"/>
      <c r="F89" s="44"/>
      <c r="G89" s="44"/>
      <c r="H89" s="44"/>
      <c r="I89" s="44"/>
      <c r="J89" s="44"/>
      <c r="K89" s="44"/>
      <c r="L89" s="44"/>
      <c r="M89" s="44"/>
      <c r="N89" s="44"/>
      <c r="O89" s="44"/>
    </row>
    <row r="90" spans="1:15" ht="17.25" customHeight="1">
      <c r="A90" s="44"/>
      <c r="B90" s="44"/>
      <c r="C90" s="44"/>
      <c r="D90" s="44"/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44"/>
    </row>
    <row r="91" spans="1:15" ht="17.25" customHeight="1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</row>
    <row r="92" spans="1:15" ht="17.25" customHeight="1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</row>
    <row r="93" spans="1:15" ht="17.25" customHeight="1">
      <c r="A93" s="44"/>
      <c r="B93" s="44"/>
      <c r="C93" s="44"/>
      <c r="D93" s="44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</row>
    <row r="94" spans="1:15" ht="17.25" customHeight="1">
      <c r="A94" s="44"/>
      <c r="B94" s="44"/>
      <c r="C94" s="44"/>
      <c r="D94" s="44"/>
      <c r="E94" s="44"/>
      <c r="F94" s="44"/>
      <c r="G94" s="44"/>
      <c r="H94" s="44"/>
      <c r="I94" s="44"/>
      <c r="J94" s="44"/>
      <c r="K94" s="44"/>
      <c r="L94" s="44"/>
      <c r="M94" s="44"/>
      <c r="N94" s="44"/>
      <c r="O94" s="44"/>
    </row>
    <row r="95" spans="1:15" ht="17.25" customHeight="1">
      <c r="A95" s="44"/>
      <c r="B95" s="44"/>
      <c r="C95" s="44"/>
      <c r="D95" s="44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</row>
    <row r="96" spans="1:15" ht="17.25" customHeight="1">
      <c r="A96" s="44"/>
      <c r="B96" s="44"/>
      <c r="C96" s="44"/>
      <c r="D96" s="44"/>
      <c r="E96" s="44"/>
      <c r="F96" s="44"/>
      <c r="G96" s="44"/>
      <c r="H96" s="44"/>
      <c r="I96" s="44"/>
      <c r="J96" s="44"/>
      <c r="K96" s="44"/>
      <c r="L96" s="44"/>
      <c r="M96" s="44"/>
      <c r="N96" s="44"/>
      <c r="O96" s="44"/>
    </row>
    <row r="97" spans="1:15" ht="17.25" customHeight="1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</row>
    <row r="98" spans="1:15" ht="17.25" customHeight="1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</row>
    <row r="99" spans="1:15" ht="17.25" customHeight="1">
      <c r="A99" s="44"/>
      <c r="B99" s="44"/>
      <c r="C99" s="44"/>
      <c r="D99" s="44"/>
      <c r="E99" s="44"/>
      <c r="F99" s="44"/>
      <c r="G99" s="44"/>
      <c r="H99" s="44"/>
      <c r="I99" s="44"/>
      <c r="J99" s="44"/>
      <c r="K99" s="44"/>
      <c r="L99" s="44"/>
      <c r="M99" s="44"/>
      <c r="N99" s="44"/>
      <c r="O99" s="44"/>
    </row>
    <row r="100" spans="1:15" ht="17.25" customHeight="1">
      <c r="A100" s="44"/>
      <c r="B100" s="44"/>
      <c r="C100" s="44"/>
      <c r="D100" s="44"/>
      <c r="E100" s="44"/>
      <c r="F100" s="44"/>
      <c r="G100" s="44"/>
      <c r="H100" s="44"/>
      <c r="I100" s="44"/>
      <c r="J100" s="44"/>
      <c r="K100" s="44"/>
      <c r="L100" s="44"/>
      <c r="M100" s="44"/>
      <c r="N100" s="44"/>
      <c r="O100" s="44"/>
    </row>
    <row r="101" spans="1:15" ht="17.25" customHeight="1">
      <c r="A101" s="44"/>
      <c r="B101" s="44"/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44"/>
    </row>
    <row r="102" spans="1:15" ht="17.25" customHeight="1">
      <c r="A102" s="44"/>
      <c r="B102" s="44"/>
      <c r="C102" s="44"/>
      <c r="D102" s="44"/>
      <c r="E102" s="44"/>
      <c r="F102" s="44"/>
      <c r="G102" s="44"/>
      <c r="H102" s="44"/>
      <c r="I102" s="44"/>
      <c r="J102" s="44"/>
      <c r="K102" s="44"/>
      <c r="L102" s="44"/>
      <c r="M102" s="44"/>
      <c r="N102" s="44"/>
      <c r="O102" s="44"/>
    </row>
    <row r="103" spans="1:15" ht="17.25" customHeight="1">
      <c r="A103" s="44"/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</row>
    <row r="104" spans="1:15" ht="17.25" customHeight="1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</row>
    <row r="105" spans="1:15" ht="17.25" customHeight="1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</row>
    <row r="106" spans="1:15" ht="17.25" customHeight="1">
      <c r="A106" s="44"/>
      <c r="B106" s="44"/>
      <c r="C106" s="44"/>
      <c r="D106" s="44"/>
      <c r="E106" s="44"/>
      <c r="F106" s="44"/>
      <c r="G106" s="44"/>
      <c r="H106" s="44"/>
      <c r="I106" s="44"/>
      <c r="J106" s="44"/>
      <c r="K106" s="44"/>
      <c r="L106" s="44"/>
      <c r="M106" s="44"/>
      <c r="N106" s="44"/>
      <c r="O106" s="44"/>
    </row>
    <row r="107" spans="1:15" ht="17.25" customHeight="1">
      <c r="A107" s="44"/>
      <c r="B107" s="44"/>
      <c r="C107" s="44"/>
      <c r="D107" s="44"/>
      <c r="E107" s="44"/>
      <c r="F107" s="44"/>
      <c r="G107" s="44"/>
      <c r="H107" s="44"/>
      <c r="I107" s="44"/>
      <c r="J107" s="44"/>
      <c r="K107" s="44"/>
      <c r="L107" s="44"/>
      <c r="M107" s="44"/>
      <c r="N107" s="44"/>
      <c r="O107" s="44"/>
    </row>
    <row r="108" spans="1:15" ht="17.25" customHeight="1">
      <c r="A108" s="44"/>
      <c r="B108" s="44"/>
      <c r="C108" s="44"/>
      <c r="D108" s="44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</row>
    <row r="109" spans="1:15" ht="17.25" customHeight="1">
      <c r="A109" s="44"/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  <c r="N109" s="44"/>
      <c r="O109" s="44"/>
    </row>
    <row r="110" spans="1:15" ht="17.25" customHeight="1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</row>
    <row r="111" spans="1:15" ht="17.25" customHeight="1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</row>
    <row r="112" spans="1:15" ht="17.25" customHeight="1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</row>
    <row r="113" spans="1:15" ht="17.25" customHeight="1">
      <c r="A113" s="44"/>
      <c r="B113" s="44"/>
      <c r="C113" s="44"/>
      <c r="D113" s="44"/>
      <c r="E113" s="44"/>
      <c r="F113" s="44"/>
      <c r="G113" s="44"/>
      <c r="H113" s="44"/>
      <c r="I113" s="44"/>
      <c r="J113" s="44"/>
      <c r="K113" s="44"/>
      <c r="L113" s="44"/>
      <c r="M113" s="44"/>
      <c r="N113" s="44"/>
      <c r="O113" s="44"/>
    </row>
    <row r="114" spans="1:15" ht="17.25" customHeight="1">
      <c r="A114" s="44"/>
      <c r="B114" s="44"/>
      <c r="C114" s="44"/>
      <c r="D114" s="44"/>
      <c r="E114" s="44"/>
      <c r="F114" s="44"/>
      <c r="G114" s="44"/>
      <c r="H114" s="44"/>
      <c r="I114" s="44"/>
      <c r="J114" s="44"/>
      <c r="K114" s="44"/>
      <c r="L114" s="44"/>
      <c r="M114" s="44"/>
      <c r="N114" s="44"/>
      <c r="O114" s="44"/>
    </row>
    <row r="115" spans="1:15" ht="17.25" customHeight="1">
      <c r="A115" s="44"/>
      <c r="B115" s="44"/>
      <c r="C115" s="44"/>
      <c r="D115" s="44"/>
      <c r="E115" s="44"/>
      <c r="F115" s="44"/>
      <c r="G115" s="44"/>
      <c r="H115" s="44"/>
      <c r="I115" s="44"/>
      <c r="J115" s="44"/>
      <c r="K115" s="44"/>
      <c r="L115" s="44"/>
      <c r="M115" s="44"/>
      <c r="N115" s="44"/>
      <c r="O115" s="44"/>
    </row>
    <row r="116" spans="1:15" ht="17.25" customHeight="1">
      <c r="A116" s="44"/>
      <c r="B116" s="44"/>
      <c r="C116" s="44"/>
      <c r="D116" s="44"/>
      <c r="E116" s="44"/>
      <c r="F116" s="44"/>
      <c r="G116" s="44"/>
      <c r="H116" s="44"/>
      <c r="I116" s="44"/>
      <c r="J116" s="44"/>
      <c r="K116" s="44"/>
      <c r="L116" s="44"/>
      <c r="M116" s="44"/>
      <c r="N116" s="44"/>
      <c r="O116" s="44"/>
    </row>
    <row r="117" spans="1:15" ht="17.25" customHeight="1">
      <c r="A117" s="44"/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</row>
    <row r="118" spans="1:15" ht="17.25" customHeight="1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</row>
    <row r="119" spans="1:15" ht="17.25" customHeight="1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</row>
    <row r="120" spans="1:15" ht="17.25" customHeight="1">
      <c r="A120" s="44"/>
      <c r="B120" s="44"/>
      <c r="C120" s="44"/>
      <c r="D120" s="44"/>
      <c r="E120" s="44"/>
      <c r="F120" s="44"/>
      <c r="G120" s="44"/>
      <c r="H120" s="44"/>
      <c r="I120" s="44"/>
      <c r="J120" s="44"/>
      <c r="K120" s="44"/>
      <c r="L120" s="44"/>
      <c r="M120" s="44"/>
      <c r="N120" s="44"/>
      <c r="O120" s="44"/>
    </row>
    <row r="121" spans="1:15" ht="17.25" customHeight="1">
      <c r="A121" s="44"/>
      <c r="B121" s="44"/>
      <c r="C121" s="44"/>
      <c r="D121" s="44"/>
      <c r="E121" s="44"/>
      <c r="F121" s="44"/>
      <c r="G121" s="44"/>
      <c r="H121" s="44"/>
      <c r="I121" s="44"/>
      <c r="J121" s="44"/>
      <c r="K121" s="44"/>
      <c r="L121" s="44"/>
      <c r="M121" s="44"/>
      <c r="N121" s="44"/>
      <c r="O121" s="44"/>
    </row>
    <row r="122" spans="1:15" ht="17.25" customHeight="1">
      <c r="A122" s="44"/>
      <c r="B122" s="44"/>
      <c r="C122" s="44"/>
      <c r="D122" s="44"/>
      <c r="E122" s="44"/>
      <c r="F122" s="44"/>
      <c r="G122" s="44"/>
      <c r="H122" s="44"/>
      <c r="I122" s="44"/>
      <c r="J122" s="44"/>
      <c r="K122" s="44"/>
      <c r="L122" s="44"/>
      <c r="M122" s="44"/>
      <c r="N122" s="44"/>
      <c r="O122" s="44"/>
    </row>
    <row r="123" spans="1:15" ht="17.25" customHeight="1">
      <c r="A123" s="44"/>
      <c r="B123" s="44"/>
      <c r="C123" s="44"/>
      <c r="D123" s="44"/>
      <c r="E123" s="44"/>
      <c r="F123" s="44"/>
      <c r="G123" s="44"/>
      <c r="H123" s="44"/>
      <c r="I123" s="44"/>
      <c r="J123" s="44"/>
      <c r="K123" s="44"/>
      <c r="L123" s="44"/>
      <c r="M123" s="44"/>
      <c r="N123" s="44"/>
      <c r="O123" s="44"/>
    </row>
    <row r="124" spans="1:15" ht="17.25" customHeight="1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</row>
    <row r="125" spans="1:15" ht="17.25" customHeight="1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</row>
    <row r="126" spans="1:15" ht="17.25" customHeight="1">
      <c r="A126" s="44"/>
      <c r="B126" s="44"/>
      <c r="C126" s="44"/>
      <c r="D126" s="44"/>
      <c r="E126" s="44"/>
      <c r="F126" s="44"/>
      <c r="G126" s="44"/>
      <c r="H126" s="44"/>
      <c r="I126" s="44"/>
      <c r="J126" s="44"/>
      <c r="K126" s="44"/>
      <c r="L126" s="44"/>
      <c r="M126" s="44"/>
      <c r="N126" s="44"/>
      <c r="O126" s="44"/>
    </row>
    <row r="127" spans="1:15" ht="17.25" customHeight="1">
      <c r="A127" s="44"/>
      <c r="B127" s="44"/>
      <c r="C127" s="44"/>
      <c r="D127" s="44"/>
      <c r="E127" s="44"/>
      <c r="F127" s="44"/>
      <c r="G127" s="44"/>
      <c r="H127" s="44"/>
      <c r="I127" s="44"/>
      <c r="J127" s="44"/>
      <c r="K127" s="44"/>
      <c r="L127" s="44"/>
      <c r="M127" s="44"/>
      <c r="N127" s="44"/>
      <c r="O127" s="44"/>
    </row>
    <row r="128" spans="1:15" ht="17.25" customHeight="1">
      <c r="A128" s="44"/>
      <c r="B128" s="44"/>
      <c r="C128" s="44"/>
      <c r="D128" s="44"/>
      <c r="E128" s="44"/>
      <c r="F128" s="44"/>
      <c r="G128" s="44"/>
      <c r="H128" s="44"/>
      <c r="I128" s="44"/>
      <c r="J128" s="44"/>
      <c r="K128" s="44"/>
      <c r="L128" s="44"/>
      <c r="M128" s="44"/>
      <c r="N128" s="44"/>
      <c r="O128" s="44"/>
    </row>
    <row r="129" spans="1:15" ht="17.25" customHeight="1">
      <c r="A129" s="44"/>
      <c r="B129" s="44"/>
      <c r="C129" s="44"/>
      <c r="D129" s="44"/>
      <c r="E129" s="44"/>
      <c r="F129" s="44"/>
      <c r="G129" s="44"/>
      <c r="H129" s="44"/>
      <c r="I129" s="44"/>
      <c r="J129" s="44"/>
      <c r="K129" s="44"/>
      <c r="L129" s="44"/>
      <c r="M129" s="44"/>
      <c r="N129" s="44"/>
      <c r="O129" s="44"/>
    </row>
    <row r="130" spans="1:15" ht="17.25" customHeight="1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</row>
    <row r="131" spans="1:15" ht="17.25" customHeight="1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</row>
    <row r="132" spans="1:15" ht="17.25" customHeight="1">
      <c r="A132" s="44"/>
      <c r="B132" s="44"/>
      <c r="C132" s="44"/>
      <c r="D132" s="44"/>
      <c r="E132" s="44"/>
      <c r="F132" s="44"/>
      <c r="G132" s="44"/>
      <c r="H132" s="44"/>
      <c r="I132" s="44"/>
      <c r="J132" s="44"/>
      <c r="K132" s="44"/>
      <c r="L132" s="44"/>
      <c r="M132" s="44"/>
      <c r="N132" s="44"/>
      <c r="O132" s="44"/>
    </row>
    <row r="133" spans="1:15" ht="17.25" customHeight="1">
      <c r="A133" s="44"/>
      <c r="B133" s="44"/>
      <c r="C133" s="44"/>
      <c r="D133" s="44"/>
      <c r="E133" s="44"/>
      <c r="F133" s="44"/>
      <c r="G133" s="44"/>
      <c r="H133" s="44"/>
      <c r="I133" s="44"/>
      <c r="J133" s="44"/>
      <c r="K133" s="44"/>
      <c r="L133" s="44"/>
      <c r="M133" s="44"/>
      <c r="N133" s="44"/>
      <c r="O133" s="44"/>
    </row>
    <row r="134" spans="1:15" ht="17.25" customHeight="1">
      <c r="A134" s="44"/>
      <c r="B134" s="44"/>
      <c r="C134" s="44"/>
      <c r="D134" s="44"/>
      <c r="E134" s="44"/>
      <c r="F134" s="44"/>
      <c r="G134" s="44"/>
      <c r="H134" s="44"/>
      <c r="I134" s="44"/>
      <c r="J134" s="44"/>
      <c r="K134" s="44"/>
      <c r="L134" s="44"/>
      <c r="M134" s="44"/>
      <c r="N134" s="44"/>
      <c r="O134" s="44"/>
    </row>
    <row r="135" spans="1:15" ht="17.25" customHeight="1">
      <c r="A135" s="44"/>
      <c r="B135" s="44"/>
      <c r="C135" s="44"/>
      <c r="D135" s="44"/>
      <c r="E135" s="44"/>
      <c r="F135" s="44"/>
      <c r="G135" s="44"/>
      <c r="H135" s="44"/>
      <c r="I135" s="44"/>
      <c r="J135" s="44"/>
      <c r="K135" s="44"/>
      <c r="L135" s="44"/>
      <c r="M135" s="44"/>
      <c r="N135" s="44"/>
      <c r="O135" s="44"/>
    </row>
    <row r="136" spans="1:15" ht="17.25" customHeight="1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</row>
    <row r="137" spans="1:15" ht="17.25" customHeight="1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</row>
    <row r="138" spans="1:15" ht="17.25" customHeight="1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</row>
    <row r="139" spans="1:15" ht="17.25" customHeight="1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</row>
    <row r="140" spans="1:15" ht="17.25" customHeight="1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</row>
    <row r="141" spans="1:15" ht="17.25" customHeight="1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</row>
    <row r="142" spans="1:15" ht="17.25" customHeight="1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</row>
    <row r="143" spans="1:15" ht="17.25" customHeight="1">
      <c r="A143" s="44"/>
      <c r="B143" s="44"/>
      <c r="C143" s="44"/>
      <c r="D143" s="44"/>
      <c r="E143" s="44"/>
      <c r="F143" s="44"/>
      <c r="G143" s="44"/>
      <c r="H143" s="44"/>
      <c r="I143" s="44"/>
      <c r="J143" s="44"/>
      <c r="K143" s="44"/>
      <c r="L143" s="44"/>
      <c r="M143" s="44"/>
      <c r="N143" s="44"/>
      <c r="O143" s="44"/>
    </row>
    <row r="144" spans="1:15" ht="17.25" customHeight="1">
      <c r="A144" s="44"/>
      <c r="B144" s="44"/>
      <c r="C144" s="44"/>
      <c r="D144" s="44"/>
      <c r="E144" s="44"/>
      <c r="F144" s="44"/>
      <c r="G144" s="44"/>
      <c r="H144" s="44"/>
      <c r="I144" s="44"/>
      <c r="J144" s="44"/>
      <c r="K144" s="44"/>
      <c r="L144" s="44"/>
      <c r="M144" s="44"/>
      <c r="N144" s="44"/>
      <c r="O144" s="44"/>
    </row>
    <row r="145" spans="1:15" ht="17.25" customHeight="1">
      <c r="A145" s="44"/>
      <c r="B145" s="44"/>
      <c r="C145" s="44"/>
      <c r="D145" s="44"/>
      <c r="E145" s="44"/>
      <c r="F145" s="44"/>
      <c r="G145" s="44"/>
      <c r="H145" s="44"/>
      <c r="I145" s="44"/>
      <c r="J145" s="44"/>
      <c r="K145" s="44"/>
      <c r="L145" s="44"/>
      <c r="M145" s="44"/>
      <c r="N145" s="44"/>
      <c r="O145" s="44"/>
    </row>
    <row r="146" spans="1:15" ht="17.25" customHeight="1">
      <c r="A146" s="44"/>
      <c r="B146" s="44"/>
      <c r="C146" s="44"/>
      <c r="D146" s="44"/>
      <c r="E146" s="44"/>
      <c r="F146" s="44"/>
      <c r="G146" s="44"/>
      <c r="H146" s="44"/>
      <c r="I146" s="44"/>
      <c r="J146" s="44"/>
      <c r="K146" s="44"/>
      <c r="L146" s="44"/>
      <c r="M146" s="44"/>
      <c r="N146" s="44"/>
      <c r="O146" s="44"/>
    </row>
    <row r="147" spans="1:15" ht="17.25" customHeight="1">
      <c r="A147" s="44"/>
      <c r="B147" s="44"/>
      <c r="C147" s="44"/>
      <c r="D147" s="44"/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44"/>
    </row>
    <row r="148" spans="1:15" ht="17.25" customHeight="1">
      <c r="A148" s="44"/>
      <c r="B148" s="44"/>
      <c r="C148" s="44"/>
      <c r="D148" s="44"/>
      <c r="E148" s="44"/>
      <c r="F148" s="44"/>
      <c r="G148" s="44"/>
      <c r="H148" s="44"/>
      <c r="I148" s="44"/>
      <c r="J148" s="44"/>
      <c r="K148" s="44"/>
      <c r="L148" s="44"/>
      <c r="M148" s="44"/>
      <c r="N148" s="44"/>
      <c r="O148" s="44"/>
    </row>
    <row r="149" spans="1:15" ht="17.25" customHeight="1">
      <c r="A149" s="44"/>
      <c r="B149" s="44"/>
      <c r="C149" s="44"/>
      <c r="D149" s="44"/>
      <c r="E149" s="44"/>
      <c r="F149" s="44"/>
      <c r="G149" s="44"/>
      <c r="H149" s="44"/>
      <c r="I149" s="44"/>
      <c r="J149" s="44"/>
      <c r="K149" s="44"/>
      <c r="L149" s="44"/>
      <c r="M149" s="44"/>
      <c r="N149" s="44"/>
      <c r="O149" s="44"/>
    </row>
    <row r="150" spans="1:15" ht="17.25" customHeight="1">
      <c r="A150" s="44"/>
      <c r="B150" s="44"/>
      <c r="C150" s="44"/>
      <c r="D150" s="44"/>
      <c r="E150" s="44"/>
      <c r="F150" s="44"/>
      <c r="G150" s="44"/>
      <c r="H150" s="44"/>
      <c r="I150" s="44"/>
      <c r="J150" s="44"/>
      <c r="K150" s="44"/>
      <c r="L150" s="44"/>
      <c r="M150" s="44"/>
      <c r="N150" s="44"/>
      <c r="O150" s="44"/>
    </row>
    <row r="151" spans="1:15" ht="17.25" customHeight="1">
      <c r="A151" s="44"/>
      <c r="B151" s="44"/>
      <c r="C151" s="44"/>
      <c r="D151" s="44"/>
      <c r="E151" s="44"/>
      <c r="F151" s="44"/>
      <c r="G151" s="44"/>
      <c r="H151" s="44"/>
      <c r="I151" s="44"/>
      <c r="J151" s="44"/>
      <c r="K151" s="44"/>
      <c r="L151" s="44"/>
      <c r="M151" s="44"/>
      <c r="N151" s="44"/>
      <c r="O151" s="44"/>
    </row>
    <row r="152" spans="1:15" ht="17.25" customHeight="1">
      <c r="A152" s="44"/>
      <c r="B152" s="44"/>
      <c r="C152" s="44"/>
      <c r="D152" s="44"/>
      <c r="E152" s="44"/>
      <c r="F152" s="44"/>
      <c r="G152" s="44"/>
      <c r="H152" s="44"/>
      <c r="I152" s="44"/>
      <c r="J152" s="44"/>
      <c r="K152" s="44"/>
      <c r="L152" s="44"/>
      <c r="M152" s="44"/>
      <c r="N152" s="44"/>
      <c r="O152" s="44"/>
    </row>
    <row r="153" spans="1:15" ht="17.25" customHeight="1">
      <c r="A153" s="44"/>
      <c r="B153" s="44"/>
      <c r="C153" s="44"/>
      <c r="D153" s="44"/>
      <c r="E153" s="44"/>
      <c r="F153" s="44"/>
      <c r="G153" s="44"/>
      <c r="H153" s="44"/>
      <c r="I153" s="44"/>
      <c r="J153" s="44"/>
      <c r="K153" s="44"/>
      <c r="L153" s="44"/>
      <c r="M153" s="44"/>
      <c r="N153" s="44"/>
      <c r="O153" s="44"/>
    </row>
    <row r="154" spans="1:15" ht="17.25" customHeight="1">
      <c r="A154" s="44"/>
      <c r="B154" s="44"/>
      <c r="C154" s="44"/>
      <c r="D154" s="44"/>
      <c r="E154" s="44"/>
      <c r="F154" s="44"/>
      <c r="G154" s="44"/>
      <c r="H154" s="44"/>
      <c r="I154" s="44"/>
      <c r="J154" s="44"/>
      <c r="K154" s="44"/>
      <c r="L154" s="44"/>
      <c r="M154" s="44"/>
      <c r="N154" s="44"/>
      <c r="O154" s="44"/>
    </row>
    <row r="155" spans="1:15" ht="17.25" customHeight="1">
      <c r="A155" s="44"/>
      <c r="B155" s="44"/>
      <c r="C155" s="44"/>
      <c r="D155" s="44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</row>
    <row r="156" spans="1:15" ht="17.25" customHeight="1">
      <c r="A156" s="44"/>
      <c r="B156" s="44"/>
      <c r="C156" s="44"/>
      <c r="D156" s="44"/>
      <c r="E156" s="44"/>
      <c r="F156" s="44"/>
      <c r="G156" s="44"/>
      <c r="H156" s="44"/>
      <c r="I156" s="44"/>
      <c r="J156" s="44"/>
      <c r="K156" s="44"/>
      <c r="L156" s="44"/>
      <c r="M156" s="44"/>
      <c r="N156" s="44"/>
      <c r="O156" s="44"/>
    </row>
    <row r="157" spans="1:15" ht="17.25" customHeight="1">
      <c r="A157" s="44"/>
      <c r="B157" s="44"/>
      <c r="C157" s="44"/>
      <c r="D157" s="44"/>
      <c r="E157" s="44"/>
      <c r="F157" s="44"/>
      <c r="G157" s="44"/>
      <c r="H157" s="44"/>
      <c r="I157" s="44"/>
      <c r="J157" s="44"/>
      <c r="K157" s="44"/>
      <c r="L157" s="44"/>
      <c r="M157" s="44"/>
      <c r="N157" s="44"/>
      <c r="O157" s="44"/>
    </row>
    <row r="158" spans="1:15" ht="17.25" customHeight="1">
      <c r="A158" s="44"/>
      <c r="B158" s="44"/>
      <c r="C158" s="44"/>
      <c r="D158" s="44"/>
      <c r="E158" s="44"/>
      <c r="F158" s="44"/>
      <c r="G158" s="44"/>
      <c r="H158" s="44"/>
      <c r="I158" s="44"/>
      <c r="J158" s="44"/>
      <c r="K158" s="44"/>
      <c r="L158" s="44"/>
      <c r="M158" s="44"/>
      <c r="N158" s="44"/>
      <c r="O158" s="44"/>
    </row>
    <row r="159" spans="1:15" ht="17.25" customHeight="1">
      <c r="A159" s="44"/>
      <c r="B159" s="44"/>
      <c r="C159" s="44"/>
      <c r="D159" s="44"/>
      <c r="E159" s="44"/>
      <c r="F159" s="44"/>
      <c r="G159" s="44"/>
      <c r="H159" s="44"/>
      <c r="I159" s="44"/>
      <c r="J159" s="44"/>
      <c r="K159" s="44"/>
      <c r="L159" s="44"/>
      <c r="M159" s="44"/>
      <c r="N159" s="44"/>
      <c r="O159" s="44"/>
    </row>
    <row r="160" spans="1:15" ht="17.25" customHeight="1">
      <c r="A160" s="44"/>
      <c r="B160" s="44"/>
      <c r="C160" s="44"/>
      <c r="D160" s="44"/>
      <c r="E160" s="44"/>
      <c r="F160" s="44"/>
      <c r="G160" s="44"/>
      <c r="H160" s="44"/>
      <c r="I160" s="44"/>
      <c r="J160" s="44"/>
      <c r="K160" s="44"/>
      <c r="L160" s="44"/>
      <c r="M160" s="44"/>
      <c r="N160" s="44"/>
      <c r="O160" s="44"/>
    </row>
    <row r="161" spans="1:15" ht="17.25" customHeight="1">
      <c r="A161" s="44"/>
      <c r="B161" s="44"/>
      <c r="C161" s="44"/>
      <c r="D161" s="44"/>
      <c r="E161" s="44"/>
      <c r="F161" s="44"/>
      <c r="G161" s="44"/>
      <c r="H161" s="44"/>
      <c r="I161" s="44"/>
      <c r="J161" s="44"/>
      <c r="K161" s="44"/>
      <c r="L161" s="44"/>
      <c r="M161" s="44"/>
      <c r="N161" s="44"/>
      <c r="O161" s="44"/>
    </row>
    <row r="162" spans="1:15" ht="17.25" customHeight="1">
      <c r="A162" s="44"/>
      <c r="B162" s="44"/>
      <c r="C162" s="44"/>
      <c r="D162" s="44"/>
      <c r="E162" s="44"/>
      <c r="F162" s="44"/>
      <c r="G162" s="44"/>
      <c r="H162" s="44"/>
      <c r="I162" s="44"/>
      <c r="J162" s="44"/>
      <c r="K162" s="44"/>
      <c r="L162" s="44"/>
      <c r="M162" s="44"/>
      <c r="N162" s="44"/>
      <c r="O162" s="44"/>
    </row>
    <row r="163" spans="1:15" ht="17.25" customHeight="1">
      <c r="A163" s="44"/>
      <c r="B163" s="44"/>
      <c r="C163" s="44"/>
      <c r="D163" s="44"/>
      <c r="E163" s="44"/>
      <c r="F163" s="44"/>
      <c r="G163" s="44"/>
      <c r="H163" s="44"/>
      <c r="I163" s="44"/>
      <c r="J163" s="44"/>
      <c r="K163" s="44"/>
      <c r="L163" s="44"/>
      <c r="M163" s="44"/>
      <c r="N163" s="44"/>
      <c r="O163" s="44"/>
    </row>
    <row r="164" spans="1:15" ht="17.25" customHeight="1">
      <c r="A164" s="44"/>
      <c r="B164" s="44"/>
      <c r="C164" s="44"/>
      <c r="D164" s="44"/>
      <c r="E164" s="44"/>
      <c r="F164" s="44"/>
      <c r="G164" s="44"/>
      <c r="H164" s="44"/>
      <c r="I164" s="44"/>
      <c r="J164" s="44"/>
      <c r="K164" s="44"/>
      <c r="L164" s="44"/>
      <c r="M164" s="44"/>
      <c r="N164" s="44"/>
      <c r="O164" s="44"/>
    </row>
    <row r="165" spans="1:15" ht="17.25" customHeight="1">
      <c r="A165" s="44"/>
      <c r="B165" s="44"/>
      <c r="C165" s="44"/>
      <c r="D165" s="44"/>
      <c r="E165" s="44"/>
      <c r="F165" s="44"/>
      <c r="G165" s="44"/>
      <c r="H165" s="44"/>
      <c r="I165" s="44"/>
      <c r="J165" s="44"/>
      <c r="K165" s="44"/>
      <c r="L165" s="44"/>
      <c r="M165" s="44"/>
      <c r="N165" s="44"/>
      <c r="O165" s="44"/>
    </row>
    <row r="166" spans="1:15" ht="17.25" customHeight="1">
      <c r="A166" s="44"/>
      <c r="B166" s="44"/>
      <c r="C166" s="44"/>
      <c r="D166" s="44"/>
      <c r="E166" s="44"/>
      <c r="F166" s="44"/>
      <c r="G166" s="44"/>
      <c r="H166" s="44"/>
      <c r="I166" s="44"/>
      <c r="J166" s="44"/>
      <c r="K166" s="44"/>
      <c r="L166" s="44"/>
      <c r="M166" s="44"/>
      <c r="N166" s="44"/>
      <c r="O166" s="44"/>
    </row>
    <row r="167" spans="1:15" ht="17.25" customHeight="1">
      <c r="A167" s="44"/>
      <c r="B167" s="44"/>
      <c r="C167" s="44"/>
      <c r="D167" s="44"/>
      <c r="E167" s="44"/>
      <c r="F167" s="44"/>
      <c r="G167" s="44"/>
      <c r="H167" s="44"/>
      <c r="I167" s="44"/>
      <c r="J167" s="44"/>
      <c r="K167" s="44"/>
      <c r="L167" s="44"/>
      <c r="M167" s="44"/>
      <c r="N167" s="44"/>
      <c r="O167" s="44"/>
    </row>
    <row r="168" spans="1:15" ht="17.25" customHeight="1">
      <c r="A168" s="44"/>
      <c r="B168" s="44"/>
      <c r="C168" s="44"/>
      <c r="D168" s="44"/>
      <c r="E168" s="44"/>
      <c r="F168" s="44"/>
      <c r="G168" s="44"/>
      <c r="H168" s="44"/>
      <c r="I168" s="44"/>
      <c r="J168" s="44"/>
      <c r="K168" s="44"/>
      <c r="L168" s="44"/>
      <c r="M168" s="44"/>
      <c r="N168" s="44"/>
      <c r="O168" s="44"/>
    </row>
    <row r="169" spans="1:15" ht="17.25" customHeight="1">
      <c r="A169" s="44"/>
      <c r="B169" s="44"/>
      <c r="C169" s="44"/>
      <c r="D169" s="44"/>
      <c r="E169" s="44"/>
      <c r="F169" s="44"/>
      <c r="G169" s="44"/>
      <c r="H169" s="44"/>
      <c r="I169" s="44"/>
      <c r="J169" s="44"/>
      <c r="K169" s="44"/>
      <c r="L169" s="44"/>
      <c r="M169" s="44"/>
      <c r="N169" s="44"/>
      <c r="O169" s="44"/>
    </row>
    <row r="170" spans="1:15" ht="17.25" customHeight="1">
      <c r="A170" s="44"/>
      <c r="B170" s="44"/>
      <c r="C170" s="44"/>
      <c r="D170" s="44"/>
      <c r="E170" s="44"/>
      <c r="F170" s="44"/>
      <c r="G170" s="44"/>
      <c r="H170" s="44"/>
      <c r="I170" s="44"/>
      <c r="J170" s="44"/>
      <c r="K170" s="44"/>
      <c r="L170" s="44"/>
      <c r="M170" s="44"/>
      <c r="N170" s="44"/>
      <c r="O170" s="44"/>
    </row>
    <row r="171" spans="1:15" ht="17.25" customHeight="1">
      <c r="A171" s="44"/>
      <c r="B171" s="44"/>
      <c r="C171" s="44"/>
      <c r="D171" s="44"/>
      <c r="E171" s="44"/>
      <c r="F171" s="44"/>
      <c r="G171" s="44"/>
      <c r="H171" s="44"/>
      <c r="I171" s="44"/>
      <c r="J171" s="44"/>
      <c r="K171" s="44"/>
      <c r="L171" s="44"/>
      <c r="M171" s="44"/>
      <c r="N171" s="44"/>
      <c r="O171" s="44"/>
    </row>
    <row r="172" spans="1:15" ht="17.25" customHeight="1">
      <c r="A172" s="44"/>
      <c r="B172" s="44"/>
      <c r="C172" s="44"/>
      <c r="D172" s="44"/>
      <c r="E172" s="44"/>
      <c r="F172" s="44"/>
      <c r="G172" s="44"/>
      <c r="H172" s="44"/>
      <c r="I172" s="44"/>
      <c r="J172" s="44"/>
      <c r="K172" s="44"/>
      <c r="L172" s="44"/>
      <c r="M172" s="44"/>
      <c r="N172" s="44"/>
      <c r="O172" s="44"/>
    </row>
    <row r="173" spans="1:15" ht="17.25" customHeight="1">
      <c r="A173" s="44"/>
      <c r="B173" s="44"/>
      <c r="C173" s="44"/>
      <c r="D173" s="44"/>
      <c r="E173" s="44"/>
      <c r="F173" s="44"/>
      <c r="G173" s="44"/>
      <c r="H173" s="44"/>
      <c r="I173" s="44"/>
      <c r="J173" s="44"/>
      <c r="K173" s="44"/>
      <c r="L173" s="44"/>
      <c r="M173" s="44"/>
      <c r="N173" s="44"/>
      <c r="O173" s="44"/>
    </row>
    <row r="174" spans="1:15" ht="17.25" customHeight="1">
      <c r="A174" s="44"/>
      <c r="B174" s="44"/>
      <c r="C174" s="44"/>
      <c r="D174" s="44"/>
      <c r="E174" s="44"/>
      <c r="F174" s="44"/>
      <c r="G174" s="44"/>
      <c r="H174" s="44"/>
      <c r="I174" s="44"/>
      <c r="J174" s="44"/>
      <c r="K174" s="44"/>
      <c r="L174" s="44"/>
      <c r="M174" s="44"/>
      <c r="N174" s="44"/>
      <c r="O174" s="44"/>
    </row>
    <row r="175" spans="1:15" ht="17.25" customHeight="1">
      <c r="A175" s="44"/>
      <c r="B175" s="44"/>
      <c r="C175" s="44"/>
      <c r="D175" s="44"/>
      <c r="E175" s="44"/>
      <c r="F175" s="44"/>
      <c r="G175" s="44"/>
      <c r="H175" s="44"/>
      <c r="I175" s="44"/>
      <c r="J175" s="44"/>
      <c r="K175" s="44"/>
      <c r="L175" s="44"/>
      <c r="M175" s="44"/>
      <c r="N175" s="44"/>
      <c r="O175" s="44"/>
    </row>
    <row r="176" spans="1:15" ht="17.25" customHeight="1">
      <c r="A176" s="44"/>
      <c r="B176" s="44"/>
      <c r="C176" s="44"/>
      <c r="D176" s="44"/>
      <c r="E176" s="44"/>
      <c r="F176" s="44"/>
      <c r="G176" s="44"/>
      <c r="H176" s="44"/>
      <c r="I176" s="44"/>
      <c r="J176" s="44"/>
      <c r="K176" s="44"/>
      <c r="L176" s="44"/>
      <c r="M176" s="44"/>
      <c r="N176" s="44"/>
      <c r="O176" s="44"/>
    </row>
    <row r="177" spans="1:15" ht="17.25" customHeight="1">
      <c r="A177" s="44"/>
      <c r="B177" s="44"/>
      <c r="C177" s="44"/>
      <c r="D177" s="44"/>
      <c r="E177" s="44"/>
      <c r="F177" s="44"/>
      <c r="G177" s="44"/>
      <c r="H177" s="44"/>
      <c r="I177" s="44"/>
      <c r="J177" s="44"/>
      <c r="K177" s="44"/>
      <c r="L177" s="44"/>
      <c r="M177" s="44"/>
      <c r="N177" s="44"/>
      <c r="O177" s="44"/>
    </row>
    <row r="178" spans="1:15" ht="17.25" customHeight="1">
      <c r="A178" s="44"/>
      <c r="B178" s="44"/>
      <c r="C178" s="44"/>
      <c r="D178" s="44"/>
      <c r="E178" s="44"/>
      <c r="F178" s="44"/>
      <c r="G178" s="44"/>
      <c r="H178" s="44"/>
      <c r="I178" s="44"/>
      <c r="J178" s="44"/>
      <c r="K178" s="44"/>
      <c r="L178" s="44"/>
      <c r="M178" s="44"/>
      <c r="N178" s="44"/>
      <c r="O178" s="44"/>
    </row>
    <row r="179" spans="1:15" ht="17.25" customHeight="1">
      <c r="A179" s="44"/>
      <c r="B179" s="44"/>
      <c r="C179" s="44"/>
      <c r="D179" s="44"/>
      <c r="E179" s="44"/>
      <c r="F179" s="44"/>
      <c r="G179" s="44"/>
      <c r="H179" s="44"/>
      <c r="I179" s="44"/>
      <c r="J179" s="44"/>
      <c r="K179" s="44"/>
      <c r="L179" s="44"/>
      <c r="M179" s="44"/>
      <c r="N179" s="44"/>
      <c r="O179" s="44"/>
    </row>
    <row r="180" spans="1:15" ht="17.25" customHeight="1">
      <c r="A180" s="44"/>
      <c r="B180" s="44"/>
      <c r="C180" s="44"/>
      <c r="D180" s="44"/>
      <c r="E180" s="44"/>
      <c r="F180" s="44"/>
      <c r="G180" s="44"/>
      <c r="H180" s="44"/>
      <c r="I180" s="44"/>
      <c r="J180" s="44"/>
      <c r="K180" s="44"/>
      <c r="L180" s="44"/>
      <c r="M180" s="44"/>
      <c r="N180" s="44"/>
      <c r="O180" s="44"/>
    </row>
    <row r="181" spans="1:15" ht="17.25" customHeight="1">
      <c r="A181" s="44"/>
      <c r="B181" s="44"/>
      <c r="C181" s="44"/>
      <c r="D181" s="44"/>
      <c r="E181" s="44"/>
      <c r="F181" s="44"/>
      <c r="G181" s="44"/>
      <c r="H181" s="44"/>
      <c r="I181" s="44"/>
      <c r="J181" s="44"/>
      <c r="K181" s="44"/>
      <c r="L181" s="44"/>
      <c r="M181" s="44"/>
      <c r="N181" s="44"/>
      <c r="O181" s="44"/>
    </row>
    <row r="182" spans="1:15" ht="17.25" customHeight="1">
      <c r="A182" s="44"/>
      <c r="B182" s="44"/>
      <c r="C182" s="44"/>
      <c r="D182" s="44"/>
      <c r="E182" s="44"/>
      <c r="F182" s="44"/>
      <c r="G182" s="44"/>
      <c r="H182" s="44"/>
      <c r="I182" s="44"/>
      <c r="J182" s="44"/>
      <c r="K182" s="44"/>
      <c r="L182" s="44"/>
      <c r="M182" s="44"/>
      <c r="N182" s="44"/>
      <c r="O182" s="44"/>
    </row>
    <row r="183" spans="1:15" ht="17.25" customHeight="1">
      <c r="A183" s="44"/>
      <c r="B183" s="44"/>
      <c r="C183" s="44"/>
      <c r="D183" s="44"/>
      <c r="E183" s="44"/>
      <c r="F183" s="44"/>
      <c r="G183" s="44"/>
      <c r="H183" s="44"/>
      <c r="I183" s="44"/>
      <c r="J183" s="44"/>
      <c r="K183" s="44"/>
      <c r="L183" s="44"/>
      <c r="M183" s="44"/>
      <c r="N183" s="44"/>
      <c r="O183" s="44"/>
    </row>
    <row r="184" spans="1:15" ht="17.25" customHeight="1">
      <c r="A184" s="44"/>
      <c r="B184" s="44"/>
      <c r="C184" s="44"/>
      <c r="D184" s="44"/>
      <c r="E184" s="44"/>
      <c r="F184" s="44"/>
      <c r="G184" s="44"/>
      <c r="H184" s="44"/>
      <c r="I184" s="44"/>
      <c r="J184" s="44"/>
      <c r="K184" s="44"/>
      <c r="L184" s="44"/>
      <c r="M184" s="44"/>
      <c r="N184" s="44"/>
      <c r="O184" s="44"/>
    </row>
    <row r="185" spans="1:15" ht="17.25" customHeight="1">
      <c r="A185" s="44"/>
      <c r="B185" s="44"/>
      <c r="C185" s="44"/>
      <c r="D185" s="44"/>
      <c r="E185" s="44"/>
      <c r="F185" s="44"/>
      <c r="G185" s="44"/>
      <c r="H185" s="44"/>
      <c r="I185" s="44"/>
      <c r="J185" s="44"/>
      <c r="K185" s="44"/>
      <c r="L185" s="44"/>
      <c r="M185" s="44"/>
      <c r="N185" s="44"/>
      <c r="O185" s="44"/>
    </row>
    <row r="186" spans="1:15" ht="17.25" customHeight="1">
      <c r="A186" s="44"/>
      <c r="B186" s="44"/>
      <c r="C186" s="44"/>
      <c r="D186" s="44"/>
      <c r="E186" s="44"/>
      <c r="F186" s="44"/>
      <c r="G186" s="44"/>
      <c r="H186" s="44"/>
      <c r="I186" s="44"/>
      <c r="J186" s="44"/>
      <c r="K186" s="44"/>
      <c r="L186" s="44"/>
      <c r="M186" s="44"/>
      <c r="N186" s="44"/>
      <c r="O186" s="44"/>
    </row>
    <row r="187" spans="1:15" ht="17.25" customHeight="1">
      <c r="A187" s="44"/>
      <c r="B187" s="44"/>
      <c r="C187" s="44"/>
      <c r="D187" s="44"/>
      <c r="E187" s="44"/>
      <c r="F187" s="44"/>
      <c r="G187" s="44"/>
      <c r="H187" s="44"/>
      <c r="I187" s="44"/>
      <c r="J187" s="44"/>
      <c r="K187" s="44"/>
      <c r="L187" s="44"/>
      <c r="M187" s="44"/>
      <c r="N187" s="44"/>
      <c r="O187" s="44"/>
    </row>
    <row r="188" spans="1:15" ht="17.25" customHeight="1">
      <c r="A188" s="44"/>
      <c r="B188" s="44"/>
      <c r="C188" s="44"/>
      <c r="D188" s="44"/>
      <c r="E188" s="44"/>
      <c r="F188" s="44"/>
      <c r="G188" s="44"/>
      <c r="H188" s="44"/>
      <c r="I188" s="44"/>
      <c r="J188" s="44"/>
      <c r="K188" s="44"/>
      <c r="L188" s="44"/>
      <c r="M188" s="44"/>
      <c r="N188" s="44"/>
      <c r="O188" s="44"/>
    </row>
    <row r="189" spans="1:15" ht="17.25" customHeight="1">
      <c r="A189" s="44"/>
      <c r="B189" s="44"/>
      <c r="C189" s="44"/>
      <c r="D189" s="44"/>
      <c r="E189" s="44"/>
      <c r="F189" s="44"/>
      <c r="G189" s="44"/>
      <c r="H189" s="44"/>
      <c r="I189" s="44"/>
      <c r="J189" s="44"/>
      <c r="K189" s="44"/>
      <c r="L189" s="44"/>
      <c r="M189" s="44"/>
      <c r="N189" s="44"/>
      <c r="O189" s="44"/>
    </row>
    <row r="190" spans="1:15" ht="17.25" customHeight="1">
      <c r="A190" s="44"/>
      <c r="B190" s="44"/>
      <c r="C190" s="44"/>
      <c r="D190" s="44"/>
      <c r="E190" s="44"/>
      <c r="F190" s="44"/>
      <c r="G190" s="44"/>
      <c r="H190" s="44"/>
      <c r="I190" s="44"/>
      <c r="J190" s="44"/>
      <c r="K190" s="44"/>
      <c r="L190" s="44"/>
      <c r="M190" s="44"/>
      <c r="N190" s="44"/>
      <c r="O190" s="44"/>
    </row>
    <row r="191" spans="1:15" ht="17.25" customHeight="1">
      <c r="A191" s="44"/>
      <c r="B191" s="44"/>
      <c r="C191" s="44"/>
      <c r="D191" s="44"/>
      <c r="E191" s="44"/>
      <c r="F191" s="44"/>
      <c r="G191" s="44"/>
      <c r="H191" s="44"/>
      <c r="I191" s="44"/>
      <c r="J191" s="44"/>
      <c r="K191" s="44"/>
      <c r="L191" s="44"/>
      <c r="M191" s="44"/>
      <c r="N191" s="44"/>
      <c r="O191" s="44"/>
    </row>
    <row r="192" spans="1:15" ht="17.25" customHeight="1">
      <c r="A192" s="44"/>
      <c r="B192" s="44"/>
      <c r="C192" s="44"/>
      <c r="D192" s="44"/>
      <c r="E192" s="44"/>
      <c r="F192" s="44"/>
      <c r="G192" s="44"/>
      <c r="H192" s="44"/>
      <c r="I192" s="44"/>
      <c r="J192" s="44"/>
      <c r="K192" s="44"/>
      <c r="L192" s="44"/>
      <c r="M192" s="44"/>
      <c r="N192" s="44"/>
      <c r="O192" s="44"/>
    </row>
    <row r="193" spans="1:15" ht="17.25" customHeight="1">
      <c r="A193" s="44"/>
      <c r="B193" s="44"/>
      <c r="C193" s="44"/>
      <c r="D193" s="44"/>
      <c r="E193" s="44"/>
      <c r="F193" s="44"/>
      <c r="G193" s="44"/>
      <c r="H193" s="44"/>
      <c r="I193" s="44"/>
      <c r="J193" s="44"/>
      <c r="K193" s="44"/>
      <c r="L193" s="44"/>
      <c r="M193" s="44"/>
      <c r="N193" s="44"/>
      <c r="O193" s="44"/>
    </row>
    <row r="194" spans="1:15" ht="17.25" customHeight="1">
      <c r="A194" s="44"/>
      <c r="B194" s="44"/>
      <c r="C194" s="44"/>
      <c r="D194" s="44"/>
      <c r="E194" s="44"/>
      <c r="F194" s="44"/>
      <c r="G194" s="44"/>
      <c r="H194" s="44"/>
      <c r="I194" s="44"/>
      <c r="J194" s="44"/>
      <c r="K194" s="44"/>
      <c r="L194" s="44"/>
      <c r="M194" s="44"/>
      <c r="N194" s="44"/>
      <c r="O194" s="44"/>
    </row>
    <row r="195" spans="1:15" ht="17.25" customHeight="1">
      <c r="A195" s="44"/>
      <c r="B195" s="44"/>
      <c r="C195" s="44"/>
      <c r="D195" s="44"/>
      <c r="E195" s="44"/>
      <c r="F195" s="44"/>
      <c r="G195" s="44"/>
      <c r="H195" s="44"/>
      <c r="I195" s="44"/>
      <c r="J195" s="44"/>
      <c r="K195" s="44"/>
      <c r="L195" s="44"/>
      <c r="M195" s="44"/>
      <c r="N195" s="44"/>
      <c r="O195" s="44"/>
    </row>
    <row r="196" spans="1:15" ht="17.25" customHeight="1">
      <c r="A196" s="44"/>
      <c r="B196" s="44"/>
      <c r="C196" s="44"/>
      <c r="D196" s="44"/>
      <c r="E196" s="44"/>
      <c r="F196" s="44"/>
      <c r="G196" s="44"/>
      <c r="H196" s="44"/>
      <c r="I196" s="44"/>
      <c r="J196" s="44"/>
      <c r="K196" s="44"/>
      <c r="L196" s="44"/>
      <c r="M196" s="44"/>
      <c r="N196" s="44"/>
      <c r="O196" s="44"/>
    </row>
    <row r="197" spans="1:15" ht="17.25" customHeight="1">
      <c r="A197" s="44"/>
      <c r="B197" s="44"/>
      <c r="C197" s="44"/>
      <c r="D197" s="44"/>
      <c r="E197" s="44"/>
      <c r="F197" s="44"/>
      <c r="G197" s="44"/>
      <c r="H197" s="44"/>
      <c r="I197" s="44"/>
      <c r="J197" s="44"/>
      <c r="K197" s="44"/>
      <c r="L197" s="44"/>
      <c r="M197" s="44"/>
      <c r="N197" s="44"/>
      <c r="O197" s="44"/>
    </row>
    <row r="198" spans="1:15" ht="17.25" customHeight="1">
      <c r="A198" s="44"/>
      <c r="B198" s="44"/>
      <c r="C198" s="44"/>
      <c r="D198" s="44"/>
      <c r="E198" s="44"/>
      <c r="F198" s="44"/>
      <c r="G198" s="44"/>
      <c r="H198" s="44"/>
      <c r="I198" s="44"/>
      <c r="J198" s="44"/>
      <c r="K198" s="44"/>
      <c r="L198" s="44"/>
      <c r="M198" s="44"/>
      <c r="N198" s="44"/>
      <c r="O198" s="44"/>
    </row>
    <row r="199" spans="1:15" ht="17.25" customHeight="1">
      <c r="A199" s="44"/>
      <c r="B199" s="44"/>
      <c r="C199" s="44"/>
      <c r="D199" s="44"/>
      <c r="E199" s="44"/>
      <c r="F199" s="44"/>
      <c r="G199" s="44"/>
      <c r="H199" s="44"/>
      <c r="I199" s="44"/>
      <c r="J199" s="44"/>
      <c r="K199" s="44"/>
      <c r="L199" s="44"/>
      <c r="M199" s="44"/>
      <c r="N199" s="44"/>
      <c r="O199" s="44"/>
    </row>
    <row r="200" spans="1:15" ht="17.25" customHeight="1">
      <c r="A200" s="44"/>
      <c r="B200" s="44"/>
      <c r="C200" s="44"/>
      <c r="D200" s="44"/>
      <c r="E200" s="44"/>
      <c r="F200" s="44"/>
      <c r="G200" s="44"/>
      <c r="H200" s="44"/>
      <c r="I200" s="44"/>
      <c r="J200" s="44"/>
      <c r="K200" s="44"/>
      <c r="L200" s="44"/>
      <c r="M200" s="44"/>
      <c r="N200" s="44"/>
      <c r="O200" s="44"/>
    </row>
    <row r="201" spans="1:15" ht="17.25" customHeight="1">
      <c r="A201" s="44"/>
      <c r="B201" s="44"/>
      <c r="C201" s="44"/>
      <c r="D201" s="44"/>
      <c r="E201" s="44"/>
      <c r="F201" s="44"/>
      <c r="G201" s="44"/>
      <c r="H201" s="44"/>
      <c r="I201" s="44"/>
      <c r="J201" s="44"/>
      <c r="K201" s="44"/>
      <c r="L201" s="44"/>
      <c r="M201" s="44"/>
      <c r="N201" s="44"/>
      <c r="O201" s="44"/>
    </row>
    <row r="202" spans="1:15" ht="17.25" customHeight="1">
      <c r="A202" s="44"/>
      <c r="B202" s="44"/>
      <c r="C202" s="44"/>
      <c r="D202" s="44"/>
      <c r="E202" s="44"/>
      <c r="F202" s="44"/>
      <c r="G202" s="44"/>
      <c r="H202" s="44"/>
      <c r="I202" s="44"/>
      <c r="J202" s="44"/>
      <c r="K202" s="44"/>
      <c r="L202" s="44"/>
      <c r="M202" s="44"/>
      <c r="N202" s="44"/>
      <c r="O202" s="44"/>
    </row>
    <row r="203" spans="1:15" ht="17.25" customHeight="1">
      <c r="A203" s="44"/>
      <c r="B203" s="44"/>
      <c r="C203" s="44"/>
      <c r="D203" s="44"/>
      <c r="E203" s="44"/>
      <c r="F203" s="44"/>
      <c r="G203" s="44"/>
      <c r="H203" s="44"/>
      <c r="I203" s="44"/>
      <c r="J203" s="44"/>
      <c r="K203" s="44"/>
      <c r="L203" s="44"/>
      <c r="M203" s="44"/>
      <c r="N203" s="44"/>
      <c r="O203" s="44"/>
    </row>
    <row r="204" spans="1:15" ht="17.25" customHeight="1">
      <c r="A204" s="44"/>
      <c r="B204" s="44"/>
      <c r="C204" s="44"/>
      <c r="D204" s="44"/>
      <c r="E204" s="44"/>
      <c r="F204" s="44"/>
      <c r="G204" s="44"/>
      <c r="H204" s="44"/>
      <c r="I204" s="44"/>
      <c r="J204" s="44"/>
      <c r="K204" s="44"/>
      <c r="L204" s="44"/>
      <c r="M204" s="44"/>
      <c r="N204" s="44"/>
      <c r="O204" s="44"/>
    </row>
    <row r="205" spans="1:15" ht="17.25" customHeight="1">
      <c r="A205" s="44"/>
      <c r="B205" s="44"/>
      <c r="C205" s="44"/>
      <c r="D205" s="44"/>
      <c r="E205" s="44"/>
      <c r="F205" s="44"/>
      <c r="G205" s="44"/>
      <c r="H205" s="44"/>
      <c r="I205" s="44"/>
      <c r="J205" s="44"/>
      <c r="K205" s="44"/>
      <c r="L205" s="44"/>
      <c r="M205" s="44"/>
      <c r="N205" s="44"/>
      <c r="O205" s="44"/>
    </row>
    <row r="206" spans="1:15" ht="17.25" customHeight="1">
      <c r="A206" s="44"/>
      <c r="B206" s="44"/>
      <c r="C206" s="44"/>
      <c r="D206" s="44"/>
      <c r="E206" s="44"/>
      <c r="F206" s="44"/>
      <c r="G206" s="44"/>
      <c r="H206" s="44"/>
      <c r="I206" s="44"/>
      <c r="J206" s="44"/>
      <c r="K206" s="44"/>
      <c r="L206" s="44"/>
      <c r="M206" s="44"/>
      <c r="N206" s="44"/>
      <c r="O206" s="44"/>
    </row>
    <row r="207" spans="1:15" ht="17.25" customHeight="1">
      <c r="A207" s="44"/>
      <c r="B207" s="44"/>
      <c r="C207" s="44"/>
      <c r="D207" s="44"/>
      <c r="E207" s="44"/>
      <c r="F207" s="44"/>
      <c r="G207" s="44"/>
      <c r="H207" s="44"/>
      <c r="I207" s="44"/>
      <c r="J207" s="44"/>
      <c r="K207" s="44"/>
      <c r="L207" s="44"/>
      <c r="M207" s="44"/>
      <c r="N207" s="44"/>
      <c r="O207" s="44"/>
    </row>
    <row r="208" spans="1:15" ht="17.25" customHeight="1">
      <c r="A208" s="44"/>
      <c r="B208" s="44"/>
      <c r="C208" s="44"/>
      <c r="D208" s="44"/>
      <c r="E208" s="44"/>
      <c r="F208" s="44"/>
      <c r="G208" s="44"/>
      <c r="H208" s="44"/>
      <c r="I208" s="44"/>
      <c r="J208" s="44"/>
      <c r="K208" s="44"/>
      <c r="L208" s="44"/>
      <c r="M208" s="44"/>
      <c r="N208" s="44"/>
      <c r="O208" s="44"/>
    </row>
    <row r="209" spans="1:15" ht="17.25" customHeight="1">
      <c r="A209" s="44"/>
      <c r="B209" s="44"/>
      <c r="C209" s="44"/>
      <c r="D209" s="44"/>
      <c r="E209" s="44"/>
      <c r="F209" s="44"/>
      <c r="G209" s="44"/>
      <c r="H209" s="44"/>
      <c r="I209" s="44"/>
      <c r="J209" s="44"/>
      <c r="K209" s="44"/>
      <c r="L209" s="44"/>
      <c r="M209" s="44"/>
      <c r="N209" s="44"/>
      <c r="O209" s="44"/>
    </row>
    <row r="210" spans="1:15" ht="17.25" customHeight="1">
      <c r="A210" s="44"/>
      <c r="B210" s="44"/>
      <c r="C210" s="44"/>
      <c r="D210" s="44"/>
      <c r="E210" s="44"/>
      <c r="F210" s="44"/>
      <c r="G210" s="44"/>
      <c r="H210" s="44"/>
      <c r="I210" s="44"/>
      <c r="J210" s="44"/>
      <c r="K210" s="44"/>
      <c r="L210" s="44"/>
      <c r="M210" s="44"/>
      <c r="N210" s="44"/>
      <c r="O210" s="44"/>
    </row>
    <row r="211" spans="1:15" ht="17.25" customHeight="1">
      <c r="A211" s="44"/>
      <c r="B211" s="44"/>
      <c r="C211" s="44"/>
      <c r="D211" s="44"/>
      <c r="E211" s="44"/>
      <c r="F211" s="44"/>
      <c r="G211" s="44"/>
      <c r="H211" s="44"/>
      <c r="I211" s="44"/>
      <c r="J211" s="44"/>
      <c r="K211" s="44"/>
      <c r="L211" s="44"/>
      <c r="M211" s="44"/>
      <c r="N211" s="44"/>
      <c r="O211" s="44"/>
    </row>
    <row r="212" spans="1:15" ht="17.25" customHeight="1">
      <c r="A212" s="44"/>
      <c r="B212" s="44"/>
      <c r="C212" s="44"/>
      <c r="D212" s="44"/>
      <c r="E212" s="44"/>
      <c r="F212" s="44"/>
      <c r="G212" s="44"/>
      <c r="H212" s="44"/>
      <c r="I212" s="44"/>
      <c r="J212" s="44"/>
      <c r="K212" s="44"/>
      <c r="L212" s="44"/>
      <c r="M212" s="44"/>
      <c r="N212" s="44"/>
      <c r="O212" s="44"/>
    </row>
    <row r="213" spans="1:15" ht="17.25" customHeight="1">
      <c r="A213" s="44"/>
      <c r="B213" s="44"/>
      <c r="C213" s="44"/>
      <c r="D213" s="44"/>
      <c r="E213" s="44"/>
      <c r="F213" s="44"/>
      <c r="G213" s="44"/>
      <c r="H213" s="44"/>
      <c r="I213" s="44"/>
      <c r="J213" s="44"/>
      <c r="K213" s="44"/>
      <c r="L213" s="44"/>
      <c r="M213" s="44"/>
      <c r="N213" s="44"/>
      <c r="O213" s="44"/>
    </row>
    <row r="214" spans="1:15" ht="17.25" customHeight="1">
      <c r="A214" s="44"/>
      <c r="B214" s="44"/>
      <c r="C214" s="44"/>
      <c r="D214" s="44"/>
      <c r="E214" s="44"/>
      <c r="F214" s="44"/>
      <c r="G214" s="44"/>
      <c r="H214" s="44"/>
      <c r="I214" s="44"/>
      <c r="J214" s="44"/>
      <c r="K214" s="44"/>
      <c r="L214" s="44"/>
      <c r="M214" s="44"/>
      <c r="N214" s="44"/>
      <c r="O214" s="44"/>
    </row>
    <row r="215" spans="1:15" ht="17.25" customHeight="1">
      <c r="A215" s="44"/>
      <c r="B215" s="44"/>
      <c r="C215" s="44"/>
      <c r="D215" s="44"/>
      <c r="E215" s="44"/>
      <c r="F215" s="44"/>
      <c r="G215" s="44"/>
      <c r="H215" s="44"/>
      <c r="I215" s="44"/>
      <c r="J215" s="44"/>
      <c r="K215" s="44"/>
      <c r="L215" s="44"/>
      <c r="M215" s="44"/>
      <c r="N215" s="44"/>
      <c r="O215" s="44"/>
    </row>
    <row r="216" spans="1:15" ht="17.25" customHeight="1">
      <c r="A216" s="44"/>
      <c r="B216" s="44"/>
      <c r="C216" s="44"/>
      <c r="D216" s="44"/>
      <c r="E216" s="44"/>
      <c r="F216" s="44"/>
      <c r="G216" s="44"/>
      <c r="H216" s="44"/>
      <c r="I216" s="44"/>
      <c r="J216" s="44"/>
      <c r="K216" s="44"/>
      <c r="L216" s="44"/>
      <c r="M216" s="44"/>
      <c r="N216" s="44"/>
      <c r="O216" s="44"/>
    </row>
    <row r="217" spans="1:15" ht="17.25" customHeight="1">
      <c r="A217" s="44"/>
      <c r="B217" s="44"/>
      <c r="C217" s="44"/>
      <c r="D217" s="44"/>
      <c r="E217" s="44"/>
      <c r="F217" s="44"/>
      <c r="G217" s="44"/>
      <c r="H217" s="44"/>
      <c r="I217" s="44"/>
      <c r="J217" s="44"/>
      <c r="K217" s="44"/>
      <c r="L217" s="44"/>
      <c r="M217" s="44"/>
      <c r="N217" s="44"/>
      <c r="O217" s="44"/>
    </row>
    <row r="218" spans="1:15" ht="17.25" customHeight="1">
      <c r="A218" s="44"/>
      <c r="B218" s="44"/>
      <c r="C218" s="44"/>
      <c r="D218" s="44"/>
      <c r="E218" s="44"/>
      <c r="F218" s="44"/>
      <c r="G218" s="44"/>
      <c r="H218" s="44"/>
      <c r="I218" s="44"/>
      <c r="J218" s="44"/>
      <c r="K218" s="44"/>
      <c r="L218" s="44"/>
      <c r="M218" s="44"/>
      <c r="N218" s="44"/>
      <c r="O218" s="44"/>
    </row>
    <row r="219" spans="1:15" ht="17.25" customHeight="1">
      <c r="A219" s="44"/>
      <c r="B219" s="44"/>
      <c r="C219" s="44"/>
      <c r="D219" s="44"/>
      <c r="E219" s="44"/>
      <c r="F219" s="44"/>
      <c r="G219" s="44"/>
      <c r="H219" s="44"/>
      <c r="I219" s="44"/>
      <c r="J219" s="44"/>
      <c r="K219" s="44"/>
      <c r="L219" s="44"/>
      <c r="M219" s="44"/>
      <c r="N219" s="44"/>
      <c r="O219" s="44"/>
    </row>
    <row r="220" spans="1:15" ht="17.25" customHeight="1">
      <c r="A220" s="44"/>
      <c r="B220" s="44"/>
      <c r="C220" s="44"/>
      <c r="D220" s="44"/>
      <c r="E220" s="44"/>
      <c r="F220" s="44"/>
      <c r="G220" s="44"/>
      <c r="H220" s="44"/>
      <c r="I220" s="44"/>
      <c r="J220" s="44"/>
      <c r="K220" s="44"/>
      <c r="L220" s="44"/>
      <c r="M220" s="44"/>
      <c r="N220" s="44"/>
      <c r="O220" s="44"/>
    </row>
    <row r="221" spans="1:15" ht="17.25" customHeight="1">
      <c r="A221" s="44"/>
      <c r="B221" s="44"/>
      <c r="C221" s="44"/>
      <c r="D221" s="44"/>
      <c r="E221" s="44"/>
      <c r="F221" s="44"/>
      <c r="G221" s="44"/>
      <c r="H221" s="44"/>
      <c r="I221" s="44"/>
      <c r="J221" s="44"/>
      <c r="K221" s="44"/>
      <c r="L221" s="44"/>
      <c r="M221" s="44"/>
      <c r="N221" s="44"/>
      <c r="O221" s="44"/>
    </row>
    <row r="222" spans="1:15" ht="17.25" customHeight="1">
      <c r="A222" s="44"/>
      <c r="B222" s="44"/>
      <c r="C222" s="44"/>
      <c r="D222" s="44"/>
      <c r="E222" s="44"/>
      <c r="F222" s="44"/>
      <c r="G222" s="44"/>
      <c r="H222" s="44"/>
      <c r="I222" s="44"/>
      <c r="J222" s="44"/>
      <c r="K222" s="44"/>
      <c r="L222" s="44"/>
      <c r="M222" s="44"/>
      <c r="N222" s="44"/>
      <c r="O222" s="44"/>
    </row>
    <row r="223" spans="1:15" ht="17.25" customHeight="1">
      <c r="A223" s="44"/>
      <c r="B223" s="44"/>
      <c r="C223" s="44"/>
      <c r="D223" s="44"/>
      <c r="E223" s="44"/>
      <c r="F223" s="44"/>
      <c r="G223" s="44"/>
      <c r="H223" s="44"/>
      <c r="I223" s="44"/>
      <c r="J223" s="44"/>
      <c r="K223" s="44"/>
      <c r="L223" s="44"/>
      <c r="M223" s="44"/>
      <c r="N223" s="44"/>
      <c r="O223" s="44"/>
    </row>
    <row r="224" spans="1:15" ht="17.25" customHeight="1">
      <c r="A224" s="44"/>
      <c r="B224" s="44"/>
      <c r="C224" s="44"/>
      <c r="D224" s="44"/>
      <c r="E224" s="44"/>
      <c r="F224" s="44"/>
      <c r="G224" s="44"/>
      <c r="H224" s="44"/>
      <c r="I224" s="44"/>
      <c r="J224" s="44"/>
      <c r="K224" s="44"/>
      <c r="L224" s="44"/>
      <c r="M224" s="44"/>
      <c r="N224" s="44"/>
      <c r="O224" s="44"/>
    </row>
    <row r="225" spans="1:15" ht="17.25" customHeight="1">
      <c r="A225" s="44"/>
      <c r="B225" s="44"/>
      <c r="C225" s="44"/>
      <c r="D225" s="44"/>
      <c r="E225" s="44"/>
      <c r="F225" s="44"/>
      <c r="G225" s="44"/>
      <c r="H225" s="44"/>
      <c r="I225" s="44"/>
      <c r="J225" s="44"/>
      <c r="K225" s="44"/>
      <c r="L225" s="44"/>
      <c r="M225" s="44"/>
      <c r="N225" s="44"/>
      <c r="O225" s="44"/>
    </row>
    <row r="226" spans="1:15" ht="17.25" customHeight="1">
      <c r="A226" s="44"/>
      <c r="B226" s="44"/>
      <c r="C226" s="44"/>
      <c r="D226" s="44"/>
      <c r="E226" s="44"/>
      <c r="F226" s="44"/>
      <c r="G226" s="44"/>
      <c r="H226" s="44"/>
      <c r="I226" s="44"/>
      <c r="J226" s="44"/>
      <c r="K226" s="44"/>
      <c r="L226" s="44"/>
      <c r="M226" s="44"/>
      <c r="N226" s="44"/>
      <c r="O226" s="44"/>
    </row>
    <row r="227" spans="1:15" ht="17.25" customHeight="1">
      <c r="A227" s="44"/>
      <c r="B227" s="44"/>
      <c r="C227" s="44"/>
      <c r="D227" s="44"/>
      <c r="E227" s="44"/>
      <c r="F227" s="44"/>
      <c r="G227" s="44"/>
      <c r="H227" s="44"/>
      <c r="I227" s="44"/>
      <c r="J227" s="44"/>
      <c r="K227" s="44"/>
      <c r="L227" s="44"/>
      <c r="M227" s="44"/>
      <c r="N227" s="44"/>
      <c r="O227" s="44"/>
    </row>
    <row r="228" spans="1:15" ht="17.25" customHeight="1">
      <c r="A228" s="44"/>
      <c r="B228" s="44"/>
      <c r="C228" s="44"/>
      <c r="D228" s="44"/>
      <c r="E228" s="44"/>
      <c r="F228" s="44"/>
      <c r="G228" s="44"/>
      <c r="H228" s="44"/>
      <c r="I228" s="44"/>
      <c r="J228" s="44"/>
      <c r="K228" s="44"/>
      <c r="L228" s="44"/>
      <c r="M228" s="44"/>
      <c r="N228" s="44"/>
      <c r="O228" s="44"/>
    </row>
    <row r="229" spans="1:15" ht="17.25" customHeight="1">
      <c r="A229" s="44"/>
      <c r="B229" s="44"/>
      <c r="C229" s="44"/>
      <c r="D229" s="44"/>
      <c r="E229" s="44"/>
      <c r="F229" s="44"/>
      <c r="G229" s="44"/>
      <c r="H229" s="44"/>
      <c r="I229" s="44"/>
      <c r="J229" s="44"/>
      <c r="K229" s="44"/>
      <c r="L229" s="44"/>
      <c r="M229" s="44"/>
      <c r="N229" s="44"/>
      <c r="O229" s="44"/>
    </row>
    <row r="230" spans="1:15" ht="17.25" customHeight="1">
      <c r="A230" s="44"/>
      <c r="B230" s="44"/>
      <c r="C230" s="44"/>
      <c r="D230" s="44"/>
      <c r="E230" s="44"/>
      <c r="F230" s="44"/>
      <c r="G230" s="44"/>
      <c r="H230" s="44"/>
      <c r="I230" s="44"/>
      <c r="J230" s="44"/>
      <c r="K230" s="44"/>
      <c r="L230" s="44"/>
      <c r="M230" s="44"/>
      <c r="N230" s="44"/>
      <c r="O230" s="44"/>
    </row>
    <row r="231" spans="1:15" ht="17.25" customHeight="1">
      <c r="A231" s="44"/>
      <c r="B231" s="44"/>
      <c r="C231" s="44"/>
      <c r="D231" s="44"/>
      <c r="E231" s="44"/>
      <c r="F231" s="44"/>
      <c r="G231" s="44"/>
      <c r="H231" s="44"/>
      <c r="I231" s="44"/>
      <c r="J231" s="44"/>
      <c r="K231" s="44"/>
      <c r="L231" s="44"/>
      <c r="M231" s="44"/>
      <c r="N231" s="44"/>
      <c r="O231" s="44"/>
    </row>
    <row r="232" spans="1:15" ht="17.25" customHeight="1">
      <c r="A232" s="44"/>
      <c r="B232" s="44"/>
      <c r="C232" s="44"/>
      <c r="D232" s="44"/>
      <c r="E232" s="44"/>
      <c r="F232" s="44"/>
      <c r="G232" s="44"/>
      <c r="H232" s="44"/>
      <c r="I232" s="44"/>
      <c r="J232" s="44"/>
      <c r="K232" s="44"/>
      <c r="L232" s="44"/>
      <c r="M232" s="44"/>
      <c r="N232" s="44"/>
      <c r="O232" s="44"/>
    </row>
    <row r="233" spans="1:15" ht="17.25" customHeight="1">
      <c r="A233" s="44"/>
      <c r="B233" s="44"/>
      <c r="C233" s="44"/>
      <c r="D233" s="44"/>
      <c r="E233" s="44"/>
      <c r="F233" s="44"/>
      <c r="G233" s="44"/>
      <c r="H233" s="44"/>
      <c r="I233" s="44"/>
      <c r="J233" s="44"/>
      <c r="K233" s="44"/>
      <c r="L233" s="44"/>
      <c r="M233" s="44"/>
      <c r="N233" s="44"/>
      <c r="O233" s="44"/>
    </row>
    <row r="234" spans="1:15" ht="17.25" customHeight="1">
      <c r="A234" s="44"/>
      <c r="B234" s="44"/>
      <c r="C234" s="44"/>
      <c r="D234" s="44"/>
      <c r="E234" s="44"/>
      <c r="F234" s="44"/>
      <c r="G234" s="44"/>
      <c r="H234" s="44"/>
      <c r="I234" s="44"/>
      <c r="J234" s="44"/>
      <c r="K234" s="44"/>
      <c r="L234" s="44"/>
      <c r="M234" s="44"/>
      <c r="N234" s="44"/>
      <c r="O234" s="44"/>
    </row>
    <row r="235" spans="1:15" ht="17.25" customHeight="1">
      <c r="A235" s="44"/>
      <c r="B235" s="44"/>
      <c r="C235" s="44"/>
      <c r="D235" s="44"/>
      <c r="E235" s="44"/>
      <c r="F235" s="44"/>
      <c r="G235" s="44"/>
      <c r="H235" s="44"/>
      <c r="I235" s="44"/>
      <c r="J235" s="44"/>
      <c r="K235" s="44"/>
      <c r="L235" s="44"/>
      <c r="M235" s="44"/>
      <c r="N235" s="44"/>
      <c r="O235" s="44"/>
    </row>
    <row r="236" spans="1:15" ht="17.25" customHeight="1">
      <c r="A236" s="44"/>
      <c r="B236" s="44"/>
      <c r="C236" s="44"/>
      <c r="D236" s="44"/>
      <c r="E236" s="44"/>
      <c r="F236" s="44"/>
      <c r="G236" s="44"/>
      <c r="H236" s="44"/>
      <c r="I236" s="44"/>
      <c r="J236" s="44"/>
      <c r="K236" s="44"/>
      <c r="L236" s="44"/>
      <c r="M236" s="44"/>
      <c r="N236" s="44"/>
      <c r="O236" s="44"/>
    </row>
    <row r="237" spans="1:15" ht="17.25" customHeight="1">
      <c r="A237" s="44"/>
      <c r="B237" s="44"/>
      <c r="C237" s="44"/>
      <c r="D237" s="44"/>
      <c r="E237" s="44"/>
      <c r="F237" s="44"/>
      <c r="G237" s="44"/>
      <c r="H237" s="44"/>
      <c r="I237" s="44"/>
      <c r="J237" s="44"/>
      <c r="K237" s="44"/>
      <c r="L237" s="44"/>
      <c r="M237" s="44"/>
      <c r="N237" s="44"/>
      <c r="O237" s="44"/>
    </row>
    <row r="238" spans="1:15" ht="17.25" customHeight="1">
      <c r="A238" s="44"/>
      <c r="B238" s="44"/>
      <c r="C238" s="44"/>
      <c r="D238" s="44"/>
      <c r="E238" s="44"/>
      <c r="F238" s="44"/>
      <c r="G238" s="44"/>
      <c r="H238" s="44"/>
      <c r="I238" s="44"/>
      <c r="J238" s="44"/>
      <c r="K238" s="44"/>
      <c r="L238" s="44"/>
      <c r="M238" s="44"/>
      <c r="N238" s="44"/>
      <c r="O238" s="44"/>
    </row>
    <row r="239" spans="1:15" ht="17.25" customHeight="1">
      <c r="A239" s="44"/>
      <c r="B239" s="44"/>
      <c r="C239" s="44"/>
      <c r="D239" s="44"/>
      <c r="E239" s="44"/>
      <c r="F239" s="44"/>
      <c r="G239" s="44"/>
      <c r="H239" s="44"/>
      <c r="I239" s="44"/>
      <c r="J239" s="44"/>
      <c r="K239" s="44"/>
      <c r="L239" s="44"/>
      <c r="M239" s="44"/>
      <c r="N239" s="44"/>
      <c r="O239" s="44"/>
    </row>
    <row r="240" spans="1:15" ht="17.25" customHeight="1">
      <c r="A240" s="44"/>
      <c r="B240" s="44"/>
      <c r="C240" s="44"/>
      <c r="D240" s="44"/>
      <c r="E240" s="44"/>
      <c r="F240" s="44"/>
      <c r="G240" s="44"/>
      <c r="H240" s="44"/>
      <c r="I240" s="44"/>
      <c r="J240" s="44"/>
      <c r="K240" s="44"/>
      <c r="L240" s="44"/>
      <c r="M240" s="44"/>
      <c r="N240" s="44"/>
      <c r="O240" s="44"/>
    </row>
    <row r="241" spans="1:15" ht="17.25" customHeight="1">
      <c r="A241" s="44"/>
      <c r="B241" s="44"/>
      <c r="C241" s="44"/>
      <c r="D241" s="44"/>
      <c r="E241" s="44"/>
      <c r="F241" s="44"/>
      <c r="G241" s="44"/>
      <c r="H241" s="44"/>
      <c r="I241" s="44"/>
      <c r="J241" s="44"/>
      <c r="K241" s="44"/>
      <c r="L241" s="44"/>
      <c r="M241" s="44"/>
      <c r="N241" s="44"/>
      <c r="O241" s="44"/>
    </row>
    <row r="242" spans="1:15" ht="17.25" customHeight="1">
      <c r="A242" s="44"/>
      <c r="B242" s="44"/>
      <c r="C242" s="44"/>
      <c r="D242" s="44"/>
      <c r="E242" s="44"/>
      <c r="F242" s="44"/>
      <c r="G242" s="44"/>
      <c r="H242" s="44"/>
      <c r="I242" s="44"/>
      <c r="J242" s="44"/>
      <c r="K242" s="44"/>
      <c r="L242" s="44"/>
      <c r="M242" s="44"/>
      <c r="N242" s="44"/>
      <c r="O242" s="44"/>
    </row>
    <row r="243" spans="1:15" ht="17.25" customHeight="1">
      <c r="A243" s="44"/>
      <c r="B243" s="44"/>
      <c r="C243" s="44"/>
      <c r="D243" s="44"/>
      <c r="E243" s="44"/>
      <c r="F243" s="44"/>
      <c r="G243" s="44"/>
      <c r="H243" s="44"/>
      <c r="I243" s="44"/>
      <c r="J243" s="44"/>
      <c r="K243" s="44"/>
      <c r="L243" s="44"/>
      <c r="M243" s="44"/>
      <c r="N243" s="44"/>
      <c r="O243" s="44"/>
    </row>
    <row r="244" spans="1:15" ht="17.25" customHeight="1">
      <c r="A244" s="44"/>
      <c r="B244" s="44"/>
      <c r="C244" s="44"/>
      <c r="D244" s="44"/>
      <c r="E244" s="44"/>
      <c r="F244" s="44"/>
      <c r="G244" s="44"/>
      <c r="H244" s="44"/>
      <c r="I244" s="44"/>
      <c r="J244" s="44"/>
      <c r="K244" s="44"/>
      <c r="L244" s="44"/>
      <c r="M244" s="44"/>
      <c r="N244" s="44"/>
      <c r="O244" s="44"/>
    </row>
    <row r="245" spans="1:15" ht="17.25" customHeight="1">
      <c r="A245" s="44"/>
      <c r="B245" s="44"/>
      <c r="C245" s="44"/>
      <c r="D245" s="44"/>
      <c r="E245" s="44"/>
      <c r="F245" s="44"/>
      <c r="G245" s="44"/>
      <c r="H245" s="44"/>
      <c r="I245" s="44"/>
      <c r="J245" s="44"/>
      <c r="K245" s="44"/>
      <c r="L245" s="44"/>
      <c r="M245" s="44"/>
      <c r="N245" s="44"/>
      <c r="O245" s="44"/>
    </row>
    <row r="246" spans="1:15" ht="17.25" customHeight="1">
      <c r="A246" s="44"/>
      <c r="B246" s="44"/>
      <c r="C246" s="44"/>
      <c r="D246" s="44"/>
      <c r="E246" s="44"/>
      <c r="F246" s="44"/>
      <c r="G246" s="44"/>
      <c r="H246" s="44"/>
      <c r="I246" s="44"/>
      <c r="J246" s="44"/>
      <c r="K246" s="44"/>
      <c r="L246" s="44"/>
      <c r="M246" s="44"/>
      <c r="N246" s="44"/>
      <c r="O246" s="44"/>
    </row>
    <row r="247" spans="1:15" ht="17.25" customHeight="1">
      <c r="A247" s="44"/>
      <c r="B247" s="44"/>
      <c r="C247" s="44"/>
      <c r="D247" s="44"/>
      <c r="E247" s="44"/>
      <c r="F247" s="44"/>
      <c r="G247" s="44"/>
      <c r="H247" s="44"/>
      <c r="I247" s="44"/>
      <c r="J247" s="44"/>
      <c r="K247" s="44"/>
      <c r="L247" s="44"/>
      <c r="M247" s="44"/>
      <c r="N247" s="44"/>
      <c r="O247" s="44"/>
    </row>
    <row r="248" spans="1:15" ht="17.25" customHeight="1">
      <c r="A248" s="44"/>
      <c r="B248" s="44"/>
      <c r="C248" s="44"/>
      <c r="D248" s="44"/>
      <c r="E248" s="44"/>
      <c r="F248" s="44"/>
      <c r="G248" s="44"/>
      <c r="H248" s="44"/>
      <c r="I248" s="44"/>
      <c r="J248" s="44"/>
      <c r="K248" s="44"/>
      <c r="L248" s="44"/>
      <c r="M248" s="44"/>
      <c r="N248" s="44"/>
      <c r="O248" s="44"/>
    </row>
    <row r="249" spans="1:15" ht="17.25" customHeight="1">
      <c r="A249" s="44"/>
      <c r="B249" s="44"/>
      <c r="C249" s="44"/>
      <c r="D249" s="44"/>
      <c r="E249" s="44"/>
      <c r="F249" s="44"/>
      <c r="G249" s="44"/>
      <c r="H249" s="44"/>
      <c r="I249" s="44"/>
      <c r="J249" s="44"/>
      <c r="K249" s="44"/>
      <c r="L249" s="44"/>
      <c r="M249" s="44"/>
      <c r="N249" s="44"/>
      <c r="O249" s="44"/>
    </row>
    <row r="250" spans="1:15" ht="17.25" customHeight="1">
      <c r="A250" s="44"/>
      <c r="B250" s="44"/>
      <c r="C250" s="44"/>
      <c r="D250" s="44"/>
      <c r="E250" s="44"/>
      <c r="F250" s="44"/>
      <c r="G250" s="44"/>
      <c r="H250" s="44"/>
      <c r="I250" s="44"/>
      <c r="J250" s="44"/>
      <c r="K250" s="44"/>
      <c r="L250" s="44"/>
      <c r="M250" s="44"/>
      <c r="N250" s="44"/>
      <c r="O250" s="44"/>
    </row>
    <row r="251" spans="1:15" ht="17.25" customHeight="1">
      <c r="A251" s="44"/>
      <c r="B251" s="44"/>
      <c r="C251" s="44"/>
      <c r="D251" s="44"/>
      <c r="E251" s="44"/>
      <c r="F251" s="44"/>
      <c r="G251" s="44"/>
      <c r="H251" s="44"/>
      <c r="I251" s="44"/>
      <c r="J251" s="44"/>
      <c r="K251" s="44"/>
      <c r="L251" s="44"/>
      <c r="M251" s="44"/>
      <c r="N251" s="44"/>
      <c r="O251" s="44"/>
    </row>
    <row r="252" spans="1:15" ht="17.25" customHeight="1">
      <c r="A252" s="44"/>
      <c r="B252" s="44"/>
      <c r="C252" s="44"/>
      <c r="D252" s="44"/>
      <c r="E252" s="44"/>
      <c r="F252" s="44"/>
      <c r="G252" s="44"/>
      <c r="H252" s="44"/>
      <c r="I252" s="44"/>
      <c r="J252" s="44"/>
      <c r="K252" s="44"/>
      <c r="L252" s="44"/>
      <c r="M252" s="44"/>
      <c r="N252" s="44"/>
      <c r="O252" s="44"/>
    </row>
    <row r="253" spans="1:15" ht="17.25" customHeight="1">
      <c r="A253" s="44"/>
      <c r="B253" s="44"/>
      <c r="C253" s="44"/>
      <c r="D253" s="44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4"/>
    </row>
    <row r="254" spans="1:15" ht="17.25" customHeight="1">
      <c r="A254" s="44"/>
      <c r="B254" s="44"/>
      <c r="C254" s="44"/>
      <c r="D254" s="44"/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O254" s="44"/>
    </row>
    <row r="255" spans="1:15" ht="17.25" customHeight="1">
      <c r="A255" s="44"/>
      <c r="B255" s="44"/>
      <c r="C255" s="44"/>
      <c r="D255" s="44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</row>
    <row r="256" spans="1:15" ht="17.25" customHeight="1">
      <c r="A256" s="44"/>
      <c r="B256" s="44"/>
      <c r="C256" s="44"/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</row>
    <row r="257" spans="1:15" ht="17.25" customHeight="1">
      <c r="A257" s="44"/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</row>
    <row r="258" spans="1:15" ht="17.25" customHeight="1">
      <c r="A258" s="44"/>
      <c r="B258" s="44"/>
      <c r="C258" s="44"/>
      <c r="D258" s="44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</row>
    <row r="259" spans="1:15" ht="17.25" customHeight="1">
      <c r="A259" s="44"/>
      <c r="B259" s="44"/>
      <c r="C259" s="44"/>
      <c r="D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</row>
    <row r="260" spans="1:15" ht="17.25" customHeight="1">
      <c r="A260" s="44"/>
      <c r="B260" s="44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</row>
    <row r="261" spans="1:15" ht="17.25" customHeight="1">
      <c r="A261" s="44"/>
      <c r="B261" s="44"/>
      <c r="C261" s="44"/>
      <c r="D261" s="44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</row>
    <row r="262" spans="1:15" ht="17.25" customHeight="1">
      <c r="A262" s="44"/>
      <c r="B262" s="44"/>
      <c r="C262" s="44"/>
      <c r="D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</row>
    <row r="263" spans="1:15" ht="17.25" customHeight="1">
      <c r="A263" s="44"/>
      <c r="B263" s="44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</row>
    <row r="264" spans="1:15" ht="17.25" customHeight="1">
      <c r="A264" s="44"/>
      <c r="B264" s="44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</row>
    <row r="265" spans="1:15" ht="17.25" customHeight="1">
      <c r="A265" s="44"/>
      <c r="B265" s="44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</row>
    <row r="266" spans="1:15" ht="17.25" customHeight="1">
      <c r="A266" s="44"/>
      <c r="B266" s="44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</row>
    <row r="267" spans="1:15" ht="17.25" customHeight="1">
      <c r="A267" s="44"/>
      <c r="B267" s="44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</row>
    <row r="268" spans="1:15" ht="17.25" customHeight="1">
      <c r="A268" s="44"/>
      <c r="B268" s="44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</row>
    <row r="269" spans="1:15" ht="17.25" customHeight="1">
      <c r="A269" s="44"/>
      <c r="B269" s="44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</row>
    <row r="270" spans="1:15" ht="17.25" customHeight="1">
      <c r="A270" s="44"/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</row>
    <row r="271" spans="1:15" ht="17.25" customHeight="1">
      <c r="A271" s="44"/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</row>
    <row r="272" spans="1:15" ht="17.25" customHeight="1">
      <c r="A272" s="44"/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</row>
    <row r="273" spans="1:15" ht="17.25" customHeight="1">
      <c r="A273" s="44"/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</row>
    <row r="274" spans="1:15" ht="17.25" customHeight="1">
      <c r="A274" s="44"/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</row>
    <row r="275" spans="1:15" ht="17.25" customHeight="1">
      <c r="A275" s="44"/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</row>
    <row r="276" spans="1:15" ht="17.25" customHeight="1">
      <c r="A276" s="44"/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</row>
    <row r="277" spans="1:15" ht="17.25" customHeight="1">
      <c r="A277" s="44"/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</row>
    <row r="278" spans="1:15" ht="17.25" customHeight="1">
      <c r="A278" s="44"/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</row>
    <row r="279" spans="1:15" ht="17.25" customHeight="1">
      <c r="A279" s="44"/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</row>
    <row r="280" spans="1:15" ht="17.25" customHeight="1">
      <c r="A280" s="44"/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</row>
    <row r="281" spans="1:15" ht="17.25" customHeight="1">
      <c r="A281" s="44"/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</row>
    <row r="282" spans="1:15" ht="17.25" customHeight="1">
      <c r="A282" s="44"/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</row>
    <row r="283" spans="1:15" ht="17.25" customHeight="1">
      <c r="A283" s="44"/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</row>
    <row r="284" spans="1:15" ht="17.25" customHeight="1">
      <c r="A284" s="44"/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</row>
    <row r="285" spans="1:15" ht="17.25" customHeight="1">
      <c r="A285" s="44"/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</row>
    <row r="286" spans="1:15" ht="17.25" customHeight="1">
      <c r="A286" s="44"/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</row>
    <row r="287" spans="1:15" ht="17.25" customHeight="1">
      <c r="A287" s="44"/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</row>
    <row r="288" spans="1:15" ht="17.25" customHeight="1">
      <c r="A288" s="44"/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</row>
    <row r="289" spans="1:15" ht="17.25" customHeight="1">
      <c r="A289" s="44"/>
      <c r="B289" s="44"/>
      <c r="C289" s="44"/>
      <c r="D289" s="44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</row>
    <row r="290" spans="1:15" ht="17.25" customHeight="1">
      <c r="A290" s="44"/>
      <c r="B290" s="44"/>
      <c r="C290" s="44"/>
      <c r="D290" s="44"/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44"/>
    </row>
    <row r="291" spans="1:15" ht="17.25" customHeight="1">
      <c r="A291" s="44"/>
      <c r="B291" s="44"/>
      <c r="C291" s="44"/>
      <c r="D291" s="44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</row>
    <row r="292" spans="1:15" ht="17.25" customHeight="1">
      <c r="A292" s="44"/>
      <c r="B292" s="44"/>
      <c r="C292" s="44"/>
      <c r="D292" s="44"/>
      <c r="E292" s="44"/>
      <c r="F292" s="44"/>
      <c r="G292" s="44"/>
      <c r="H292" s="44"/>
      <c r="I292" s="44"/>
      <c r="J292" s="44"/>
      <c r="K292" s="44"/>
      <c r="L292" s="44"/>
      <c r="M292" s="44"/>
      <c r="N292" s="44"/>
      <c r="O292" s="44"/>
    </row>
    <row r="293" spans="1:15" ht="17.25" customHeight="1">
      <c r="A293" s="44"/>
      <c r="B293" s="44"/>
      <c r="C293" s="44"/>
      <c r="D293" s="44"/>
      <c r="E293" s="44"/>
      <c r="F293" s="44"/>
      <c r="G293" s="44"/>
      <c r="H293" s="44"/>
      <c r="I293" s="44"/>
      <c r="J293" s="44"/>
      <c r="K293" s="44"/>
      <c r="L293" s="44"/>
      <c r="M293" s="44"/>
      <c r="N293" s="44"/>
      <c r="O293" s="44"/>
    </row>
    <row r="294" spans="1:15" ht="17.25" customHeight="1">
      <c r="A294" s="44"/>
      <c r="B294" s="44"/>
      <c r="C294" s="44"/>
      <c r="D294" s="44"/>
      <c r="E294" s="44"/>
      <c r="F294" s="44"/>
      <c r="G294" s="44"/>
      <c r="H294" s="44"/>
      <c r="I294" s="44"/>
      <c r="J294" s="44"/>
      <c r="K294" s="44"/>
      <c r="L294" s="44"/>
      <c r="M294" s="44"/>
      <c r="N294" s="44"/>
      <c r="O294" s="44"/>
    </row>
    <row r="295" spans="1:15" ht="17.25" customHeight="1">
      <c r="A295" s="44"/>
      <c r="B295" s="44"/>
      <c r="C295" s="44"/>
      <c r="D295" s="44"/>
      <c r="E295" s="44"/>
      <c r="F295" s="44"/>
      <c r="G295" s="44"/>
      <c r="H295" s="44"/>
      <c r="I295" s="44"/>
      <c r="J295" s="44"/>
      <c r="K295" s="44"/>
      <c r="L295" s="44"/>
      <c r="M295" s="44"/>
      <c r="N295" s="44"/>
      <c r="O295" s="44"/>
    </row>
    <row r="296" spans="1:15" ht="17.25" customHeight="1">
      <c r="A296" s="44"/>
      <c r="B296" s="44"/>
      <c r="C296" s="44"/>
      <c r="D296" s="44"/>
      <c r="E296" s="44"/>
      <c r="F296" s="44"/>
      <c r="G296" s="44"/>
      <c r="H296" s="44"/>
      <c r="I296" s="44"/>
      <c r="J296" s="44"/>
      <c r="K296" s="44"/>
      <c r="L296" s="44"/>
      <c r="M296" s="44"/>
      <c r="N296" s="44"/>
      <c r="O296" s="44"/>
    </row>
    <row r="297" spans="1:15" ht="17.25" customHeight="1">
      <c r="A297" s="44"/>
      <c r="B297" s="44"/>
      <c r="C297" s="44"/>
      <c r="D297" s="44"/>
      <c r="E297" s="44"/>
      <c r="F297" s="44"/>
      <c r="G297" s="44"/>
      <c r="H297" s="44"/>
      <c r="I297" s="44"/>
      <c r="J297" s="44"/>
      <c r="K297" s="44"/>
      <c r="L297" s="44"/>
      <c r="M297" s="44"/>
      <c r="N297" s="44"/>
      <c r="O297" s="44"/>
    </row>
    <row r="298" spans="1:15" ht="17.25" customHeight="1">
      <c r="A298" s="44"/>
      <c r="B298" s="44"/>
      <c r="C298" s="44"/>
      <c r="D298" s="44"/>
      <c r="E298" s="44"/>
      <c r="F298" s="44"/>
      <c r="G298" s="44"/>
      <c r="H298" s="44"/>
      <c r="I298" s="44"/>
      <c r="J298" s="44"/>
      <c r="K298" s="44"/>
      <c r="L298" s="44"/>
      <c r="M298" s="44"/>
      <c r="N298" s="44"/>
      <c r="O298" s="44"/>
    </row>
    <row r="299" spans="1:15" ht="17.25" customHeight="1">
      <c r="A299" s="44"/>
      <c r="B299" s="44"/>
      <c r="C299" s="44"/>
      <c r="D299" s="44"/>
      <c r="E299" s="44"/>
      <c r="F299" s="44"/>
      <c r="G299" s="44"/>
      <c r="H299" s="44"/>
      <c r="I299" s="44"/>
      <c r="J299" s="44"/>
      <c r="K299" s="44"/>
      <c r="L299" s="44"/>
      <c r="M299" s="44"/>
      <c r="N299" s="44"/>
      <c r="O299" s="44"/>
    </row>
    <row r="300" spans="1:15" ht="17.25" customHeight="1">
      <c r="A300" s="44"/>
      <c r="B300" s="44"/>
      <c r="C300" s="44"/>
      <c r="D300" s="44"/>
      <c r="E300" s="44"/>
      <c r="F300" s="44"/>
      <c r="G300" s="44"/>
      <c r="H300" s="44"/>
      <c r="I300" s="44"/>
      <c r="J300" s="44"/>
      <c r="K300" s="44"/>
      <c r="L300" s="44"/>
      <c r="M300" s="44"/>
      <c r="N300" s="44"/>
      <c r="O300" s="44"/>
    </row>
    <row r="301" spans="1:15" ht="17.25" customHeight="1">
      <c r="A301" s="44"/>
      <c r="B301" s="44"/>
      <c r="C301" s="44"/>
      <c r="D301" s="44"/>
      <c r="E301" s="44"/>
      <c r="F301" s="44"/>
      <c r="G301" s="44"/>
      <c r="H301" s="44"/>
      <c r="I301" s="44"/>
      <c r="J301" s="44"/>
      <c r="K301" s="44"/>
      <c r="L301" s="44"/>
      <c r="M301" s="44"/>
      <c r="N301" s="44"/>
      <c r="O301" s="44"/>
    </row>
    <row r="302" spans="1:15" ht="17.25" customHeight="1">
      <c r="A302" s="44"/>
      <c r="B302" s="44"/>
      <c r="C302" s="44"/>
      <c r="D302" s="44"/>
      <c r="E302" s="44"/>
      <c r="F302" s="44"/>
      <c r="G302" s="44"/>
      <c r="H302" s="44"/>
      <c r="I302" s="44"/>
      <c r="J302" s="44"/>
      <c r="K302" s="44"/>
      <c r="L302" s="44"/>
      <c r="M302" s="44"/>
      <c r="N302" s="44"/>
      <c r="O302" s="44"/>
    </row>
    <row r="303" spans="1:15" ht="17.25" customHeight="1">
      <c r="A303" s="44"/>
      <c r="B303" s="44"/>
      <c r="C303" s="44"/>
      <c r="D303" s="44"/>
      <c r="E303" s="44"/>
      <c r="F303" s="44"/>
      <c r="G303" s="44"/>
      <c r="H303" s="44"/>
      <c r="I303" s="44"/>
      <c r="J303" s="44"/>
      <c r="K303" s="44"/>
      <c r="L303" s="44"/>
      <c r="M303" s="44"/>
      <c r="N303" s="44"/>
      <c r="O303" s="44"/>
    </row>
    <row r="304" spans="1:15" ht="17.25" customHeight="1">
      <c r="A304" s="44"/>
      <c r="B304" s="44"/>
      <c r="C304" s="44"/>
      <c r="D304" s="44"/>
      <c r="E304" s="44"/>
      <c r="F304" s="44"/>
      <c r="G304" s="44"/>
      <c r="H304" s="44"/>
      <c r="I304" s="44"/>
      <c r="J304" s="44"/>
      <c r="K304" s="44"/>
      <c r="L304" s="44"/>
      <c r="M304" s="44"/>
      <c r="N304" s="44"/>
      <c r="O304" s="44"/>
    </row>
    <row r="305" spans="1:15" ht="17.25" customHeight="1">
      <c r="A305" s="44"/>
      <c r="B305" s="44"/>
      <c r="C305" s="44"/>
      <c r="D305" s="44"/>
      <c r="E305" s="44"/>
      <c r="F305" s="44"/>
      <c r="G305" s="44"/>
      <c r="H305" s="44"/>
      <c r="I305" s="44"/>
      <c r="J305" s="44"/>
      <c r="K305" s="44"/>
      <c r="L305" s="44"/>
      <c r="M305" s="44"/>
      <c r="N305" s="44"/>
      <c r="O305" s="44"/>
    </row>
    <row r="306" spans="1:15" ht="17.25" customHeight="1">
      <c r="A306" s="44"/>
      <c r="B306" s="44"/>
      <c r="C306" s="44"/>
      <c r="D306" s="44"/>
      <c r="E306" s="44"/>
      <c r="F306" s="44"/>
      <c r="G306" s="44"/>
      <c r="H306" s="44"/>
      <c r="I306" s="44"/>
      <c r="J306" s="44"/>
      <c r="K306" s="44"/>
      <c r="L306" s="44"/>
      <c r="M306" s="44"/>
      <c r="N306" s="44"/>
      <c r="O306" s="44"/>
    </row>
    <row r="307" spans="1:15" ht="17.25" customHeight="1">
      <c r="A307" s="44"/>
      <c r="B307" s="44"/>
      <c r="C307" s="44"/>
      <c r="D307" s="44"/>
      <c r="E307" s="44"/>
      <c r="F307" s="44"/>
      <c r="G307" s="44"/>
      <c r="H307" s="44"/>
      <c r="I307" s="44"/>
      <c r="J307" s="44"/>
      <c r="K307" s="44"/>
      <c r="L307" s="44"/>
      <c r="M307" s="44"/>
      <c r="N307" s="44"/>
      <c r="O307" s="44"/>
    </row>
    <row r="308" spans="1:15" ht="17.25" customHeight="1">
      <c r="A308" s="44"/>
      <c r="B308" s="44"/>
      <c r="C308" s="44"/>
      <c r="D308" s="44"/>
      <c r="E308" s="44"/>
      <c r="F308" s="44"/>
      <c r="G308" s="44"/>
      <c r="H308" s="44"/>
      <c r="I308" s="44"/>
      <c r="J308" s="44"/>
      <c r="K308" s="44"/>
      <c r="L308" s="44"/>
      <c r="M308" s="44"/>
      <c r="N308" s="44"/>
      <c r="O308" s="44"/>
    </row>
    <row r="309" spans="1:15" ht="17.25" customHeight="1">
      <c r="A309" s="44"/>
      <c r="B309" s="44"/>
      <c r="C309" s="44"/>
      <c r="D309" s="44"/>
      <c r="E309" s="44"/>
      <c r="F309" s="44"/>
      <c r="G309" s="44"/>
      <c r="H309" s="44"/>
      <c r="I309" s="44"/>
      <c r="J309" s="44"/>
      <c r="K309" s="44"/>
      <c r="L309" s="44"/>
      <c r="M309" s="44"/>
      <c r="N309" s="44"/>
      <c r="O309" s="44"/>
    </row>
    <row r="310" spans="1:15" ht="17.25" customHeight="1">
      <c r="A310" s="44"/>
      <c r="B310" s="44"/>
      <c r="C310" s="44"/>
      <c r="D310" s="44"/>
      <c r="E310" s="44"/>
      <c r="F310" s="44"/>
      <c r="G310" s="44"/>
      <c r="H310" s="44"/>
      <c r="I310" s="44"/>
      <c r="J310" s="44"/>
      <c r="K310" s="44"/>
      <c r="L310" s="44"/>
      <c r="M310" s="44"/>
      <c r="N310" s="44"/>
      <c r="O310" s="44"/>
    </row>
    <row r="311" spans="1:15" ht="17.25" customHeight="1">
      <c r="A311" s="44"/>
      <c r="B311" s="44"/>
      <c r="C311" s="44"/>
      <c r="D311" s="44"/>
      <c r="E311" s="44"/>
      <c r="F311" s="44"/>
      <c r="G311" s="44"/>
      <c r="H311" s="44"/>
      <c r="I311" s="44"/>
      <c r="J311" s="44"/>
      <c r="K311" s="44"/>
      <c r="L311" s="44"/>
      <c r="M311" s="44"/>
      <c r="N311" s="44"/>
      <c r="O311" s="44"/>
    </row>
    <row r="312" spans="1:15" ht="17.25" customHeight="1">
      <c r="A312" s="44"/>
      <c r="B312" s="44"/>
      <c r="C312" s="44"/>
      <c r="D312" s="44"/>
      <c r="E312" s="44"/>
      <c r="F312" s="44"/>
      <c r="G312" s="44"/>
      <c r="H312" s="44"/>
      <c r="I312" s="44"/>
      <c r="J312" s="44"/>
      <c r="K312" s="44"/>
      <c r="L312" s="44"/>
      <c r="M312" s="44"/>
      <c r="N312" s="44"/>
      <c r="O312" s="44"/>
    </row>
    <row r="313" spans="1:15" ht="17.25" customHeight="1">
      <c r="A313" s="44"/>
      <c r="B313" s="44"/>
      <c r="C313" s="44"/>
      <c r="D313" s="44"/>
      <c r="E313" s="44"/>
      <c r="F313" s="44"/>
      <c r="G313" s="44"/>
      <c r="H313" s="44"/>
      <c r="I313" s="44"/>
      <c r="J313" s="44"/>
      <c r="K313" s="44"/>
      <c r="L313" s="44"/>
      <c r="M313" s="44"/>
      <c r="N313" s="44"/>
      <c r="O313" s="44"/>
    </row>
    <row r="314" spans="1:15" ht="17.25" customHeight="1">
      <c r="A314" s="44"/>
      <c r="B314" s="44"/>
      <c r="C314" s="44"/>
      <c r="D314" s="44"/>
      <c r="E314" s="44"/>
      <c r="F314" s="44"/>
      <c r="G314" s="44"/>
      <c r="H314" s="44"/>
      <c r="I314" s="44"/>
      <c r="J314" s="44"/>
      <c r="K314" s="44"/>
      <c r="L314" s="44"/>
      <c r="M314" s="44"/>
      <c r="N314" s="44"/>
      <c r="O314" s="44"/>
    </row>
    <row r="315" spans="1:15" ht="17.25" customHeight="1">
      <c r="A315" s="44"/>
      <c r="B315" s="44"/>
      <c r="C315" s="44"/>
      <c r="D315" s="44"/>
      <c r="E315" s="44"/>
      <c r="F315" s="44"/>
      <c r="G315" s="44"/>
      <c r="H315" s="44"/>
      <c r="I315" s="44"/>
      <c r="J315" s="44"/>
      <c r="K315" s="44"/>
      <c r="L315" s="44"/>
      <c r="M315" s="44"/>
      <c r="N315" s="44"/>
      <c r="O315" s="44"/>
    </row>
    <row r="316" spans="1:15" ht="17.25" customHeight="1">
      <c r="A316" s="44"/>
      <c r="B316" s="44"/>
      <c r="C316" s="44"/>
      <c r="D316" s="44"/>
      <c r="E316" s="44"/>
      <c r="F316" s="44"/>
      <c r="G316" s="44"/>
      <c r="H316" s="44"/>
      <c r="I316" s="44"/>
      <c r="J316" s="44"/>
      <c r="K316" s="44"/>
      <c r="L316" s="44"/>
      <c r="M316" s="44"/>
      <c r="N316" s="44"/>
      <c r="O316" s="44"/>
    </row>
    <row r="317" spans="1:15" ht="17.25" customHeight="1">
      <c r="A317" s="44"/>
      <c r="B317" s="44"/>
      <c r="C317" s="44"/>
      <c r="D317" s="44"/>
      <c r="E317" s="44"/>
      <c r="F317" s="44"/>
      <c r="G317" s="44"/>
      <c r="H317" s="44"/>
      <c r="I317" s="44"/>
      <c r="J317" s="44"/>
      <c r="K317" s="44"/>
      <c r="L317" s="44"/>
      <c r="M317" s="44"/>
      <c r="N317" s="44"/>
      <c r="O317" s="44"/>
    </row>
    <row r="318" spans="1:15" ht="17.25" customHeight="1">
      <c r="A318" s="44"/>
      <c r="B318" s="44"/>
      <c r="C318" s="44"/>
      <c r="D318" s="44"/>
      <c r="E318" s="44"/>
      <c r="F318" s="44"/>
      <c r="G318" s="44"/>
      <c r="H318" s="44"/>
      <c r="I318" s="44"/>
      <c r="J318" s="44"/>
      <c r="K318" s="44"/>
      <c r="L318" s="44"/>
      <c r="M318" s="44"/>
      <c r="N318" s="44"/>
      <c r="O318" s="44"/>
    </row>
    <row r="319" spans="1:15" ht="17.25" customHeight="1">
      <c r="A319" s="44"/>
      <c r="B319" s="44"/>
      <c r="C319" s="44"/>
      <c r="D319" s="44"/>
      <c r="E319" s="44"/>
      <c r="F319" s="44"/>
      <c r="G319" s="44"/>
      <c r="H319" s="44"/>
      <c r="I319" s="44"/>
      <c r="J319" s="44"/>
      <c r="K319" s="44"/>
      <c r="L319" s="44"/>
      <c r="M319" s="44"/>
      <c r="N319" s="44"/>
      <c r="O319" s="44"/>
    </row>
    <row r="320" spans="1:15" ht="17.25" customHeight="1">
      <c r="A320" s="44"/>
      <c r="B320" s="44"/>
      <c r="C320" s="44"/>
      <c r="D320" s="44"/>
      <c r="E320" s="44"/>
      <c r="F320" s="44"/>
      <c r="G320" s="44"/>
      <c r="H320" s="44"/>
      <c r="I320" s="44"/>
      <c r="J320" s="44"/>
      <c r="K320" s="44"/>
      <c r="L320" s="44"/>
      <c r="M320" s="44"/>
      <c r="N320" s="44"/>
      <c r="O320" s="44"/>
    </row>
    <row r="321" spans="1:15" ht="17.25" customHeight="1">
      <c r="A321" s="44"/>
      <c r="B321" s="44"/>
      <c r="C321" s="44"/>
      <c r="D321" s="44"/>
      <c r="E321" s="44"/>
      <c r="F321" s="44"/>
      <c r="G321" s="44"/>
      <c r="H321" s="44"/>
      <c r="I321" s="44"/>
      <c r="J321" s="44"/>
      <c r="K321" s="44"/>
      <c r="L321" s="44"/>
      <c r="M321" s="44"/>
      <c r="N321" s="44"/>
      <c r="O321" s="44"/>
    </row>
    <row r="322" spans="1:15" ht="17.25" customHeight="1">
      <c r="A322" s="44"/>
      <c r="B322" s="44"/>
      <c r="C322" s="44"/>
      <c r="D322" s="44"/>
      <c r="E322" s="44"/>
      <c r="F322" s="44"/>
      <c r="G322" s="44"/>
      <c r="H322" s="44"/>
      <c r="I322" s="44"/>
      <c r="J322" s="44"/>
      <c r="K322" s="44"/>
      <c r="L322" s="44"/>
      <c r="M322" s="44"/>
      <c r="N322" s="44"/>
      <c r="O322" s="44"/>
    </row>
    <row r="323" spans="1:15" ht="17.25" customHeight="1">
      <c r="A323" s="44"/>
      <c r="B323" s="44"/>
      <c r="C323" s="44"/>
      <c r="D323" s="44"/>
      <c r="E323" s="44"/>
      <c r="F323" s="44"/>
      <c r="G323" s="44"/>
      <c r="H323" s="44"/>
      <c r="I323" s="44"/>
      <c r="J323" s="44"/>
      <c r="K323" s="44"/>
      <c r="L323" s="44"/>
      <c r="M323" s="44"/>
      <c r="N323" s="44"/>
      <c r="O323" s="44"/>
    </row>
    <row r="324" spans="1:15" ht="17.25" customHeight="1">
      <c r="A324" s="44"/>
      <c r="B324" s="44"/>
      <c r="C324" s="44"/>
      <c r="D324" s="44"/>
      <c r="E324" s="44"/>
      <c r="F324" s="44"/>
      <c r="G324" s="44"/>
      <c r="H324" s="44"/>
      <c r="I324" s="44"/>
      <c r="J324" s="44"/>
      <c r="K324" s="44"/>
      <c r="L324" s="44"/>
      <c r="M324" s="44"/>
      <c r="N324" s="44"/>
      <c r="O324" s="44"/>
    </row>
    <row r="325" spans="1:15" ht="17.25" customHeight="1">
      <c r="A325" s="44"/>
      <c r="B325" s="44"/>
      <c r="C325" s="44"/>
      <c r="D325" s="44"/>
      <c r="E325" s="44"/>
      <c r="F325" s="44"/>
      <c r="G325" s="44"/>
      <c r="H325" s="44"/>
      <c r="I325" s="44"/>
      <c r="J325" s="44"/>
      <c r="K325" s="44"/>
      <c r="L325" s="44"/>
      <c r="M325" s="44"/>
      <c r="N325" s="44"/>
      <c r="O325" s="44"/>
    </row>
    <row r="326" spans="1:15" ht="17.25" customHeight="1">
      <c r="A326" s="44"/>
      <c r="B326" s="44"/>
      <c r="C326" s="44"/>
      <c r="D326" s="44"/>
      <c r="E326" s="44"/>
      <c r="F326" s="44"/>
      <c r="G326" s="44"/>
      <c r="H326" s="44"/>
      <c r="I326" s="44"/>
      <c r="J326" s="44"/>
      <c r="K326" s="44"/>
      <c r="L326" s="44"/>
      <c r="M326" s="44"/>
      <c r="N326" s="44"/>
      <c r="O326" s="44"/>
    </row>
    <row r="327" spans="1:15" ht="17.25" customHeight="1">
      <c r="A327" s="44"/>
      <c r="B327" s="44"/>
      <c r="C327" s="44"/>
      <c r="D327" s="44"/>
      <c r="E327" s="44"/>
      <c r="F327" s="44"/>
      <c r="G327" s="44"/>
      <c r="H327" s="44"/>
      <c r="I327" s="44"/>
      <c r="J327" s="44"/>
      <c r="K327" s="44"/>
      <c r="L327" s="44"/>
      <c r="M327" s="44"/>
      <c r="N327" s="44"/>
      <c r="O327" s="44"/>
    </row>
    <row r="328" spans="1:15" ht="17.25" customHeight="1">
      <c r="A328" s="44"/>
      <c r="B328" s="44"/>
      <c r="C328" s="44"/>
      <c r="D328" s="44"/>
      <c r="E328" s="44"/>
      <c r="F328" s="44"/>
      <c r="G328" s="44"/>
      <c r="H328" s="44"/>
      <c r="I328" s="44"/>
      <c r="J328" s="44"/>
      <c r="K328" s="44"/>
      <c r="L328" s="44"/>
      <c r="M328" s="44"/>
      <c r="N328" s="44"/>
      <c r="O328" s="44"/>
    </row>
    <row r="329" spans="1:15" ht="17.25" customHeight="1">
      <c r="A329" s="44"/>
      <c r="B329" s="44"/>
      <c r="C329" s="44"/>
      <c r="D329" s="44"/>
      <c r="E329" s="44"/>
      <c r="F329" s="44"/>
      <c r="G329" s="44"/>
      <c r="H329" s="44"/>
      <c r="I329" s="44"/>
      <c r="J329" s="44"/>
      <c r="K329" s="44"/>
      <c r="L329" s="44"/>
      <c r="M329" s="44"/>
      <c r="N329" s="44"/>
      <c r="O329" s="44"/>
    </row>
    <row r="330" spans="1:15" ht="17.25" customHeight="1">
      <c r="A330" s="44"/>
      <c r="B330" s="44"/>
      <c r="C330" s="44"/>
      <c r="D330" s="44"/>
      <c r="E330" s="44"/>
      <c r="F330" s="44"/>
      <c r="G330" s="44"/>
      <c r="H330" s="44"/>
      <c r="I330" s="44"/>
      <c r="J330" s="44"/>
      <c r="K330" s="44"/>
      <c r="L330" s="44"/>
      <c r="M330" s="44"/>
      <c r="N330" s="44"/>
      <c r="O330" s="44"/>
    </row>
    <row r="331" spans="1:15" ht="17.25" customHeight="1">
      <c r="A331" s="44"/>
      <c r="B331" s="44"/>
      <c r="C331" s="44"/>
      <c r="D331" s="44"/>
      <c r="E331" s="44"/>
      <c r="F331" s="44"/>
      <c r="G331" s="44"/>
      <c r="H331" s="44"/>
      <c r="I331" s="44"/>
      <c r="J331" s="44"/>
      <c r="K331" s="44"/>
      <c r="L331" s="44"/>
      <c r="M331" s="44"/>
      <c r="N331" s="44"/>
      <c r="O331" s="44"/>
    </row>
    <row r="332" spans="1:15" ht="17.25" customHeight="1">
      <c r="A332" s="44"/>
      <c r="B332" s="44"/>
      <c r="C332" s="44"/>
      <c r="D332" s="44"/>
      <c r="E332" s="44"/>
      <c r="F332" s="44"/>
      <c r="G332" s="44"/>
      <c r="H332" s="44"/>
      <c r="I332" s="44"/>
      <c r="J332" s="44"/>
      <c r="K332" s="44"/>
      <c r="L332" s="44"/>
      <c r="M332" s="44"/>
      <c r="N332" s="44"/>
      <c r="O332" s="44"/>
    </row>
    <row r="333" spans="1:15" ht="17.25" customHeight="1">
      <c r="A333" s="44"/>
      <c r="B333" s="44"/>
      <c r="C333" s="44"/>
      <c r="D333" s="44"/>
      <c r="E333" s="44"/>
      <c r="F333" s="44"/>
      <c r="G333" s="44"/>
      <c r="H333" s="44"/>
      <c r="I333" s="44"/>
      <c r="J333" s="44"/>
      <c r="K333" s="44"/>
      <c r="L333" s="44"/>
      <c r="M333" s="44"/>
      <c r="N333" s="44"/>
      <c r="O333" s="44"/>
    </row>
    <row r="334" spans="1:15" ht="17.25" customHeight="1">
      <c r="A334" s="44"/>
      <c r="B334" s="44"/>
      <c r="C334" s="44"/>
      <c r="D334" s="44"/>
      <c r="E334" s="44"/>
      <c r="F334" s="44"/>
      <c r="G334" s="44"/>
      <c r="H334" s="44"/>
      <c r="I334" s="44"/>
      <c r="J334" s="44"/>
      <c r="K334" s="44"/>
      <c r="L334" s="44"/>
      <c r="M334" s="44"/>
      <c r="N334" s="44"/>
      <c r="O334" s="44"/>
    </row>
    <row r="335" spans="1:15" ht="17.25" customHeight="1">
      <c r="A335" s="44"/>
      <c r="B335" s="44"/>
      <c r="C335" s="44"/>
      <c r="D335" s="44"/>
      <c r="E335" s="44"/>
      <c r="F335" s="44"/>
      <c r="G335" s="44"/>
      <c r="H335" s="44"/>
      <c r="I335" s="44"/>
      <c r="J335" s="44"/>
      <c r="K335" s="44"/>
      <c r="L335" s="44"/>
      <c r="M335" s="44"/>
      <c r="N335" s="44"/>
      <c r="O335" s="44"/>
    </row>
    <row r="336" spans="1:15" ht="17.25" customHeight="1">
      <c r="A336" s="44"/>
      <c r="B336" s="44"/>
      <c r="C336" s="44"/>
      <c r="D336" s="44"/>
      <c r="E336" s="44"/>
      <c r="F336" s="44"/>
      <c r="G336" s="44"/>
      <c r="H336" s="44"/>
      <c r="I336" s="44"/>
      <c r="J336" s="44"/>
      <c r="K336" s="44"/>
      <c r="L336" s="44"/>
      <c r="M336" s="44"/>
      <c r="N336" s="44"/>
      <c r="O336" s="44"/>
    </row>
    <row r="337" spans="1:15" ht="17.25" customHeight="1">
      <c r="A337" s="44"/>
      <c r="B337" s="44"/>
      <c r="C337" s="44"/>
      <c r="D337" s="44"/>
      <c r="E337" s="44"/>
      <c r="F337" s="44"/>
      <c r="G337" s="44"/>
      <c r="H337" s="44"/>
      <c r="I337" s="44"/>
      <c r="J337" s="44"/>
      <c r="K337" s="44"/>
      <c r="L337" s="44"/>
      <c r="M337" s="44"/>
      <c r="N337" s="44"/>
      <c r="O337" s="44"/>
    </row>
    <row r="338" spans="1:15" ht="17.25" customHeight="1">
      <c r="A338" s="44"/>
      <c r="B338" s="44"/>
      <c r="C338" s="44"/>
      <c r="D338" s="44"/>
      <c r="E338" s="44"/>
      <c r="F338" s="44"/>
      <c r="G338" s="44"/>
      <c r="H338" s="44"/>
      <c r="I338" s="44"/>
      <c r="J338" s="44"/>
      <c r="K338" s="44"/>
      <c r="L338" s="44"/>
      <c r="M338" s="44"/>
      <c r="N338" s="44"/>
      <c r="O338" s="44"/>
    </row>
    <row r="339" spans="1:15" ht="17.25" customHeight="1">
      <c r="A339" s="44"/>
      <c r="B339" s="44"/>
      <c r="C339" s="44"/>
      <c r="D339" s="44"/>
      <c r="E339" s="44"/>
      <c r="F339" s="44"/>
      <c r="G339" s="44"/>
      <c r="H339" s="44"/>
      <c r="I339" s="44"/>
      <c r="J339" s="44"/>
      <c r="K339" s="44"/>
      <c r="L339" s="44"/>
      <c r="M339" s="44"/>
      <c r="N339" s="44"/>
      <c r="O339" s="44"/>
    </row>
    <row r="340" spans="1:15" ht="17.25" customHeight="1">
      <c r="A340" s="44"/>
      <c r="B340" s="44"/>
      <c r="C340" s="44"/>
      <c r="D340" s="44"/>
      <c r="E340" s="44"/>
      <c r="F340" s="44"/>
      <c r="G340" s="44"/>
      <c r="H340" s="44"/>
      <c r="I340" s="44"/>
      <c r="J340" s="44"/>
      <c r="K340" s="44"/>
      <c r="L340" s="44"/>
      <c r="M340" s="44"/>
      <c r="N340" s="44"/>
      <c r="O340" s="44"/>
    </row>
    <row r="341" spans="1:15" ht="17.25" customHeight="1">
      <c r="A341" s="44"/>
      <c r="B341" s="44"/>
      <c r="C341" s="44"/>
      <c r="D341" s="44"/>
      <c r="E341" s="44"/>
      <c r="F341" s="44"/>
      <c r="G341" s="44"/>
      <c r="H341" s="44"/>
      <c r="I341" s="44"/>
      <c r="J341" s="44"/>
      <c r="K341" s="44"/>
      <c r="L341" s="44"/>
      <c r="M341" s="44"/>
      <c r="N341" s="44"/>
      <c r="O341" s="44"/>
    </row>
    <row r="342" spans="1:15" ht="17.25" customHeight="1">
      <c r="A342" s="44"/>
      <c r="B342" s="44"/>
      <c r="C342" s="44"/>
      <c r="D342" s="44"/>
      <c r="E342" s="44"/>
      <c r="F342" s="44"/>
      <c r="G342" s="44"/>
      <c r="H342" s="44"/>
      <c r="I342" s="44"/>
      <c r="J342" s="44"/>
      <c r="K342" s="44"/>
      <c r="L342" s="44"/>
      <c r="M342" s="44"/>
      <c r="N342" s="44"/>
      <c r="O342" s="44"/>
    </row>
    <row r="343" spans="1:15" ht="17.25" customHeight="1">
      <c r="A343" s="44"/>
      <c r="B343" s="44"/>
      <c r="C343" s="44"/>
      <c r="D343" s="44"/>
      <c r="E343" s="44"/>
      <c r="F343" s="44"/>
      <c r="G343" s="44"/>
      <c r="H343" s="44"/>
      <c r="I343" s="44"/>
      <c r="J343" s="44"/>
      <c r="K343" s="44"/>
      <c r="L343" s="44"/>
      <c r="M343" s="44"/>
      <c r="N343" s="44"/>
      <c r="O343" s="44"/>
    </row>
    <row r="344" spans="1:15" ht="17.25" customHeight="1">
      <c r="A344" s="44"/>
      <c r="B344" s="44"/>
      <c r="C344" s="44"/>
      <c r="D344" s="44"/>
      <c r="E344" s="44"/>
      <c r="F344" s="44"/>
      <c r="G344" s="44"/>
      <c r="H344" s="44"/>
      <c r="I344" s="44"/>
      <c r="J344" s="44"/>
      <c r="K344" s="44"/>
      <c r="L344" s="44"/>
      <c r="M344" s="44"/>
      <c r="N344" s="44"/>
      <c r="O344" s="44"/>
    </row>
    <row r="345" spans="1:15" ht="17.25" customHeight="1">
      <c r="A345" s="44"/>
      <c r="B345" s="44"/>
      <c r="C345" s="44"/>
      <c r="D345" s="44"/>
      <c r="E345" s="44"/>
      <c r="F345" s="44"/>
      <c r="G345" s="44"/>
      <c r="H345" s="44"/>
      <c r="I345" s="44"/>
      <c r="J345" s="44"/>
      <c r="K345" s="44"/>
      <c r="L345" s="44"/>
      <c r="M345" s="44"/>
      <c r="N345" s="44"/>
      <c r="O345" s="44"/>
    </row>
    <row r="346" spans="1:15" ht="17.25" customHeight="1">
      <c r="A346" s="44"/>
      <c r="B346" s="44"/>
      <c r="C346" s="44"/>
      <c r="D346" s="44"/>
      <c r="E346" s="44"/>
      <c r="F346" s="44"/>
      <c r="G346" s="44"/>
      <c r="H346" s="44"/>
      <c r="I346" s="44"/>
      <c r="J346" s="44"/>
      <c r="K346" s="44"/>
      <c r="L346" s="44"/>
      <c r="M346" s="44"/>
      <c r="N346" s="44"/>
      <c r="O346" s="44"/>
    </row>
    <row r="347" spans="1:15" ht="17.25" customHeight="1">
      <c r="A347" s="44"/>
      <c r="B347" s="44"/>
      <c r="C347" s="44"/>
      <c r="D347" s="44"/>
      <c r="E347" s="44"/>
      <c r="F347" s="44"/>
      <c r="G347" s="44"/>
      <c r="H347" s="44"/>
      <c r="I347" s="44"/>
      <c r="J347" s="44"/>
      <c r="K347" s="44"/>
      <c r="L347" s="44"/>
      <c r="M347" s="44"/>
      <c r="N347" s="44"/>
      <c r="O347" s="44"/>
    </row>
    <row r="348" spans="1:15" ht="17.25" customHeight="1">
      <c r="A348" s="44"/>
      <c r="B348" s="44"/>
      <c r="C348" s="44"/>
      <c r="D348" s="44"/>
      <c r="E348" s="44"/>
      <c r="F348" s="44"/>
      <c r="G348" s="44"/>
      <c r="H348" s="44"/>
      <c r="I348" s="44"/>
      <c r="J348" s="44"/>
      <c r="K348" s="44"/>
      <c r="L348" s="44"/>
      <c r="M348" s="44"/>
      <c r="N348" s="44"/>
      <c r="O348" s="44"/>
    </row>
    <row r="349" spans="1:15" ht="17.25" customHeight="1">
      <c r="A349" s="44"/>
      <c r="B349" s="44"/>
      <c r="C349" s="44"/>
      <c r="D349" s="44"/>
      <c r="E349" s="44"/>
      <c r="F349" s="44"/>
      <c r="G349" s="44"/>
      <c r="H349" s="44"/>
      <c r="I349" s="44"/>
      <c r="J349" s="44"/>
      <c r="K349" s="44"/>
      <c r="L349" s="44"/>
      <c r="M349" s="44"/>
      <c r="N349" s="44"/>
      <c r="O349" s="44"/>
    </row>
    <row r="350" spans="1:15" ht="17.25" customHeight="1">
      <c r="A350" s="44"/>
      <c r="B350" s="44"/>
      <c r="C350" s="44"/>
      <c r="D350" s="44"/>
      <c r="E350" s="44"/>
      <c r="F350" s="44"/>
      <c r="G350" s="44"/>
      <c r="H350" s="44"/>
      <c r="I350" s="44"/>
      <c r="J350" s="44"/>
      <c r="K350" s="44"/>
      <c r="L350" s="44"/>
      <c r="M350" s="44"/>
      <c r="N350" s="44"/>
      <c r="O350" s="44"/>
    </row>
    <row r="351" spans="1:15" ht="17.25" customHeight="1">
      <c r="A351" s="44"/>
      <c r="B351" s="44"/>
      <c r="C351" s="44"/>
      <c r="D351" s="44"/>
      <c r="E351" s="44"/>
      <c r="F351" s="44"/>
      <c r="G351" s="44"/>
      <c r="H351" s="44"/>
      <c r="I351" s="44"/>
      <c r="J351" s="44"/>
      <c r="K351" s="44"/>
      <c r="L351" s="44"/>
      <c r="M351" s="44"/>
      <c r="N351" s="44"/>
      <c r="O351" s="44"/>
    </row>
    <row r="352" spans="1:15" ht="17.25" customHeight="1">
      <c r="A352" s="44"/>
      <c r="B352" s="44"/>
      <c r="C352" s="44"/>
      <c r="D352" s="44"/>
      <c r="E352" s="44"/>
      <c r="F352" s="44"/>
      <c r="G352" s="44"/>
      <c r="H352" s="44"/>
      <c r="I352" s="44"/>
      <c r="J352" s="44"/>
      <c r="K352" s="44"/>
      <c r="L352" s="44"/>
      <c r="M352" s="44"/>
      <c r="N352" s="44"/>
      <c r="O352" s="44"/>
    </row>
    <row r="353" spans="1:15" ht="17.25" customHeight="1">
      <c r="A353" s="44"/>
      <c r="B353" s="44"/>
      <c r="C353" s="44"/>
      <c r="D353" s="44"/>
      <c r="E353" s="44"/>
      <c r="F353" s="44"/>
      <c r="G353" s="44"/>
      <c r="H353" s="44"/>
      <c r="I353" s="44"/>
      <c r="J353" s="44"/>
      <c r="K353" s="44"/>
      <c r="L353" s="44"/>
      <c r="M353" s="44"/>
      <c r="N353" s="44"/>
      <c r="O353" s="44"/>
    </row>
    <row r="354" spans="1:15" ht="17.25" customHeight="1">
      <c r="A354" s="44"/>
      <c r="B354" s="44"/>
      <c r="C354" s="44"/>
      <c r="D354" s="44"/>
      <c r="E354" s="44"/>
      <c r="F354" s="44"/>
      <c r="G354" s="44"/>
      <c r="H354" s="44"/>
      <c r="I354" s="44"/>
      <c r="J354" s="44"/>
      <c r="K354" s="44"/>
      <c r="L354" s="44"/>
      <c r="M354" s="44"/>
      <c r="N354" s="44"/>
      <c r="O354" s="44"/>
    </row>
    <row r="355" spans="1:15" ht="17.25" customHeight="1">
      <c r="A355" s="44"/>
      <c r="B355" s="44"/>
      <c r="C355" s="44"/>
      <c r="D355" s="44"/>
      <c r="E355" s="44"/>
      <c r="F355" s="44"/>
      <c r="G355" s="44"/>
      <c r="H355" s="44"/>
      <c r="I355" s="44"/>
      <c r="J355" s="44"/>
      <c r="K355" s="44"/>
      <c r="L355" s="44"/>
      <c r="M355" s="44"/>
      <c r="N355" s="44"/>
      <c r="O355" s="44"/>
    </row>
    <row r="356" spans="1:15" ht="17.25" customHeight="1">
      <c r="A356" s="44"/>
      <c r="B356" s="44"/>
      <c r="C356" s="44"/>
      <c r="D356" s="44"/>
      <c r="E356" s="44"/>
      <c r="F356" s="44"/>
      <c r="G356" s="44"/>
      <c r="H356" s="44"/>
      <c r="I356" s="44"/>
      <c r="J356" s="44"/>
      <c r="K356" s="44"/>
      <c r="L356" s="44"/>
      <c r="M356" s="44"/>
      <c r="N356" s="44"/>
      <c r="O356" s="44"/>
    </row>
    <row r="357" spans="1:15" ht="17.25" customHeight="1">
      <c r="A357" s="44"/>
      <c r="B357" s="44"/>
      <c r="C357" s="44"/>
      <c r="D357" s="44"/>
      <c r="E357" s="44"/>
      <c r="F357" s="44"/>
      <c r="G357" s="44"/>
      <c r="H357" s="44"/>
      <c r="I357" s="44"/>
      <c r="J357" s="44"/>
      <c r="K357" s="44"/>
      <c r="L357" s="44"/>
      <c r="M357" s="44"/>
      <c r="N357" s="44"/>
      <c r="O357" s="44"/>
    </row>
    <row r="358" spans="1:15" ht="17.25" customHeight="1">
      <c r="A358" s="44"/>
      <c r="B358" s="44"/>
      <c r="C358" s="44"/>
      <c r="D358" s="44"/>
      <c r="E358" s="44"/>
      <c r="F358" s="44"/>
      <c r="G358" s="44"/>
      <c r="H358" s="44"/>
      <c r="I358" s="44"/>
      <c r="J358" s="44"/>
      <c r="K358" s="44"/>
      <c r="L358" s="44"/>
      <c r="M358" s="44"/>
      <c r="N358" s="44"/>
      <c r="O358" s="44"/>
    </row>
    <row r="359" spans="1:15" ht="17.25" customHeight="1">
      <c r="A359" s="44"/>
      <c r="B359" s="44"/>
      <c r="C359" s="44"/>
      <c r="D359" s="44"/>
      <c r="E359" s="44"/>
      <c r="F359" s="44"/>
      <c r="G359" s="44"/>
      <c r="H359" s="44"/>
      <c r="I359" s="44"/>
      <c r="J359" s="44"/>
      <c r="K359" s="44"/>
      <c r="L359" s="44"/>
      <c r="M359" s="44"/>
      <c r="N359" s="44"/>
      <c r="O359" s="44"/>
    </row>
    <row r="360" spans="1:15" ht="17.25" customHeight="1">
      <c r="A360" s="44"/>
      <c r="B360" s="44"/>
      <c r="C360" s="44"/>
      <c r="D360" s="44"/>
      <c r="E360" s="44"/>
      <c r="F360" s="44"/>
      <c r="G360" s="44"/>
      <c r="H360" s="44"/>
      <c r="I360" s="44"/>
      <c r="J360" s="44"/>
      <c r="K360" s="44"/>
      <c r="L360" s="44"/>
      <c r="M360" s="44"/>
      <c r="N360" s="44"/>
      <c r="O360" s="44"/>
    </row>
    <row r="361" spans="1:15" ht="17.25" customHeight="1">
      <c r="A361" s="44"/>
      <c r="B361" s="44"/>
      <c r="C361" s="44"/>
      <c r="D361" s="44"/>
      <c r="E361" s="44"/>
      <c r="F361" s="44"/>
      <c r="G361" s="44"/>
      <c r="H361" s="44"/>
      <c r="I361" s="44"/>
      <c r="J361" s="44"/>
      <c r="K361" s="44"/>
      <c r="L361" s="44"/>
      <c r="M361" s="44"/>
      <c r="N361" s="44"/>
      <c r="O361" s="44"/>
    </row>
    <row r="362" spans="1:15" ht="17.25" customHeight="1">
      <c r="A362" s="44"/>
      <c r="B362" s="44"/>
      <c r="C362" s="44"/>
      <c r="D362" s="44"/>
      <c r="E362" s="44"/>
      <c r="F362" s="44"/>
      <c r="G362" s="44"/>
      <c r="H362" s="44"/>
      <c r="I362" s="44"/>
      <c r="J362" s="44"/>
      <c r="K362" s="44"/>
      <c r="L362" s="44"/>
      <c r="M362" s="44"/>
      <c r="N362" s="44"/>
      <c r="O362" s="44"/>
    </row>
    <row r="363" spans="1:15" ht="17.25" customHeight="1">
      <c r="A363" s="44"/>
      <c r="B363" s="44"/>
      <c r="C363" s="44"/>
      <c r="D363" s="44"/>
      <c r="E363" s="44"/>
      <c r="F363" s="44"/>
      <c r="G363" s="44"/>
      <c r="H363" s="44"/>
      <c r="I363" s="44"/>
      <c r="J363" s="44"/>
      <c r="K363" s="44"/>
      <c r="L363" s="44"/>
      <c r="M363" s="44"/>
      <c r="N363" s="44"/>
      <c r="O363" s="44"/>
    </row>
    <row r="364" spans="1:15" ht="17.25" customHeight="1">
      <c r="A364" s="44"/>
      <c r="B364" s="44"/>
      <c r="C364" s="44"/>
      <c r="D364" s="44"/>
      <c r="E364" s="44"/>
      <c r="F364" s="44"/>
      <c r="G364" s="44"/>
      <c r="H364" s="44"/>
      <c r="I364" s="44"/>
      <c r="J364" s="44"/>
      <c r="K364" s="44"/>
      <c r="L364" s="44"/>
      <c r="M364" s="44"/>
      <c r="N364" s="44"/>
      <c r="O364" s="44"/>
    </row>
    <row r="365" spans="1:15" ht="17.25" customHeight="1">
      <c r="A365" s="44"/>
      <c r="B365" s="44"/>
      <c r="C365" s="44"/>
      <c r="D365" s="44"/>
      <c r="E365" s="44"/>
      <c r="F365" s="44"/>
      <c r="G365" s="44"/>
      <c r="H365" s="44"/>
      <c r="I365" s="44"/>
      <c r="J365" s="44"/>
      <c r="K365" s="44"/>
      <c r="L365" s="44"/>
      <c r="M365" s="44"/>
      <c r="N365" s="44"/>
      <c r="O365" s="44"/>
    </row>
    <row r="366" spans="1:15" ht="17.25" customHeight="1">
      <c r="A366" s="44"/>
      <c r="B366" s="44"/>
      <c r="C366" s="44"/>
      <c r="D366" s="44"/>
      <c r="E366" s="44"/>
      <c r="F366" s="44"/>
      <c r="G366" s="44"/>
      <c r="H366" s="44"/>
      <c r="I366" s="44"/>
      <c r="J366" s="44"/>
      <c r="K366" s="44"/>
      <c r="L366" s="44"/>
      <c r="M366" s="44"/>
      <c r="N366" s="44"/>
      <c r="O366" s="44"/>
    </row>
    <row r="367" spans="1:15" ht="17.25" customHeight="1">
      <c r="A367" s="44"/>
      <c r="B367" s="44"/>
      <c r="C367" s="44"/>
      <c r="D367" s="44"/>
      <c r="E367" s="44"/>
      <c r="F367" s="44"/>
      <c r="G367" s="44"/>
      <c r="H367" s="44"/>
      <c r="I367" s="44"/>
      <c r="J367" s="44"/>
      <c r="K367" s="44"/>
      <c r="L367" s="44"/>
      <c r="M367" s="44"/>
      <c r="N367" s="44"/>
      <c r="O367" s="44"/>
    </row>
    <row r="368" spans="1:15" ht="17.25" customHeight="1">
      <c r="A368" s="44"/>
      <c r="B368" s="44"/>
      <c r="C368" s="44"/>
      <c r="D368" s="44"/>
      <c r="E368" s="44"/>
      <c r="F368" s="44"/>
      <c r="G368" s="44"/>
      <c r="H368" s="44"/>
      <c r="I368" s="44"/>
      <c r="J368" s="44"/>
      <c r="K368" s="44"/>
      <c r="L368" s="44"/>
      <c r="M368" s="44"/>
      <c r="N368" s="44"/>
      <c r="O368" s="44"/>
    </row>
    <row r="369" spans="1:15" ht="17.25" customHeight="1">
      <c r="A369" s="44"/>
      <c r="B369" s="44"/>
      <c r="C369" s="44"/>
      <c r="D369" s="44"/>
      <c r="E369" s="44"/>
      <c r="F369" s="44"/>
      <c r="G369" s="44"/>
      <c r="H369" s="44"/>
      <c r="I369" s="44"/>
      <c r="J369" s="44"/>
      <c r="K369" s="44"/>
      <c r="L369" s="44"/>
      <c r="M369" s="44"/>
      <c r="N369" s="44"/>
      <c r="O369" s="44"/>
    </row>
    <row r="370" spans="1:15" ht="17.25" customHeight="1">
      <c r="A370" s="44"/>
      <c r="B370" s="44"/>
      <c r="C370" s="44"/>
      <c r="D370" s="44"/>
      <c r="E370" s="44"/>
      <c r="F370" s="44"/>
      <c r="G370" s="44"/>
      <c r="H370" s="44"/>
      <c r="I370" s="44"/>
      <c r="J370" s="44"/>
      <c r="K370" s="44"/>
      <c r="L370" s="44"/>
      <c r="M370" s="44"/>
      <c r="N370" s="44"/>
      <c r="O370" s="44"/>
    </row>
    <row r="371" spans="1:15" ht="17.25" customHeight="1">
      <c r="A371" s="44"/>
      <c r="B371" s="44"/>
      <c r="C371" s="44"/>
      <c r="D371" s="44"/>
      <c r="E371" s="44"/>
      <c r="F371" s="44"/>
      <c r="G371" s="44"/>
      <c r="H371" s="44"/>
      <c r="I371" s="44"/>
      <c r="J371" s="44"/>
      <c r="K371" s="44"/>
      <c r="L371" s="44"/>
      <c r="M371" s="44"/>
      <c r="N371" s="44"/>
      <c r="O371" s="44"/>
    </row>
    <row r="372" spans="1:15" ht="17.25" customHeight="1">
      <c r="A372" s="44"/>
      <c r="B372" s="44"/>
      <c r="C372" s="44"/>
      <c r="D372" s="44"/>
      <c r="E372" s="44"/>
      <c r="F372" s="44"/>
      <c r="G372" s="44"/>
      <c r="H372" s="44"/>
      <c r="I372" s="44"/>
      <c r="J372" s="44"/>
      <c r="K372" s="44"/>
      <c r="L372" s="44"/>
      <c r="M372" s="44"/>
      <c r="N372" s="44"/>
      <c r="O372" s="44"/>
    </row>
    <row r="373" spans="1:15" ht="17.25" customHeight="1">
      <c r="A373" s="44"/>
      <c r="B373" s="44"/>
      <c r="C373" s="44"/>
      <c r="D373" s="44"/>
      <c r="E373" s="44"/>
      <c r="F373" s="44"/>
      <c r="G373" s="44"/>
      <c r="H373" s="44"/>
      <c r="I373" s="44"/>
      <c r="J373" s="44"/>
      <c r="K373" s="44"/>
      <c r="L373" s="44"/>
      <c r="M373" s="44"/>
      <c r="N373" s="44"/>
      <c r="O373" s="44"/>
    </row>
    <row r="374" spans="1:15" ht="17.25" customHeight="1">
      <c r="A374" s="44"/>
      <c r="B374" s="44"/>
      <c r="C374" s="44"/>
      <c r="D374" s="44"/>
      <c r="E374" s="44"/>
      <c r="F374" s="44"/>
      <c r="G374" s="44"/>
      <c r="H374" s="44"/>
      <c r="I374" s="44"/>
      <c r="J374" s="44"/>
      <c r="K374" s="44"/>
      <c r="L374" s="44"/>
      <c r="M374" s="44"/>
      <c r="N374" s="44"/>
      <c r="O374" s="44"/>
    </row>
    <row r="375" spans="1:15" ht="17.25" customHeight="1">
      <c r="A375" s="44"/>
      <c r="B375" s="44"/>
      <c r="C375" s="44"/>
      <c r="D375" s="44"/>
      <c r="E375" s="44"/>
      <c r="F375" s="44"/>
      <c r="G375" s="44"/>
      <c r="H375" s="44"/>
      <c r="I375" s="44"/>
      <c r="J375" s="44"/>
      <c r="K375" s="44"/>
      <c r="L375" s="44"/>
      <c r="M375" s="44"/>
      <c r="N375" s="44"/>
      <c r="O375" s="44"/>
    </row>
    <row r="376" spans="1:15" ht="17.25" customHeight="1">
      <c r="A376" s="44"/>
      <c r="B376" s="44"/>
      <c r="C376" s="44"/>
      <c r="D376" s="44"/>
      <c r="E376" s="44"/>
      <c r="F376" s="44"/>
      <c r="G376" s="44"/>
      <c r="H376" s="44"/>
      <c r="I376" s="44"/>
      <c r="J376" s="44"/>
      <c r="K376" s="44"/>
      <c r="L376" s="44"/>
      <c r="M376" s="44"/>
      <c r="N376" s="44"/>
      <c r="O376" s="44"/>
    </row>
    <row r="377" spans="1:15" ht="17.25" customHeight="1">
      <c r="A377" s="44"/>
      <c r="B377" s="44"/>
      <c r="C377" s="44"/>
      <c r="D377" s="44"/>
      <c r="E377" s="44"/>
      <c r="F377" s="44"/>
      <c r="G377" s="44"/>
      <c r="H377" s="44"/>
      <c r="I377" s="44"/>
      <c r="J377" s="44"/>
      <c r="K377" s="44"/>
      <c r="L377" s="44"/>
      <c r="M377" s="44"/>
      <c r="N377" s="44"/>
      <c r="O377" s="44"/>
    </row>
    <row r="378" spans="1:15" ht="17.25" customHeight="1">
      <c r="A378" s="44"/>
      <c r="B378" s="44"/>
      <c r="C378" s="44"/>
      <c r="D378" s="44"/>
      <c r="E378" s="44"/>
      <c r="F378" s="44"/>
      <c r="G378" s="44"/>
      <c r="H378" s="44"/>
      <c r="I378" s="44"/>
      <c r="J378" s="44"/>
      <c r="K378" s="44"/>
      <c r="L378" s="44"/>
      <c r="M378" s="44"/>
      <c r="N378" s="44"/>
      <c r="O378" s="44"/>
    </row>
    <row r="379" spans="1:15" ht="17.25" customHeight="1">
      <c r="A379" s="44"/>
      <c r="B379" s="44"/>
      <c r="C379" s="44"/>
      <c r="D379" s="44"/>
      <c r="E379" s="44"/>
      <c r="F379" s="44"/>
      <c r="G379" s="44"/>
      <c r="H379" s="44"/>
      <c r="I379" s="44"/>
      <c r="J379" s="44"/>
      <c r="K379" s="44"/>
      <c r="L379" s="44"/>
      <c r="M379" s="44"/>
      <c r="N379" s="44"/>
      <c r="O379" s="44"/>
    </row>
    <row r="380" spans="1:15" ht="17.25" customHeight="1">
      <c r="A380" s="44"/>
      <c r="B380" s="44"/>
      <c r="C380" s="44"/>
      <c r="D380" s="44"/>
      <c r="E380" s="44"/>
      <c r="F380" s="44"/>
      <c r="G380" s="44"/>
      <c r="H380" s="44"/>
      <c r="I380" s="44"/>
      <c r="J380" s="44"/>
      <c r="K380" s="44"/>
      <c r="L380" s="44"/>
      <c r="M380" s="44"/>
      <c r="N380" s="44"/>
      <c r="O380" s="44"/>
    </row>
    <row r="381" spans="1:15" ht="17.25" customHeight="1">
      <c r="A381" s="44"/>
      <c r="B381" s="44"/>
      <c r="C381" s="44"/>
      <c r="D381" s="44"/>
      <c r="E381" s="44"/>
      <c r="F381" s="44"/>
      <c r="G381" s="44"/>
      <c r="H381" s="44"/>
      <c r="I381" s="44"/>
      <c r="J381" s="44"/>
      <c r="K381" s="44"/>
      <c r="L381" s="44"/>
      <c r="M381" s="44"/>
      <c r="N381" s="44"/>
      <c r="O381" s="44"/>
    </row>
    <row r="382" spans="1:15" ht="17.25" customHeight="1">
      <c r="A382" s="44"/>
      <c r="B382" s="44"/>
      <c r="C382" s="44"/>
      <c r="D382" s="44"/>
      <c r="E382" s="44"/>
      <c r="F382" s="44"/>
      <c r="G382" s="44"/>
      <c r="H382" s="44"/>
      <c r="I382" s="44"/>
      <c r="J382" s="44"/>
      <c r="K382" s="44"/>
      <c r="L382" s="44"/>
      <c r="M382" s="44"/>
      <c r="N382" s="44"/>
      <c r="O382" s="44"/>
    </row>
    <row r="383" spans="1:15" ht="17.25" customHeight="1">
      <c r="A383" s="44"/>
      <c r="B383" s="44"/>
      <c r="C383" s="44"/>
      <c r="D383" s="44"/>
      <c r="E383" s="44"/>
      <c r="F383" s="44"/>
      <c r="G383" s="44"/>
      <c r="H383" s="44"/>
      <c r="I383" s="44"/>
      <c r="J383" s="44"/>
      <c r="K383" s="44"/>
      <c r="L383" s="44"/>
      <c r="M383" s="44"/>
      <c r="N383" s="44"/>
      <c r="O383" s="44"/>
    </row>
    <row r="384" spans="1:15" ht="17.25" customHeight="1">
      <c r="A384" s="44"/>
      <c r="B384" s="44"/>
      <c r="C384" s="44"/>
      <c r="D384" s="44"/>
      <c r="E384" s="44"/>
      <c r="F384" s="44"/>
      <c r="G384" s="44"/>
      <c r="H384" s="44"/>
      <c r="I384" s="44"/>
      <c r="J384" s="44"/>
      <c r="K384" s="44"/>
      <c r="L384" s="44"/>
      <c r="M384" s="44"/>
      <c r="N384" s="44"/>
      <c r="O384" s="44"/>
    </row>
    <row r="385" spans="1:15" ht="17.25" customHeight="1">
      <c r="A385" s="44"/>
      <c r="B385" s="44"/>
      <c r="C385" s="44"/>
      <c r="D385" s="44"/>
      <c r="E385" s="44"/>
      <c r="F385" s="44"/>
      <c r="G385" s="44"/>
      <c r="H385" s="44"/>
      <c r="I385" s="44"/>
      <c r="J385" s="44"/>
      <c r="K385" s="44"/>
      <c r="L385" s="44"/>
      <c r="M385" s="44"/>
      <c r="N385" s="44"/>
      <c r="O385" s="44"/>
    </row>
    <row r="386" spans="1:15" ht="17.25" customHeight="1">
      <c r="A386" s="44"/>
      <c r="B386" s="44"/>
      <c r="C386" s="44"/>
      <c r="D386" s="44"/>
      <c r="E386" s="44"/>
      <c r="F386" s="44"/>
      <c r="G386" s="44"/>
      <c r="H386" s="44"/>
      <c r="I386" s="44"/>
      <c r="J386" s="44"/>
      <c r="K386" s="44"/>
      <c r="L386" s="44"/>
      <c r="M386" s="44"/>
      <c r="N386" s="44"/>
      <c r="O386" s="44"/>
    </row>
    <row r="387" spans="1:15" ht="17.25" customHeight="1">
      <c r="A387" s="44"/>
      <c r="B387" s="44"/>
      <c r="C387" s="44"/>
      <c r="D387" s="44"/>
      <c r="E387" s="44"/>
      <c r="F387" s="44"/>
      <c r="G387" s="44"/>
      <c r="H387" s="44"/>
      <c r="I387" s="44"/>
      <c r="J387" s="44"/>
      <c r="K387" s="44"/>
      <c r="L387" s="44"/>
      <c r="M387" s="44"/>
      <c r="N387" s="44"/>
      <c r="O387" s="44"/>
    </row>
    <row r="388" spans="1:15" ht="17.25" customHeight="1">
      <c r="A388" s="44"/>
      <c r="B388" s="44"/>
      <c r="C388" s="44"/>
      <c r="D388" s="44"/>
      <c r="E388" s="44"/>
      <c r="F388" s="44"/>
      <c r="G388" s="44"/>
      <c r="H388" s="44"/>
      <c r="I388" s="44"/>
      <c r="J388" s="44"/>
      <c r="K388" s="44"/>
      <c r="L388" s="44"/>
      <c r="M388" s="44"/>
      <c r="N388" s="44"/>
      <c r="O388" s="44"/>
    </row>
    <row r="389" spans="1:15" ht="17.25" customHeight="1">
      <c r="A389" s="44"/>
      <c r="B389" s="44"/>
      <c r="C389" s="44"/>
      <c r="D389" s="44"/>
      <c r="E389" s="44"/>
      <c r="F389" s="44"/>
      <c r="G389" s="44"/>
      <c r="H389" s="44"/>
      <c r="I389" s="44"/>
      <c r="J389" s="44"/>
      <c r="K389" s="44"/>
      <c r="L389" s="44"/>
      <c r="M389" s="44"/>
      <c r="N389" s="44"/>
      <c r="O389" s="44"/>
    </row>
    <row r="390" spans="1:15" ht="17.25" customHeight="1">
      <c r="A390" s="44"/>
      <c r="B390" s="44"/>
      <c r="C390" s="44"/>
      <c r="D390" s="44"/>
      <c r="E390" s="44"/>
      <c r="F390" s="44"/>
      <c r="G390" s="44"/>
      <c r="H390" s="44"/>
      <c r="I390" s="44"/>
      <c r="J390" s="44"/>
      <c r="K390" s="44"/>
      <c r="L390" s="44"/>
      <c r="M390" s="44"/>
      <c r="N390" s="44"/>
      <c r="O390" s="44"/>
    </row>
    <row r="391" spans="1:15" ht="17.25" customHeight="1">
      <c r="A391" s="44"/>
      <c r="B391" s="44"/>
      <c r="C391" s="44"/>
      <c r="D391" s="44"/>
      <c r="E391" s="44"/>
      <c r="F391" s="44"/>
      <c r="G391" s="44"/>
      <c r="H391" s="44"/>
      <c r="I391" s="44"/>
      <c r="J391" s="44"/>
      <c r="K391" s="44"/>
      <c r="L391" s="44"/>
      <c r="M391" s="44"/>
      <c r="N391" s="44"/>
      <c r="O391" s="44"/>
    </row>
    <row r="392" spans="1:15" ht="17.25" customHeight="1">
      <c r="A392" s="44"/>
      <c r="B392" s="44"/>
      <c r="C392" s="44"/>
      <c r="D392" s="44"/>
      <c r="E392" s="44"/>
      <c r="F392" s="44"/>
      <c r="G392" s="44"/>
      <c r="H392" s="44"/>
      <c r="I392" s="44"/>
      <c r="J392" s="44"/>
      <c r="K392" s="44"/>
      <c r="L392" s="44"/>
      <c r="M392" s="44"/>
      <c r="N392" s="44"/>
      <c r="O392" s="44"/>
    </row>
    <row r="393" spans="1:15" ht="17.25" customHeight="1">
      <c r="A393" s="44"/>
      <c r="B393" s="44"/>
      <c r="C393" s="44"/>
      <c r="D393" s="44"/>
      <c r="E393" s="44"/>
      <c r="F393" s="44"/>
      <c r="G393" s="44"/>
      <c r="H393" s="44"/>
      <c r="I393" s="44"/>
      <c r="J393" s="44"/>
      <c r="K393" s="44"/>
      <c r="L393" s="44"/>
      <c r="M393" s="44"/>
      <c r="N393" s="44"/>
      <c r="O393" s="44"/>
    </row>
    <row r="394" spans="1:15" ht="17.25" customHeight="1">
      <c r="A394" s="44"/>
      <c r="B394" s="44"/>
      <c r="C394" s="44"/>
      <c r="D394" s="44"/>
      <c r="E394" s="44"/>
      <c r="F394" s="44"/>
      <c r="G394" s="44"/>
      <c r="H394" s="44"/>
      <c r="I394" s="44"/>
      <c r="J394" s="44"/>
      <c r="K394" s="44"/>
      <c r="L394" s="44"/>
      <c r="M394" s="44"/>
      <c r="N394" s="44"/>
      <c r="O394" s="44"/>
    </row>
    <row r="395" spans="1:15" ht="17.25" customHeight="1">
      <c r="A395" s="44"/>
      <c r="B395" s="44"/>
      <c r="C395" s="44"/>
      <c r="D395" s="44"/>
      <c r="E395" s="44"/>
      <c r="F395" s="44"/>
      <c r="G395" s="44"/>
      <c r="H395" s="44"/>
      <c r="I395" s="44"/>
      <c r="J395" s="44"/>
      <c r="K395" s="44"/>
      <c r="L395" s="44"/>
      <c r="M395" s="44"/>
      <c r="N395" s="44"/>
      <c r="O395" s="44"/>
    </row>
    <row r="396" spans="1:15" ht="17.25" customHeight="1">
      <c r="A396" s="44"/>
      <c r="B396" s="44"/>
      <c r="C396" s="44"/>
      <c r="D396" s="44"/>
      <c r="E396" s="44"/>
      <c r="F396" s="44"/>
      <c r="G396" s="44"/>
      <c r="H396" s="44"/>
      <c r="I396" s="44"/>
      <c r="J396" s="44"/>
      <c r="K396" s="44"/>
      <c r="L396" s="44"/>
      <c r="M396" s="44"/>
      <c r="N396" s="44"/>
      <c r="O396" s="44"/>
    </row>
    <row r="397" spans="1:15" ht="17.25" customHeight="1">
      <c r="A397" s="44"/>
      <c r="B397" s="44"/>
      <c r="C397" s="44"/>
      <c r="D397" s="44"/>
      <c r="E397" s="44"/>
      <c r="F397" s="44"/>
      <c r="G397" s="44"/>
      <c r="H397" s="44"/>
      <c r="I397" s="44"/>
      <c r="J397" s="44"/>
      <c r="K397" s="44"/>
      <c r="L397" s="44"/>
      <c r="M397" s="44"/>
      <c r="N397" s="44"/>
      <c r="O397" s="44"/>
    </row>
    <row r="398" spans="1:15" ht="17.25" customHeight="1">
      <c r="A398" s="44"/>
      <c r="B398" s="44"/>
      <c r="C398" s="44"/>
      <c r="D398" s="44"/>
      <c r="E398" s="44"/>
      <c r="F398" s="44"/>
      <c r="G398" s="44"/>
      <c r="H398" s="44"/>
      <c r="I398" s="44"/>
      <c r="J398" s="44"/>
      <c r="K398" s="44"/>
      <c r="L398" s="44"/>
      <c r="M398" s="44"/>
      <c r="N398" s="44"/>
      <c r="O398" s="44"/>
    </row>
    <row r="399" spans="1:15" ht="17.25" customHeight="1">
      <c r="A399" s="44"/>
      <c r="B399" s="44"/>
      <c r="C399" s="44"/>
      <c r="D399" s="44"/>
      <c r="E399" s="44"/>
      <c r="F399" s="44"/>
      <c r="G399" s="44"/>
      <c r="H399" s="44"/>
      <c r="I399" s="44"/>
      <c r="J399" s="44"/>
      <c r="K399" s="44"/>
      <c r="L399" s="44"/>
      <c r="M399" s="44"/>
      <c r="N399" s="44"/>
      <c r="O399" s="44"/>
    </row>
    <row r="400" spans="1:15" ht="17.25" customHeight="1">
      <c r="A400" s="44"/>
      <c r="B400" s="44"/>
      <c r="C400" s="44"/>
      <c r="D400" s="44"/>
      <c r="E400" s="44"/>
      <c r="F400" s="44"/>
      <c r="G400" s="44"/>
      <c r="H400" s="44"/>
      <c r="I400" s="44"/>
      <c r="J400" s="44"/>
      <c r="K400" s="44"/>
      <c r="L400" s="44"/>
      <c r="M400" s="44"/>
      <c r="N400" s="44"/>
      <c r="O400" s="44"/>
    </row>
    <row r="401" spans="1:15" ht="17.25" customHeight="1">
      <c r="A401" s="44"/>
      <c r="B401" s="44"/>
      <c r="C401" s="44"/>
      <c r="D401" s="44"/>
      <c r="E401" s="44"/>
      <c r="F401" s="44"/>
      <c r="G401" s="44"/>
      <c r="H401" s="44"/>
      <c r="I401" s="44"/>
      <c r="J401" s="44"/>
      <c r="K401" s="44"/>
      <c r="L401" s="44"/>
      <c r="M401" s="44"/>
      <c r="N401" s="44"/>
      <c r="O401" s="44"/>
    </row>
    <row r="402" spans="1:15" ht="17.25" customHeight="1">
      <c r="A402" s="44"/>
      <c r="B402" s="44"/>
      <c r="C402" s="44"/>
      <c r="D402" s="44"/>
      <c r="E402" s="44"/>
      <c r="F402" s="44"/>
      <c r="G402" s="44"/>
      <c r="H402" s="44"/>
      <c r="I402" s="44"/>
      <c r="J402" s="44"/>
      <c r="K402" s="44"/>
      <c r="L402" s="44"/>
      <c r="M402" s="44"/>
      <c r="N402" s="44"/>
      <c r="O402" s="44"/>
    </row>
    <row r="403" spans="1:15" ht="17.25" customHeight="1">
      <c r="A403" s="44"/>
      <c r="B403" s="44"/>
      <c r="C403" s="44"/>
      <c r="D403" s="44"/>
      <c r="E403" s="44"/>
      <c r="F403" s="44"/>
      <c r="G403" s="44"/>
      <c r="H403" s="44"/>
      <c r="I403" s="44"/>
      <c r="J403" s="44"/>
      <c r="K403" s="44"/>
      <c r="L403" s="44"/>
      <c r="M403" s="44"/>
      <c r="N403" s="44"/>
      <c r="O403" s="44"/>
    </row>
    <row r="404" spans="1:15" ht="17.25" customHeight="1">
      <c r="A404" s="44"/>
      <c r="B404" s="44"/>
      <c r="C404" s="44"/>
      <c r="D404" s="44"/>
      <c r="E404" s="44"/>
      <c r="F404" s="44"/>
      <c r="G404" s="44"/>
      <c r="H404" s="44"/>
      <c r="I404" s="44"/>
      <c r="J404" s="44"/>
      <c r="K404" s="44"/>
      <c r="L404" s="44"/>
      <c r="M404" s="44"/>
      <c r="N404" s="44"/>
      <c r="O404" s="44"/>
    </row>
    <row r="405" spans="1:15" ht="17.25" customHeight="1">
      <c r="A405" s="44"/>
      <c r="B405" s="44"/>
      <c r="C405" s="44"/>
      <c r="D405" s="44"/>
      <c r="E405" s="44"/>
      <c r="F405" s="44"/>
      <c r="G405" s="44"/>
      <c r="H405" s="44"/>
      <c r="I405" s="44"/>
      <c r="J405" s="44"/>
      <c r="K405" s="44"/>
      <c r="L405" s="44"/>
      <c r="M405" s="44"/>
      <c r="N405" s="44"/>
      <c r="O405" s="44"/>
    </row>
    <row r="406" spans="1:15" ht="17.25" customHeight="1">
      <c r="A406" s="44"/>
      <c r="B406" s="44"/>
      <c r="C406" s="44"/>
      <c r="D406" s="44"/>
      <c r="E406" s="44"/>
      <c r="F406" s="44"/>
      <c r="G406" s="44"/>
      <c r="H406" s="44"/>
      <c r="I406" s="44"/>
      <c r="J406" s="44"/>
      <c r="K406" s="44"/>
      <c r="L406" s="44"/>
      <c r="M406" s="44"/>
      <c r="N406" s="44"/>
      <c r="O406" s="44"/>
    </row>
    <row r="407" spans="1:15" ht="17.25" customHeight="1">
      <c r="A407" s="44"/>
      <c r="B407" s="44"/>
      <c r="C407" s="44"/>
      <c r="D407" s="44"/>
      <c r="E407" s="44"/>
      <c r="F407" s="44"/>
      <c r="G407" s="44"/>
      <c r="H407" s="44"/>
      <c r="I407" s="44"/>
      <c r="J407" s="44"/>
      <c r="K407" s="44"/>
      <c r="L407" s="44"/>
      <c r="M407" s="44"/>
      <c r="N407" s="44"/>
      <c r="O407" s="44"/>
    </row>
    <row r="408" spans="1:15" ht="17.25" customHeight="1">
      <c r="A408" s="44"/>
      <c r="B408" s="44"/>
      <c r="C408" s="44"/>
      <c r="D408" s="44"/>
      <c r="E408" s="44"/>
      <c r="F408" s="44"/>
      <c r="G408" s="44"/>
      <c r="H408" s="44"/>
      <c r="I408" s="44"/>
      <c r="J408" s="44"/>
      <c r="K408" s="44"/>
      <c r="L408" s="44"/>
      <c r="M408" s="44"/>
      <c r="N408" s="44"/>
      <c r="O408" s="44"/>
    </row>
    <row r="409" spans="1:15" ht="17.25" customHeight="1">
      <c r="A409" s="44"/>
      <c r="B409" s="44"/>
      <c r="C409" s="44"/>
      <c r="D409" s="44"/>
      <c r="E409" s="44"/>
      <c r="F409" s="44"/>
      <c r="G409" s="44"/>
      <c r="H409" s="44"/>
      <c r="I409" s="44"/>
      <c r="J409" s="44"/>
      <c r="K409" s="44"/>
      <c r="L409" s="44"/>
      <c r="M409" s="44"/>
      <c r="N409" s="44"/>
      <c r="O409" s="44"/>
    </row>
    <row r="410" spans="1:15" ht="17.25" customHeight="1">
      <c r="A410" s="44"/>
      <c r="B410" s="44"/>
      <c r="C410" s="44"/>
      <c r="D410" s="44"/>
      <c r="E410" s="44"/>
      <c r="F410" s="44"/>
      <c r="G410" s="44"/>
      <c r="H410" s="44"/>
      <c r="I410" s="44"/>
      <c r="J410" s="44"/>
      <c r="K410" s="44"/>
      <c r="L410" s="44"/>
      <c r="M410" s="44"/>
      <c r="N410" s="44"/>
      <c r="O410" s="44"/>
    </row>
    <row r="411" spans="1:15" ht="17.25" customHeight="1">
      <c r="A411" s="44"/>
      <c r="B411" s="44"/>
      <c r="C411" s="44"/>
      <c r="D411" s="44"/>
      <c r="E411" s="44"/>
      <c r="F411" s="44"/>
      <c r="G411" s="44"/>
      <c r="H411" s="44"/>
      <c r="I411" s="44"/>
      <c r="J411" s="44"/>
      <c r="K411" s="44"/>
      <c r="L411" s="44"/>
      <c r="M411" s="44"/>
      <c r="N411" s="44"/>
      <c r="O411" s="44"/>
    </row>
    <row r="412" spans="1:15" ht="17.25" customHeight="1">
      <c r="A412" s="44"/>
      <c r="B412" s="44"/>
      <c r="C412" s="44"/>
      <c r="D412" s="44"/>
      <c r="E412" s="44"/>
      <c r="F412" s="44"/>
      <c r="G412" s="44"/>
      <c r="H412" s="44"/>
      <c r="I412" s="44"/>
      <c r="J412" s="44"/>
      <c r="K412" s="44"/>
      <c r="L412" s="44"/>
      <c r="M412" s="44"/>
      <c r="N412" s="44"/>
      <c r="O412" s="44"/>
    </row>
    <row r="413" spans="1:15" ht="17.25" customHeight="1">
      <c r="A413" s="44"/>
      <c r="B413" s="44"/>
      <c r="C413" s="44"/>
      <c r="D413" s="44"/>
      <c r="E413" s="44"/>
      <c r="F413" s="44"/>
      <c r="G413" s="44"/>
      <c r="H413" s="44"/>
      <c r="I413" s="44"/>
      <c r="J413" s="44"/>
      <c r="K413" s="44"/>
      <c r="L413" s="44"/>
      <c r="M413" s="44"/>
      <c r="N413" s="44"/>
      <c r="O413" s="44"/>
    </row>
    <row r="414" spans="1:15" ht="17.25" customHeight="1">
      <c r="A414" s="44"/>
      <c r="B414" s="44"/>
      <c r="C414" s="44"/>
      <c r="D414" s="44"/>
      <c r="E414" s="44"/>
      <c r="F414" s="44"/>
      <c r="G414" s="44"/>
      <c r="H414" s="44"/>
      <c r="I414" s="44"/>
      <c r="J414" s="44"/>
      <c r="K414" s="44"/>
      <c r="L414" s="44"/>
      <c r="M414" s="44"/>
      <c r="N414" s="44"/>
      <c r="O414" s="44"/>
    </row>
    <row r="415" spans="1:15" ht="17.25" customHeight="1">
      <c r="A415" s="44"/>
      <c r="B415" s="44"/>
      <c r="C415" s="44"/>
      <c r="D415" s="44"/>
      <c r="E415" s="44"/>
      <c r="F415" s="44"/>
      <c r="G415" s="44"/>
      <c r="H415" s="44"/>
      <c r="I415" s="44"/>
      <c r="J415" s="44"/>
      <c r="K415" s="44"/>
      <c r="L415" s="44"/>
      <c r="M415" s="44"/>
      <c r="N415" s="44"/>
      <c r="O415" s="44"/>
    </row>
    <row r="416" spans="1:15" ht="17.25" customHeight="1">
      <c r="A416" s="44"/>
      <c r="B416" s="44"/>
      <c r="C416" s="44"/>
      <c r="D416" s="44"/>
      <c r="E416" s="44"/>
      <c r="F416" s="44"/>
      <c r="G416" s="44"/>
      <c r="H416" s="44"/>
      <c r="I416" s="44"/>
      <c r="J416" s="44"/>
      <c r="K416" s="44"/>
      <c r="L416" s="44"/>
      <c r="M416" s="44"/>
      <c r="N416" s="44"/>
      <c r="O416" s="44"/>
    </row>
    <row r="417" spans="1:15" ht="17.25" customHeight="1">
      <c r="A417" s="44"/>
      <c r="B417" s="44"/>
      <c r="C417" s="44"/>
      <c r="D417" s="44"/>
      <c r="E417" s="44"/>
      <c r="F417" s="44"/>
      <c r="G417" s="44"/>
      <c r="H417" s="44"/>
      <c r="I417" s="44"/>
      <c r="J417" s="44"/>
      <c r="K417" s="44"/>
      <c r="L417" s="44"/>
      <c r="M417" s="44"/>
      <c r="N417" s="44"/>
      <c r="O417" s="44"/>
    </row>
    <row r="418" spans="1:15" ht="17.25" customHeight="1">
      <c r="A418" s="44"/>
      <c r="B418" s="44"/>
      <c r="C418" s="44"/>
      <c r="D418" s="44"/>
      <c r="E418" s="44"/>
      <c r="F418" s="44"/>
      <c r="G418" s="44"/>
      <c r="H418" s="44"/>
      <c r="I418" s="44"/>
      <c r="J418" s="44"/>
      <c r="K418" s="44"/>
      <c r="L418" s="44"/>
      <c r="M418" s="44"/>
      <c r="N418" s="44"/>
      <c r="O418" s="44"/>
    </row>
    <row r="419" spans="1:15" ht="17.25" customHeight="1">
      <c r="A419" s="44"/>
      <c r="B419" s="44"/>
      <c r="C419" s="44"/>
      <c r="D419" s="44"/>
      <c r="E419" s="44"/>
      <c r="F419" s="44"/>
      <c r="G419" s="44"/>
      <c r="H419" s="44"/>
      <c r="I419" s="44"/>
      <c r="J419" s="44"/>
      <c r="K419" s="44"/>
      <c r="L419" s="44"/>
      <c r="M419" s="44"/>
      <c r="N419" s="44"/>
      <c r="O419" s="44"/>
    </row>
    <row r="420" spans="1:15" ht="17.25" customHeight="1">
      <c r="A420" s="44"/>
      <c r="B420" s="44"/>
      <c r="C420" s="44"/>
      <c r="D420" s="44"/>
      <c r="E420" s="44"/>
      <c r="F420" s="44"/>
      <c r="G420" s="44"/>
      <c r="H420" s="44"/>
      <c r="I420" s="44"/>
      <c r="J420" s="44"/>
      <c r="K420" s="44"/>
      <c r="L420" s="44"/>
      <c r="M420" s="44"/>
      <c r="N420" s="44"/>
      <c r="O420" s="44"/>
    </row>
    <row r="421" spans="1:15" ht="17.25" customHeight="1">
      <c r="A421" s="44"/>
      <c r="B421" s="44"/>
      <c r="C421" s="44"/>
      <c r="D421" s="44"/>
      <c r="E421" s="44"/>
      <c r="F421" s="44"/>
      <c r="G421" s="44"/>
      <c r="H421" s="44"/>
      <c r="I421" s="44"/>
      <c r="J421" s="44"/>
      <c r="K421" s="44"/>
      <c r="L421" s="44"/>
      <c r="M421" s="44"/>
      <c r="N421" s="44"/>
      <c r="O421" s="44"/>
    </row>
    <row r="422" spans="1:15" ht="17.25" customHeight="1">
      <c r="A422" s="44"/>
      <c r="B422" s="44"/>
      <c r="C422" s="44"/>
      <c r="D422" s="44"/>
      <c r="E422" s="44"/>
      <c r="F422" s="44"/>
      <c r="G422" s="44"/>
      <c r="H422" s="44"/>
      <c r="I422" s="44"/>
      <c r="J422" s="44"/>
      <c r="K422" s="44"/>
      <c r="L422" s="44"/>
      <c r="M422" s="44"/>
      <c r="N422" s="44"/>
      <c r="O422" s="44"/>
    </row>
    <row r="423" spans="1:15" ht="17.25" customHeight="1">
      <c r="A423" s="44"/>
      <c r="B423" s="44"/>
      <c r="C423" s="44"/>
      <c r="D423" s="44"/>
      <c r="E423" s="44"/>
      <c r="F423" s="44"/>
      <c r="G423" s="44"/>
      <c r="H423" s="44"/>
      <c r="I423" s="44"/>
      <c r="J423" s="44"/>
      <c r="K423" s="44"/>
      <c r="L423" s="44"/>
      <c r="M423" s="44"/>
      <c r="N423" s="44"/>
      <c r="O423" s="44"/>
    </row>
    <row r="424" spans="1:15" ht="17.25" customHeight="1">
      <c r="A424" s="44"/>
      <c r="B424" s="44"/>
      <c r="C424" s="44"/>
      <c r="D424" s="44"/>
      <c r="E424" s="44"/>
      <c r="F424" s="44"/>
      <c r="G424" s="44"/>
      <c r="H424" s="44"/>
      <c r="I424" s="44"/>
      <c r="J424" s="44"/>
      <c r="K424" s="44"/>
      <c r="L424" s="44"/>
      <c r="M424" s="44"/>
      <c r="N424" s="44"/>
      <c r="O424" s="44"/>
    </row>
    <row r="425" spans="1:15" ht="17.25" customHeight="1">
      <c r="A425" s="44"/>
      <c r="B425" s="44"/>
      <c r="C425" s="44"/>
      <c r="D425" s="44"/>
      <c r="E425" s="44"/>
      <c r="F425" s="44"/>
      <c r="G425" s="44"/>
      <c r="H425" s="44"/>
      <c r="I425" s="44"/>
      <c r="J425" s="44"/>
      <c r="K425" s="44"/>
      <c r="L425" s="44"/>
      <c r="M425" s="44"/>
      <c r="N425" s="44"/>
      <c r="O425" s="44"/>
    </row>
    <row r="426" spans="1:15" ht="17.25" customHeight="1">
      <c r="A426" s="44"/>
      <c r="B426" s="44"/>
      <c r="C426" s="44"/>
      <c r="D426" s="44"/>
      <c r="E426" s="44"/>
      <c r="F426" s="44"/>
      <c r="G426" s="44"/>
      <c r="H426" s="44"/>
      <c r="I426" s="44"/>
      <c r="J426" s="44"/>
      <c r="K426" s="44"/>
      <c r="L426" s="44"/>
      <c r="M426" s="44"/>
      <c r="N426" s="44"/>
      <c r="O426" s="44"/>
    </row>
    <row r="427" spans="1:15" ht="17.25" customHeight="1">
      <c r="A427" s="44"/>
      <c r="B427" s="44"/>
      <c r="C427" s="44"/>
      <c r="D427" s="44"/>
      <c r="E427" s="44"/>
      <c r="F427" s="44"/>
      <c r="G427" s="44"/>
      <c r="H427" s="44"/>
      <c r="I427" s="44"/>
      <c r="J427" s="44"/>
      <c r="K427" s="44"/>
      <c r="L427" s="44"/>
      <c r="M427" s="44"/>
      <c r="N427" s="44"/>
      <c r="O427" s="44"/>
    </row>
    <row r="428" spans="1:15" ht="17.25" customHeight="1">
      <c r="A428" s="44"/>
      <c r="B428" s="44"/>
      <c r="C428" s="44"/>
      <c r="D428" s="44"/>
      <c r="E428" s="44"/>
      <c r="F428" s="44"/>
      <c r="G428" s="44"/>
      <c r="H428" s="44"/>
      <c r="I428" s="44"/>
      <c r="J428" s="44"/>
      <c r="K428" s="44"/>
      <c r="L428" s="44"/>
      <c r="M428" s="44"/>
      <c r="N428" s="44"/>
      <c r="O428" s="44"/>
    </row>
    <row r="429" spans="1:15" ht="17.25" customHeight="1">
      <c r="A429" s="44"/>
      <c r="B429" s="44"/>
      <c r="C429" s="44"/>
      <c r="D429" s="44"/>
      <c r="E429" s="44"/>
      <c r="F429" s="44"/>
      <c r="G429" s="44"/>
      <c r="H429" s="44"/>
      <c r="I429" s="44"/>
      <c r="J429" s="44"/>
      <c r="K429" s="44"/>
      <c r="L429" s="44"/>
      <c r="M429" s="44"/>
      <c r="N429" s="44"/>
      <c r="O429" s="44"/>
    </row>
    <row r="430" spans="1:15" ht="17.25" customHeight="1">
      <c r="A430" s="44"/>
      <c r="B430" s="44"/>
      <c r="C430" s="44"/>
      <c r="D430" s="44"/>
      <c r="E430" s="44"/>
      <c r="F430" s="44"/>
      <c r="G430" s="44"/>
      <c r="H430" s="44"/>
      <c r="I430" s="44"/>
      <c r="J430" s="44"/>
      <c r="K430" s="44"/>
      <c r="L430" s="44"/>
      <c r="M430" s="44"/>
      <c r="N430" s="44"/>
      <c r="O430" s="44"/>
    </row>
    <row r="431" spans="1:15" ht="17.25" customHeight="1">
      <c r="A431" s="44"/>
      <c r="B431" s="44"/>
      <c r="C431" s="44"/>
      <c r="D431" s="44"/>
      <c r="E431" s="44"/>
      <c r="F431" s="44"/>
      <c r="G431" s="44"/>
      <c r="H431" s="44"/>
      <c r="I431" s="44"/>
      <c r="J431" s="44"/>
      <c r="K431" s="44"/>
      <c r="L431" s="44"/>
      <c r="M431" s="44"/>
      <c r="N431" s="44"/>
      <c r="O431" s="44"/>
    </row>
    <row r="432" spans="1:15" ht="17.25" customHeight="1">
      <c r="A432" s="44"/>
      <c r="B432" s="44"/>
      <c r="C432" s="44"/>
      <c r="D432" s="44"/>
      <c r="E432" s="44"/>
      <c r="F432" s="44"/>
      <c r="G432" s="44"/>
      <c r="H432" s="44"/>
      <c r="I432" s="44"/>
      <c r="J432" s="44"/>
      <c r="K432" s="44"/>
      <c r="L432" s="44"/>
      <c r="M432" s="44"/>
      <c r="N432" s="44"/>
      <c r="O432" s="44"/>
    </row>
    <row r="433" spans="1:15" ht="17.25" customHeight="1">
      <c r="A433" s="44"/>
      <c r="B433" s="44"/>
      <c r="C433" s="44"/>
      <c r="D433" s="44"/>
      <c r="E433" s="44"/>
      <c r="F433" s="44"/>
      <c r="G433" s="44"/>
      <c r="H433" s="44"/>
      <c r="I433" s="44"/>
      <c r="J433" s="44"/>
      <c r="K433" s="44"/>
      <c r="L433" s="44"/>
      <c r="M433" s="44"/>
      <c r="N433" s="44"/>
      <c r="O433" s="44"/>
    </row>
    <row r="434" spans="1:15" ht="17.25" customHeight="1">
      <c r="A434" s="44"/>
      <c r="B434" s="44"/>
      <c r="C434" s="44"/>
      <c r="D434" s="44"/>
      <c r="E434" s="44"/>
      <c r="F434" s="44"/>
      <c r="G434" s="44"/>
      <c r="H434" s="44"/>
      <c r="I434" s="44"/>
      <c r="J434" s="44"/>
      <c r="K434" s="44"/>
      <c r="L434" s="44"/>
      <c r="M434" s="44"/>
      <c r="N434" s="44"/>
      <c r="O434" s="44"/>
    </row>
    <row r="435" spans="1:15" ht="17.25" customHeight="1">
      <c r="A435" s="44"/>
      <c r="B435" s="44"/>
      <c r="C435" s="44"/>
      <c r="D435" s="44"/>
      <c r="E435" s="44"/>
      <c r="F435" s="44"/>
      <c r="G435" s="44"/>
      <c r="H435" s="44"/>
      <c r="I435" s="44"/>
      <c r="J435" s="44"/>
      <c r="K435" s="44"/>
      <c r="L435" s="44"/>
      <c r="M435" s="44"/>
      <c r="N435" s="44"/>
      <c r="O435" s="44"/>
    </row>
    <row r="436" spans="1:15" ht="17.25" customHeight="1">
      <c r="A436" s="44"/>
      <c r="B436" s="44"/>
      <c r="C436" s="44"/>
      <c r="D436" s="44"/>
      <c r="E436" s="44"/>
      <c r="F436" s="44"/>
      <c r="G436" s="44"/>
      <c r="H436" s="44"/>
      <c r="I436" s="44"/>
      <c r="J436" s="44"/>
      <c r="K436" s="44"/>
      <c r="L436" s="44"/>
      <c r="M436" s="44"/>
      <c r="N436" s="44"/>
      <c r="O436" s="44"/>
    </row>
    <row r="437" spans="1:15" ht="17.25" customHeight="1">
      <c r="A437" s="44"/>
      <c r="B437" s="44"/>
      <c r="C437" s="44"/>
      <c r="D437" s="44"/>
      <c r="E437" s="44"/>
      <c r="F437" s="44"/>
      <c r="G437" s="44"/>
      <c r="H437" s="44"/>
      <c r="I437" s="44"/>
      <c r="J437" s="44"/>
      <c r="K437" s="44"/>
      <c r="L437" s="44"/>
      <c r="M437" s="44"/>
      <c r="N437" s="44"/>
      <c r="O437" s="44"/>
    </row>
    <row r="438" spans="1:15" ht="17.25" customHeight="1">
      <c r="A438" s="44"/>
      <c r="B438" s="44"/>
      <c r="C438" s="44"/>
      <c r="D438" s="44"/>
      <c r="E438" s="44"/>
      <c r="F438" s="44"/>
      <c r="G438" s="44"/>
      <c r="H438" s="44"/>
      <c r="I438" s="44"/>
      <c r="J438" s="44"/>
      <c r="K438" s="44"/>
      <c r="L438" s="44"/>
      <c r="M438" s="44"/>
      <c r="N438" s="44"/>
      <c r="O438" s="44"/>
    </row>
    <row r="439" spans="1:15" ht="17.25" customHeight="1">
      <c r="A439" s="44"/>
      <c r="B439" s="44"/>
      <c r="C439" s="44"/>
      <c r="D439" s="44"/>
      <c r="E439" s="44"/>
      <c r="F439" s="44"/>
      <c r="G439" s="44"/>
      <c r="H439" s="44"/>
      <c r="I439" s="44"/>
      <c r="J439" s="44"/>
      <c r="K439" s="44"/>
      <c r="L439" s="44"/>
      <c r="M439" s="44"/>
      <c r="N439" s="44"/>
      <c r="O439" s="44"/>
    </row>
    <row r="440" spans="1:15" ht="17.25" customHeight="1">
      <c r="A440" s="44"/>
      <c r="B440" s="44"/>
      <c r="C440" s="44"/>
      <c r="D440" s="44"/>
      <c r="E440" s="44"/>
      <c r="F440" s="44"/>
      <c r="G440" s="44"/>
      <c r="H440" s="44"/>
      <c r="I440" s="44"/>
      <c r="J440" s="44"/>
      <c r="K440" s="44"/>
      <c r="L440" s="44"/>
      <c r="M440" s="44"/>
      <c r="N440" s="44"/>
      <c r="O440" s="44"/>
    </row>
    <row r="441" spans="1:15" ht="17.25" customHeight="1">
      <c r="A441" s="44"/>
      <c r="B441" s="44"/>
      <c r="C441" s="44"/>
      <c r="D441" s="44"/>
      <c r="E441" s="44"/>
      <c r="F441" s="44"/>
      <c r="G441" s="44"/>
      <c r="H441" s="44"/>
      <c r="I441" s="44"/>
      <c r="J441" s="44"/>
      <c r="K441" s="44"/>
      <c r="L441" s="44"/>
      <c r="M441" s="44"/>
      <c r="N441" s="44"/>
      <c r="O441" s="44"/>
    </row>
    <row r="442" spans="1:15" ht="17.25" customHeight="1">
      <c r="A442" s="44"/>
      <c r="B442" s="44"/>
      <c r="C442" s="44"/>
      <c r="D442" s="44"/>
      <c r="E442" s="44"/>
      <c r="F442" s="44"/>
      <c r="G442" s="44"/>
      <c r="H442" s="44"/>
      <c r="I442" s="44"/>
      <c r="J442" s="44"/>
      <c r="K442" s="44"/>
      <c r="L442" s="44"/>
      <c r="M442" s="44"/>
      <c r="N442" s="44"/>
      <c r="O442" s="44"/>
    </row>
    <row r="443" spans="1:15" ht="17.25" customHeight="1">
      <c r="A443" s="44"/>
      <c r="B443" s="44"/>
      <c r="C443" s="44"/>
      <c r="D443" s="44"/>
      <c r="E443" s="44"/>
      <c r="F443" s="44"/>
      <c r="G443" s="44"/>
      <c r="H443" s="44"/>
      <c r="I443" s="44"/>
      <c r="J443" s="44"/>
      <c r="K443" s="44"/>
      <c r="L443" s="44"/>
      <c r="M443" s="44"/>
      <c r="N443" s="44"/>
      <c r="O443" s="44"/>
    </row>
    <row r="444" spans="1:15" ht="17.25" customHeight="1">
      <c r="A444" s="44"/>
      <c r="B444" s="44"/>
      <c r="C444" s="44"/>
      <c r="D444" s="44"/>
      <c r="E444" s="44"/>
      <c r="F444" s="44"/>
      <c r="G444" s="44"/>
      <c r="H444" s="44"/>
      <c r="I444" s="44"/>
      <c r="J444" s="44"/>
      <c r="K444" s="44"/>
      <c r="L444" s="44"/>
      <c r="M444" s="44"/>
      <c r="N444" s="44"/>
      <c r="O444" s="44"/>
    </row>
    <row r="445" spans="1:15" ht="17.25" customHeight="1">
      <c r="A445" s="44"/>
      <c r="B445" s="44"/>
      <c r="C445" s="44"/>
      <c r="D445" s="44"/>
      <c r="E445" s="44"/>
      <c r="F445" s="44"/>
      <c r="G445" s="44"/>
      <c r="H445" s="44"/>
      <c r="I445" s="44"/>
      <c r="J445" s="44"/>
      <c r="K445" s="44"/>
      <c r="L445" s="44"/>
      <c r="M445" s="44"/>
      <c r="N445" s="44"/>
      <c r="O445" s="44"/>
    </row>
    <row r="446" spans="1:15" ht="17.25" customHeight="1">
      <c r="A446" s="44"/>
      <c r="B446" s="44"/>
      <c r="C446" s="44"/>
      <c r="D446" s="44"/>
      <c r="E446" s="44"/>
      <c r="F446" s="44"/>
      <c r="G446" s="44"/>
      <c r="H446" s="44"/>
      <c r="I446" s="44"/>
      <c r="J446" s="44"/>
      <c r="K446" s="44"/>
      <c r="L446" s="44"/>
      <c r="M446" s="44"/>
      <c r="N446" s="44"/>
      <c r="O446" s="44"/>
    </row>
    <row r="447" spans="1:15" ht="17.25" customHeight="1">
      <c r="A447" s="44"/>
      <c r="B447" s="44"/>
      <c r="C447" s="44"/>
      <c r="D447" s="44"/>
      <c r="E447" s="44"/>
      <c r="F447" s="44"/>
      <c r="G447" s="44"/>
      <c r="H447" s="44"/>
      <c r="I447" s="44"/>
      <c r="J447" s="44"/>
      <c r="K447" s="44"/>
      <c r="L447" s="44"/>
      <c r="M447" s="44"/>
      <c r="N447" s="44"/>
      <c r="O447" s="44"/>
    </row>
    <row r="448" spans="1:15" ht="17.25" customHeight="1">
      <c r="A448" s="44"/>
      <c r="B448" s="44"/>
      <c r="C448" s="44"/>
      <c r="D448" s="44"/>
      <c r="E448" s="44"/>
      <c r="F448" s="44"/>
      <c r="G448" s="44"/>
      <c r="H448" s="44"/>
      <c r="I448" s="44"/>
      <c r="J448" s="44"/>
      <c r="K448" s="44"/>
      <c r="L448" s="44"/>
      <c r="M448" s="44"/>
      <c r="N448" s="44"/>
      <c r="O448" s="44"/>
    </row>
    <row r="449" spans="1:15" ht="17.25" customHeight="1">
      <c r="A449" s="44"/>
      <c r="B449" s="44"/>
      <c r="C449" s="44"/>
      <c r="D449" s="44"/>
      <c r="E449" s="44"/>
      <c r="F449" s="44"/>
      <c r="G449" s="44"/>
      <c r="H449" s="44"/>
      <c r="I449" s="44"/>
      <c r="J449" s="44"/>
      <c r="K449" s="44"/>
      <c r="L449" s="44"/>
      <c r="M449" s="44"/>
      <c r="N449" s="44"/>
      <c r="O449" s="44"/>
    </row>
    <row r="450" spans="1:15" ht="17.25" customHeight="1">
      <c r="A450" s="44"/>
      <c r="B450" s="44"/>
      <c r="C450" s="44"/>
      <c r="D450" s="44"/>
      <c r="E450" s="44"/>
      <c r="F450" s="44"/>
      <c r="G450" s="44"/>
      <c r="H450" s="44"/>
      <c r="I450" s="44"/>
      <c r="J450" s="44"/>
      <c r="K450" s="44"/>
      <c r="L450" s="44"/>
      <c r="M450" s="44"/>
      <c r="N450" s="44"/>
      <c r="O450" s="44"/>
    </row>
    <row r="451" spans="1:15" ht="17.25" customHeight="1">
      <c r="A451" s="44"/>
      <c r="B451" s="44"/>
      <c r="C451" s="44"/>
      <c r="D451" s="44"/>
      <c r="E451" s="44"/>
      <c r="F451" s="44"/>
      <c r="G451" s="44"/>
      <c r="H451" s="44"/>
      <c r="I451" s="44"/>
      <c r="J451" s="44"/>
      <c r="K451" s="44"/>
      <c r="L451" s="44"/>
      <c r="M451" s="44"/>
      <c r="N451" s="44"/>
      <c r="O451" s="44"/>
    </row>
    <row r="452" spans="1:15" ht="17.25" customHeight="1">
      <c r="A452" s="44"/>
      <c r="B452" s="44"/>
      <c r="C452" s="44"/>
      <c r="D452" s="44"/>
      <c r="E452" s="44"/>
      <c r="F452" s="44"/>
      <c r="G452" s="44"/>
      <c r="H452" s="44"/>
      <c r="I452" s="44"/>
      <c r="J452" s="44"/>
      <c r="K452" s="44"/>
      <c r="L452" s="44"/>
      <c r="M452" s="44"/>
      <c r="N452" s="44"/>
      <c r="O452" s="44"/>
    </row>
    <row r="453" spans="1:15" ht="17.25" customHeight="1">
      <c r="A453" s="44"/>
      <c r="B453" s="44"/>
      <c r="C453" s="44"/>
      <c r="D453" s="44"/>
      <c r="E453" s="44"/>
      <c r="F453" s="44"/>
      <c r="G453" s="44"/>
      <c r="H453" s="44"/>
      <c r="I453" s="44"/>
      <c r="J453" s="44"/>
      <c r="K453" s="44"/>
      <c r="L453" s="44"/>
      <c r="M453" s="44"/>
      <c r="N453" s="44"/>
      <c r="O453" s="44"/>
    </row>
    <row r="454" spans="1:15" ht="17.25" customHeight="1">
      <c r="A454" s="44"/>
      <c r="B454" s="44"/>
      <c r="C454" s="44"/>
      <c r="D454" s="44"/>
      <c r="E454" s="44"/>
      <c r="F454" s="44"/>
      <c r="G454" s="44"/>
      <c r="H454" s="44"/>
      <c r="I454" s="44"/>
      <c r="J454" s="44"/>
      <c r="K454" s="44"/>
      <c r="L454" s="44"/>
      <c r="M454" s="44"/>
      <c r="N454" s="44"/>
      <c r="O454" s="44"/>
    </row>
    <row r="455" spans="1:15" ht="17.25" customHeight="1">
      <c r="A455" s="44"/>
      <c r="B455" s="44"/>
      <c r="C455" s="44"/>
      <c r="D455" s="44"/>
      <c r="E455" s="44"/>
      <c r="F455" s="44"/>
      <c r="G455" s="44"/>
      <c r="H455" s="44"/>
      <c r="I455" s="44"/>
      <c r="J455" s="44"/>
      <c r="K455" s="44"/>
      <c r="L455" s="44"/>
      <c r="M455" s="44"/>
      <c r="N455" s="44"/>
      <c r="O455" s="44"/>
    </row>
    <row r="456" spans="1:15" ht="17.25" customHeight="1">
      <c r="A456" s="44"/>
      <c r="B456" s="44"/>
      <c r="C456" s="44"/>
      <c r="D456" s="44"/>
      <c r="E456" s="44"/>
      <c r="F456" s="44"/>
      <c r="G456" s="44"/>
      <c r="H456" s="44"/>
      <c r="I456" s="44"/>
      <c r="J456" s="44"/>
      <c r="K456" s="44"/>
      <c r="L456" s="44"/>
      <c r="M456" s="44"/>
      <c r="N456" s="44"/>
      <c r="O456" s="44"/>
    </row>
    <row r="457" spans="1:15" ht="17.25" customHeight="1">
      <c r="A457" s="44"/>
      <c r="B457" s="44"/>
      <c r="C457" s="44"/>
      <c r="D457" s="44"/>
      <c r="E457" s="44"/>
      <c r="F457" s="44"/>
      <c r="G457" s="44"/>
      <c r="H457" s="44"/>
      <c r="I457" s="44"/>
      <c r="J457" s="44"/>
      <c r="K457" s="44"/>
      <c r="L457" s="44"/>
      <c r="M457" s="44"/>
      <c r="N457" s="44"/>
      <c r="O457" s="44"/>
    </row>
    <row r="458" spans="1:15" ht="17.25" customHeight="1">
      <c r="A458" s="44"/>
      <c r="B458" s="44"/>
      <c r="C458" s="44"/>
      <c r="D458" s="44"/>
      <c r="E458" s="44"/>
      <c r="F458" s="44"/>
      <c r="G458" s="44"/>
      <c r="H458" s="44"/>
      <c r="I458" s="44"/>
      <c r="J458" s="44"/>
      <c r="K458" s="44"/>
      <c r="L458" s="44"/>
      <c r="M458" s="44"/>
      <c r="N458" s="44"/>
      <c r="O458" s="44"/>
    </row>
    <row r="459" spans="1:15" ht="17.25" customHeight="1">
      <c r="A459" s="44"/>
      <c r="B459" s="44"/>
      <c r="C459" s="44"/>
      <c r="D459" s="44"/>
      <c r="E459" s="44"/>
      <c r="F459" s="44"/>
      <c r="G459" s="44"/>
      <c r="H459" s="44"/>
      <c r="I459" s="44"/>
      <c r="J459" s="44"/>
      <c r="K459" s="44"/>
      <c r="L459" s="44"/>
      <c r="M459" s="44"/>
      <c r="N459" s="44"/>
      <c r="O459" s="44"/>
    </row>
    <row r="460" spans="1:15" ht="17.25" customHeight="1">
      <c r="A460" s="44"/>
      <c r="B460" s="44"/>
      <c r="C460" s="44"/>
      <c r="D460" s="44"/>
      <c r="E460" s="44"/>
      <c r="F460" s="44"/>
      <c r="G460" s="44"/>
      <c r="H460" s="44"/>
      <c r="I460" s="44"/>
      <c r="J460" s="44"/>
      <c r="K460" s="44"/>
      <c r="L460" s="44"/>
      <c r="M460" s="44"/>
      <c r="N460" s="44"/>
      <c r="O460" s="44"/>
    </row>
    <row r="461" spans="1:15" ht="17.25" customHeight="1">
      <c r="A461" s="44"/>
      <c r="B461" s="44"/>
      <c r="C461" s="44"/>
      <c r="D461" s="44"/>
      <c r="E461" s="44"/>
      <c r="F461" s="44"/>
      <c r="G461" s="44"/>
      <c r="H461" s="44"/>
      <c r="I461" s="44"/>
      <c r="J461" s="44"/>
      <c r="K461" s="44"/>
      <c r="L461" s="44"/>
      <c r="M461" s="44"/>
      <c r="N461" s="44"/>
      <c r="O461" s="44"/>
    </row>
    <row r="462" spans="1:15" ht="17.25" customHeight="1">
      <c r="A462" s="44"/>
      <c r="B462" s="44"/>
      <c r="C462" s="44"/>
      <c r="D462" s="44"/>
      <c r="E462" s="44"/>
      <c r="F462" s="44"/>
      <c r="G462" s="44"/>
      <c r="H462" s="44"/>
      <c r="I462" s="44"/>
      <c r="J462" s="44"/>
      <c r="K462" s="44"/>
      <c r="L462" s="44"/>
      <c r="M462" s="44"/>
      <c r="N462" s="44"/>
      <c r="O462" s="44"/>
    </row>
    <row r="463" spans="1:15" ht="17.25" customHeight="1">
      <c r="A463" s="44"/>
      <c r="B463" s="44"/>
      <c r="C463" s="44"/>
      <c r="D463" s="44"/>
      <c r="E463" s="44"/>
      <c r="F463" s="44"/>
      <c r="G463" s="44"/>
      <c r="H463" s="44"/>
      <c r="I463" s="44"/>
      <c r="J463" s="44"/>
      <c r="K463" s="44"/>
      <c r="L463" s="44"/>
      <c r="M463" s="44"/>
      <c r="N463" s="44"/>
      <c r="O463" s="44"/>
    </row>
    <row r="464" spans="1:15" ht="17.25" customHeight="1">
      <c r="A464" s="44"/>
      <c r="B464" s="44"/>
      <c r="C464" s="44"/>
      <c r="D464" s="44"/>
      <c r="E464" s="44"/>
      <c r="F464" s="44"/>
      <c r="G464" s="44"/>
      <c r="H464" s="44"/>
      <c r="I464" s="44"/>
      <c r="J464" s="44"/>
      <c r="K464" s="44"/>
      <c r="L464" s="44"/>
      <c r="M464" s="44"/>
      <c r="N464" s="44"/>
      <c r="O464" s="44"/>
    </row>
    <row r="465" spans="1:15" ht="17.25" customHeight="1">
      <c r="A465" s="44"/>
      <c r="B465" s="44"/>
      <c r="C465" s="44"/>
      <c r="D465" s="44"/>
      <c r="E465" s="44"/>
      <c r="F465" s="44"/>
      <c r="G465" s="44"/>
      <c r="H465" s="44"/>
      <c r="I465" s="44"/>
      <c r="J465" s="44"/>
      <c r="K465" s="44"/>
      <c r="L465" s="44"/>
      <c r="M465" s="44"/>
      <c r="N465" s="44"/>
      <c r="O465" s="44"/>
    </row>
    <row r="466" spans="1:15" ht="17.25" customHeight="1">
      <c r="A466" s="44"/>
      <c r="B466" s="44"/>
      <c r="C466" s="44"/>
      <c r="D466" s="44"/>
      <c r="E466" s="44"/>
      <c r="F466" s="44"/>
      <c r="G466" s="44"/>
      <c r="H466" s="44"/>
      <c r="I466" s="44"/>
      <c r="J466" s="44"/>
      <c r="K466" s="44"/>
      <c r="L466" s="44"/>
      <c r="M466" s="44"/>
      <c r="N466" s="44"/>
      <c r="O466" s="44"/>
    </row>
    <row r="467" spans="1:15" ht="17.25" customHeight="1">
      <c r="A467" s="44"/>
      <c r="B467" s="44"/>
      <c r="C467" s="44"/>
      <c r="D467" s="44"/>
      <c r="E467" s="44"/>
      <c r="F467" s="44"/>
      <c r="G467" s="44"/>
      <c r="H467" s="44"/>
      <c r="I467" s="44"/>
      <c r="J467" s="44"/>
      <c r="K467" s="44"/>
      <c r="L467" s="44"/>
      <c r="M467" s="44"/>
      <c r="N467" s="44"/>
      <c r="O467" s="44"/>
    </row>
    <row r="468" spans="1:15" ht="17.25" customHeight="1">
      <c r="A468" s="44"/>
      <c r="B468" s="44"/>
      <c r="C468" s="44"/>
      <c r="D468" s="44"/>
      <c r="E468" s="44"/>
      <c r="F468" s="44"/>
      <c r="G468" s="44"/>
      <c r="H468" s="44"/>
      <c r="I468" s="44"/>
      <c r="J468" s="44"/>
      <c r="K468" s="44"/>
      <c r="L468" s="44"/>
      <c r="M468" s="44"/>
      <c r="N468" s="44"/>
      <c r="O468" s="44"/>
    </row>
    <row r="469" spans="1:15" ht="17.25" customHeight="1">
      <c r="A469" s="44"/>
      <c r="B469" s="44"/>
      <c r="C469" s="44"/>
      <c r="D469" s="44"/>
      <c r="E469" s="44"/>
      <c r="F469" s="44"/>
      <c r="G469" s="44"/>
      <c r="H469" s="44"/>
      <c r="I469" s="44"/>
      <c r="J469" s="44"/>
      <c r="K469" s="44"/>
      <c r="L469" s="44"/>
      <c r="M469" s="44"/>
      <c r="N469" s="44"/>
      <c r="O469" s="44"/>
    </row>
    <row r="470" spans="1:15" ht="17.25" customHeight="1">
      <c r="A470" s="44"/>
      <c r="B470" s="44"/>
      <c r="C470" s="44"/>
      <c r="D470" s="44"/>
      <c r="E470" s="44"/>
      <c r="F470" s="44"/>
      <c r="G470" s="44"/>
      <c r="H470" s="44"/>
      <c r="I470" s="44"/>
      <c r="J470" s="44"/>
      <c r="K470" s="44"/>
      <c r="L470" s="44"/>
      <c r="M470" s="44"/>
      <c r="N470" s="44"/>
      <c r="O470" s="44"/>
    </row>
    <row r="471" spans="1:15" ht="17.25" customHeight="1">
      <c r="A471" s="44"/>
      <c r="B471" s="44"/>
      <c r="C471" s="44"/>
      <c r="D471" s="44"/>
      <c r="E471" s="44"/>
      <c r="F471" s="44"/>
      <c r="G471" s="44"/>
      <c r="H471" s="44"/>
      <c r="I471" s="44"/>
      <c r="J471" s="44"/>
      <c r="K471" s="44"/>
      <c r="L471" s="44"/>
      <c r="M471" s="44"/>
      <c r="N471" s="44"/>
      <c r="O471" s="44"/>
    </row>
    <row r="472" spans="1:15" ht="17.25" customHeight="1">
      <c r="A472" s="44"/>
      <c r="B472" s="44"/>
      <c r="C472" s="44"/>
      <c r="D472" s="44"/>
      <c r="E472" s="44"/>
      <c r="F472" s="44"/>
      <c r="G472" s="44"/>
      <c r="H472" s="44"/>
      <c r="I472" s="44"/>
      <c r="J472" s="44"/>
      <c r="K472" s="44"/>
      <c r="L472" s="44"/>
      <c r="M472" s="44"/>
      <c r="N472" s="44"/>
      <c r="O472" s="44"/>
    </row>
    <row r="473" spans="1:15" ht="17.25" customHeight="1">
      <c r="A473" s="44"/>
      <c r="B473" s="44"/>
      <c r="C473" s="44"/>
      <c r="D473" s="44"/>
      <c r="E473" s="44"/>
      <c r="F473" s="44"/>
      <c r="G473" s="44"/>
      <c r="H473" s="44"/>
      <c r="I473" s="44"/>
      <c r="J473" s="44"/>
      <c r="K473" s="44"/>
      <c r="L473" s="44"/>
      <c r="M473" s="44"/>
      <c r="N473" s="44"/>
      <c r="O473" s="44"/>
    </row>
    <row r="474" spans="1:15" ht="17.25" customHeight="1">
      <c r="A474" s="44"/>
      <c r="B474" s="44"/>
      <c r="C474" s="44"/>
      <c r="D474" s="44"/>
      <c r="E474" s="44"/>
      <c r="F474" s="44"/>
      <c r="G474" s="44"/>
      <c r="H474" s="44"/>
      <c r="I474" s="44"/>
      <c r="J474" s="44"/>
      <c r="K474" s="44"/>
      <c r="L474" s="44"/>
      <c r="M474" s="44"/>
      <c r="N474" s="44"/>
      <c r="O474" s="44"/>
    </row>
    <row r="475" spans="1:15" ht="17.25" customHeight="1">
      <c r="A475" s="44"/>
      <c r="B475" s="44"/>
      <c r="C475" s="44"/>
      <c r="D475" s="44"/>
      <c r="E475" s="44"/>
      <c r="F475" s="44"/>
      <c r="G475" s="44"/>
      <c r="H475" s="44"/>
      <c r="I475" s="44"/>
      <c r="J475" s="44"/>
      <c r="K475" s="44"/>
      <c r="L475" s="44"/>
      <c r="M475" s="44"/>
      <c r="N475" s="44"/>
      <c r="O475" s="44"/>
    </row>
    <row r="476" spans="1:15" ht="17.25" customHeight="1">
      <c r="A476" s="44"/>
      <c r="B476" s="44"/>
      <c r="C476" s="44"/>
      <c r="D476" s="44"/>
      <c r="E476" s="44"/>
      <c r="F476" s="44"/>
      <c r="G476" s="44"/>
      <c r="H476" s="44"/>
      <c r="I476" s="44"/>
      <c r="J476" s="44"/>
      <c r="K476" s="44"/>
      <c r="L476" s="44"/>
      <c r="M476" s="44"/>
      <c r="N476" s="44"/>
      <c r="O476" s="44"/>
    </row>
    <row r="477" spans="1:15" ht="17.25" customHeight="1">
      <c r="A477" s="44"/>
      <c r="B477" s="44"/>
      <c r="C477" s="44"/>
      <c r="D477" s="44"/>
      <c r="E477" s="44"/>
      <c r="F477" s="44"/>
      <c r="G477" s="44"/>
      <c r="H477" s="44"/>
      <c r="I477" s="44"/>
      <c r="J477" s="44"/>
      <c r="K477" s="44"/>
      <c r="L477" s="44"/>
      <c r="M477" s="44"/>
      <c r="N477" s="44"/>
      <c r="O477" s="44"/>
    </row>
    <row r="478" spans="1:15" ht="17.25" customHeight="1">
      <c r="A478" s="44"/>
      <c r="B478" s="44"/>
      <c r="C478" s="44"/>
      <c r="D478" s="44"/>
      <c r="E478" s="44"/>
      <c r="F478" s="44"/>
      <c r="G478" s="44"/>
      <c r="H478" s="44"/>
      <c r="I478" s="44"/>
      <c r="J478" s="44"/>
      <c r="K478" s="44"/>
      <c r="L478" s="44"/>
      <c r="M478" s="44"/>
      <c r="N478" s="44"/>
      <c r="O478" s="44"/>
    </row>
    <row r="479" spans="1:15" ht="17.25" customHeight="1">
      <c r="A479" s="44"/>
      <c r="B479" s="44"/>
      <c r="C479" s="44"/>
      <c r="D479" s="44"/>
      <c r="E479" s="44"/>
      <c r="F479" s="44"/>
      <c r="G479" s="44"/>
      <c r="H479" s="44"/>
      <c r="I479" s="44"/>
      <c r="J479" s="44"/>
      <c r="K479" s="44"/>
      <c r="L479" s="44"/>
      <c r="M479" s="44"/>
      <c r="N479" s="44"/>
      <c r="O479" s="44"/>
    </row>
    <row r="480" spans="1:15" ht="17.25" customHeight="1">
      <c r="A480" s="44"/>
      <c r="B480" s="44"/>
      <c r="C480" s="44"/>
      <c r="D480" s="44"/>
      <c r="E480" s="44"/>
      <c r="F480" s="44"/>
      <c r="G480" s="44"/>
      <c r="H480" s="44"/>
      <c r="I480" s="44"/>
      <c r="J480" s="44"/>
      <c r="K480" s="44"/>
      <c r="L480" s="44"/>
      <c r="M480" s="44"/>
      <c r="N480" s="44"/>
      <c r="O480" s="44"/>
    </row>
    <row r="481" spans="1:15" ht="17.25" customHeight="1">
      <c r="A481" s="44"/>
      <c r="B481" s="44"/>
      <c r="C481" s="44"/>
      <c r="D481" s="44"/>
      <c r="E481" s="44"/>
      <c r="F481" s="44"/>
      <c r="G481" s="44"/>
      <c r="H481" s="44"/>
      <c r="I481" s="44"/>
      <c r="J481" s="44"/>
      <c r="K481" s="44"/>
      <c r="L481" s="44"/>
      <c r="M481" s="44"/>
      <c r="N481" s="44"/>
      <c r="O481" s="44"/>
    </row>
    <row r="482" spans="1:15" ht="17.25" customHeight="1">
      <c r="A482" s="44"/>
      <c r="B482" s="44"/>
      <c r="C482" s="44"/>
      <c r="D482" s="44"/>
      <c r="E482" s="44"/>
      <c r="F482" s="44"/>
      <c r="G482" s="44"/>
      <c r="H482" s="44"/>
      <c r="I482" s="44"/>
      <c r="J482" s="44"/>
      <c r="K482" s="44"/>
      <c r="L482" s="44"/>
      <c r="M482" s="44"/>
      <c r="N482" s="44"/>
      <c r="O482" s="44"/>
    </row>
    <row r="483" spans="1:15" ht="17.25" customHeight="1">
      <c r="A483" s="44"/>
      <c r="B483" s="44"/>
      <c r="C483" s="44"/>
      <c r="D483" s="44"/>
      <c r="E483" s="44"/>
      <c r="F483" s="44"/>
      <c r="G483" s="44"/>
      <c r="H483" s="44"/>
      <c r="I483" s="44"/>
      <c r="J483" s="44"/>
      <c r="K483" s="44"/>
      <c r="L483" s="44"/>
      <c r="M483" s="44"/>
      <c r="N483" s="44"/>
      <c r="O483" s="44"/>
    </row>
    <row r="484" spans="1:15" ht="17.25" customHeight="1">
      <c r="A484" s="44"/>
      <c r="B484" s="44"/>
      <c r="C484" s="44"/>
      <c r="D484" s="44"/>
      <c r="E484" s="44"/>
      <c r="F484" s="44"/>
      <c r="G484" s="44"/>
      <c r="H484" s="44"/>
      <c r="I484" s="44"/>
      <c r="J484" s="44"/>
      <c r="K484" s="44"/>
      <c r="L484" s="44"/>
      <c r="M484" s="44"/>
      <c r="N484" s="44"/>
      <c r="O484" s="44"/>
    </row>
    <row r="485" spans="1:15" ht="17.25" customHeight="1">
      <c r="A485" s="44"/>
      <c r="B485" s="44"/>
      <c r="C485" s="44"/>
      <c r="D485" s="44"/>
      <c r="E485" s="44"/>
      <c r="F485" s="44"/>
      <c r="G485" s="44"/>
      <c r="H485" s="44"/>
      <c r="I485" s="44"/>
      <c r="J485" s="44"/>
      <c r="K485" s="44"/>
      <c r="L485" s="44"/>
      <c r="M485" s="44"/>
      <c r="N485" s="44"/>
      <c r="O485" s="44"/>
    </row>
    <row r="486" spans="1:15" ht="17.25" customHeight="1">
      <c r="A486" s="44"/>
      <c r="B486" s="44"/>
      <c r="C486" s="44"/>
      <c r="D486" s="44"/>
      <c r="E486" s="44"/>
      <c r="F486" s="44"/>
      <c r="G486" s="44"/>
      <c r="H486" s="44"/>
      <c r="I486" s="44"/>
      <c r="J486" s="44"/>
      <c r="K486" s="44"/>
      <c r="L486" s="44"/>
      <c r="M486" s="44"/>
      <c r="N486" s="44"/>
      <c r="O486" s="44"/>
    </row>
    <row r="487" spans="1:15" ht="17.25" customHeight="1">
      <c r="A487" s="44"/>
      <c r="B487" s="44"/>
      <c r="C487" s="44"/>
      <c r="D487" s="44"/>
      <c r="E487" s="44"/>
      <c r="F487" s="44"/>
      <c r="G487" s="44"/>
      <c r="H487" s="44"/>
      <c r="I487" s="44"/>
      <c r="J487" s="44"/>
      <c r="K487" s="44"/>
      <c r="L487" s="44"/>
      <c r="M487" s="44"/>
      <c r="N487" s="44"/>
      <c r="O487" s="44"/>
    </row>
    <row r="488" spans="1:15" ht="17.25" customHeight="1">
      <c r="A488" s="44"/>
      <c r="B488" s="44"/>
      <c r="C488" s="44"/>
      <c r="D488" s="44"/>
      <c r="E488" s="44"/>
      <c r="F488" s="44"/>
      <c r="G488" s="44"/>
      <c r="H488" s="44"/>
      <c r="I488" s="44"/>
      <c r="J488" s="44"/>
      <c r="K488" s="44"/>
      <c r="L488" s="44"/>
      <c r="M488" s="44"/>
      <c r="N488" s="44"/>
      <c r="O488" s="44"/>
    </row>
    <row r="489" spans="1:15" ht="17.25" customHeight="1">
      <c r="A489" s="44"/>
      <c r="B489" s="44"/>
      <c r="C489" s="44"/>
      <c r="D489" s="44"/>
      <c r="E489" s="44"/>
      <c r="F489" s="44"/>
      <c r="G489" s="44"/>
      <c r="H489" s="44"/>
      <c r="I489" s="44"/>
      <c r="J489" s="44"/>
      <c r="K489" s="44"/>
      <c r="L489" s="44"/>
      <c r="M489" s="44"/>
      <c r="N489" s="44"/>
      <c r="O489" s="44"/>
    </row>
    <row r="490" spans="1:15" ht="17.25" customHeight="1">
      <c r="A490" s="44"/>
      <c r="B490" s="44"/>
      <c r="C490" s="44"/>
      <c r="D490" s="44"/>
      <c r="E490" s="44"/>
      <c r="F490" s="44"/>
      <c r="G490" s="44"/>
      <c r="H490" s="44"/>
      <c r="I490" s="44"/>
      <c r="J490" s="44"/>
      <c r="K490" s="44"/>
      <c r="L490" s="44"/>
      <c r="M490" s="44"/>
      <c r="N490" s="44"/>
      <c r="O490" s="44"/>
    </row>
    <row r="491" spans="1:15" ht="17.25" customHeight="1">
      <c r="A491" s="44"/>
      <c r="B491" s="44"/>
      <c r="C491" s="44"/>
      <c r="D491" s="44"/>
      <c r="E491" s="44"/>
      <c r="F491" s="44"/>
      <c r="G491" s="44"/>
      <c r="H491" s="44"/>
      <c r="I491" s="44"/>
      <c r="J491" s="44"/>
      <c r="K491" s="44"/>
      <c r="L491" s="44"/>
      <c r="M491" s="44"/>
      <c r="N491" s="44"/>
      <c r="O491" s="44"/>
    </row>
    <row r="492" spans="1:15" ht="17.25" customHeight="1">
      <c r="A492" s="44"/>
      <c r="B492" s="44"/>
      <c r="C492" s="44"/>
      <c r="D492" s="44"/>
      <c r="E492" s="44"/>
      <c r="F492" s="44"/>
      <c r="G492" s="44"/>
      <c r="H492" s="44"/>
      <c r="I492" s="44"/>
      <c r="J492" s="44"/>
      <c r="K492" s="44"/>
      <c r="L492" s="44"/>
      <c r="M492" s="44"/>
      <c r="N492" s="44"/>
      <c r="O492" s="44"/>
    </row>
    <row r="493" spans="1:15" ht="17.25" customHeight="1">
      <c r="A493" s="44"/>
      <c r="B493" s="44"/>
      <c r="C493" s="44"/>
      <c r="D493" s="44"/>
      <c r="E493" s="44"/>
      <c r="F493" s="44"/>
      <c r="G493" s="44"/>
      <c r="H493" s="44"/>
      <c r="I493" s="44"/>
      <c r="J493" s="44"/>
      <c r="K493" s="44"/>
      <c r="L493" s="44"/>
      <c r="M493" s="44"/>
      <c r="N493" s="44"/>
      <c r="O493" s="44"/>
    </row>
    <row r="494" spans="1:15" ht="17.25" customHeight="1">
      <c r="A494" s="44"/>
      <c r="B494" s="44"/>
      <c r="C494" s="44"/>
      <c r="D494" s="44"/>
      <c r="E494" s="44"/>
      <c r="F494" s="44"/>
      <c r="G494" s="44"/>
      <c r="H494" s="44"/>
      <c r="I494" s="44"/>
      <c r="J494" s="44"/>
      <c r="K494" s="44"/>
      <c r="L494" s="44"/>
      <c r="M494" s="44"/>
      <c r="N494" s="44"/>
      <c r="O494" s="44"/>
    </row>
    <row r="495" spans="1:15" ht="17.25" customHeight="1">
      <c r="A495" s="44"/>
      <c r="B495" s="44"/>
      <c r="C495" s="44"/>
      <c r="D495" s="44"/>
      <c r="E495" s="44"/>
      <c r="F495" s="44"/>
      <c r="G495" s="44"/>
      <c r="H495" s="44"/>
      <c r="I495" s="44"/>
      <c r="J495" s="44"/>
      <c r="K495" s="44"/>
      <c r="L495" s="44"/>
      <c r="M495" s="44"/>
      <c r="N495" s="44"/>
      <c r="O495" s="44"/>
    </row>
    <row r="496" spans="1:15" ht="17.25" customHeight="1">
      <c r="A496" s="44"/>
      <c r="B496" s="44"/>
      <c r="C496" s="44"/>
      <c r="D496" s="44"/>
      <c r="E496" s="44"/>
      <c r="F496" s="44"/>
      <c r="G496" s="44"/>
      <c r="H496" s="44"/>
      <c r="I496" s="44"/>
      <c r="J496" s="44"/>
      <c r="K496" s="44"/>
      <c r="L496" s="44"/>
      <c r="M496" s="44"/>
      <c r="N496" s="44"/>
      <c r="O496" s="44"/>
    </row>
    <row r="497" spans="1:15" ht="17.25" customHeight="1">
      <c r="A497" s="44"/>
      <c r="B497" s="44"/>
      <c r="C497" s="44"/>
      <c r="D497" s="44"/>
      <c r="E497" s="44"/>
      <c r="F497" s="44"/>
      <c r="G497" s="44"/>
      <c r="H497" s="44"/>
      <c r="I497" s="44"/>
      <c r="J497" s="44"/>
      <c r="K497" s="44"/>
      <c r="L497" s="44"/>
      <c r="M497" s="44"/>
      <c r="N497" s="44"/>
      <c r="O497" s="44"/>
    </row>
    <row r="498" spans="1:15" ht="17.25" customHeight="1">
      <c r="A498" s="44"/>
      <c r="B498" s="44"/>
      <c r="C498" s="44"/>
      <c r="D498" s="44"/>
      <c r="E498" s="44"/>
      <c r="F498" s="44"/>
      <c r="G498" s="44"/>
      <c r="H498" s="44"/>
      <c r="I498" s="44"/>
      <c r="J498" s="44"/>
      <c r="K498" s="44"/>
      <c r="L498" s="44"/>
      <c r="M498" s="44"/>
      <c r="N498" s="44"/>
      <c r="O498" s="44"/>
    </row>
    <row r="499" spans="1:15" ht="17.25" customHeight="1">
      <c r="A499" s="44"/>
      <c r="B499" s="44"/>
      <c r="C499" s="44"/>
      <c r="D499" s="44"/>
      <c r="E499" s="44"/>
      <c r="F499" s="44"/>
      <c r="G499" s="44"/>
      <c r="H499" s="44"/>
      <c r="I499" s="44"/>
      <c r="J499" s="44"/>
      <c r="K499" s="44"/>
      <c r="L499" s="44"/>
      <c r="M499" s="44"/>
      <c r="N499" s="44"/>
      <c r="O499" s="44"/>
    </row>
    <row r="500" spans="1:15" ht="17.25" customHeight="1">
      <c r="A500" s="44"/>
      <c r="B500" s="44"/>
      <c r="C500" s="44"/>
      <c r="D500" s="44"/>
      <c r="E500" s="44"/>
      <c r="F500" s="44"/>
      <c r="G500" s="44"/>
      <c r="H500" s="44"/>
      <c r="I500" s="44"/>
      <c r="J500" s="44"/>
      <c r="K500" s="44"/>
      <c r="L500" s="44"/>
      <c r="M500" s="44"/>
      <c r="N500" s="44"/>
      <c r="O500" s="44"/>
    </row>
    <row r="501" spans="1:15" ht="17.25" customHeight="1">
      <c r="A501" s="44"/>
      <c r="B501" s="44"/>
      <c r="C501" s="44"/>
      <c r="D501" s="44"/>
      <c r="E501" s="44"/>
      <c r="F501" s="44"/>
      <c r="G501" s="44"/>
      <c r="H501" s="44"/>
      <c r="I501" s="44"/>
      <c r="J501" s="44"/>
      <c r="K501" s="44"/>
      <c r="L501" s="44"/>
      <c r="M501" s="44"/>
      <c r="N501" s="44"/>
      <c r="O501" s="44"/>
    </row>
    <row r="502" spans="1:15" ht="17.25" customHeight="1">
      <c r="A502" s="44"/>
      <c r="B502" s="44"/>
      <c r="C502" s="44"/>
      <c r="D502" s="44"/>
      <c r="E502" s="44"/>
      <c r="F502" s="44"/>
      <c r="G502" s="44"/>
      <c r="H502" s="44"/>
      <c r="I502" s="44"/>
      <c r="J502" s="44"/>
      <c r="K502" s="44"/>
      <c r="L502" s="44"/>
      <c r="M502" s="44"/>
      <c r="N502" s="44"/>
      <c r="O502" s="44"/>
    </row>
    <row r="503" spans="1:15" ht="17.25" customHeight="1">
      <c r="A503" s="44"/>
      <c r="B503" s="44"/>
      <c r="C503" s="44"/>
      <c r="D503" s="44"/>
      <c r="E503" s="44"/>
      <c r="F503" s="44"/>
      <c r="G503" s="44"/>
      <c r="H503" s="44"/>
      <c r="I503" s="44"/>
      <c r="J503" s="44"/>
      <c r="K503" s="44"/>
      <c r="L503" s="44"/>
      <c r="M503" s="44"/>
      <c r="N503" s="44"/>
      <c r="O503" s="44"/>
    </row>
    <row r="504" spans="1:15" ht="17.25" customHeight="1">
      <c r="A504" s="44"/>
      <c r="B504" s="44"/>
      <c r="C504" s="44"/>
      <c r="D504" s="44"/>
      <c r="E504" s="44"/>
      <c r="F504" s="44"/>
      <c r="G504" s="44"/>
      <c r="H504" s="44"/>
      <c r="I504" s="44"/>
      <c r="J504" s="44"/>
      <c r="K504" s="44"/>
      <c r="L504" s="44"/>
      <c r="M504" s="44"/>
      <c r="N504" s="44"/>
      <c r="O504" s="44"/>
    </row>
    <row r="505" spans="1:15" ht="17.25" customHeight="1">
      <c r="A505" s="44"/>
      <c r="B505" s="44"/>
      <c r="C505" s="44"/>
      <c r="D505" s="44"/>
      <c r="E505" s="44"/>
      <c r="F505" s="44"/>
      <c r="G505" s="44"/>
      <c r="H505" s="44"/>
      <c r="I505" s="44"/>
      <c r="J505" s="44"/>
      <c r="K505" s="44"/>
      <c r="L505" s="44"/>
      <c r="M505" s="44"/>
      <c r="N505" s="44"/>
      <c r="O505" s="44"/>
    </row>
    <row r="506" spans="1:15" ht="17.25" customHeight="1">
      <c r="A506" s="44"/>
      <c r="B506" s="44"/>
      <c r="C506" s="44"/>
      <c r="D506" s="44"/>
      <c r="E506" s="44"/>
      <c r="F506" s="44"/>
      <c r="G506" s="44"/>
      <c r="H506" s="44"/>
      <c r="I506" s="44"/>
      <c r="J506" s="44"/>
      <c r="K506" s="44"/>
      <c r="L506" s="44"/>
      <c r="M506" s="44"/>
      <c r="N506" s="44"/>
      <c r="O506" s="44"/>
    </row>
    <row r="507" spans="1:15" ht="17.25" customHeight="1">
      <c r="A507" s="44"/>
      <c r="B507" s="44"/>
      <c r="C507" s="44"/>
      <c r="D507" s="44"/>
      <c r="E507" s="44"/>
      <c r="F507" s="44"/>
      <c r="G507" s="44"/>
      <c r="H507" s="44"/>
      <c r="I507" s="44"/>
      <c r="J507" s="44"/>
      <c r="K507" s="44"/>
      <c r="L507" s="44"/>
      <c r="M507" s="44"/>
      <c r="N507" s="44"/>
      <c r="O507" s="44"/>
    </row>
    <row r="508" spans="1:15" ht="17.25" customHeight="1">
      <c r="A508" s="44"/>
      <c r="B508" s="44"/>
      <c r="C508" s="44"/>
      <c r="D508" s="44"/>
      <c r="E508" s="44"/>
      <c r="F508" s="44"/>
      <c r="G508" s="44"/>
      <c r="H508" s="44"/>
      <c r="I508" s="44"/>
      <c r="J508" s="44"/>
      <c r="K508" s="44"/>
      <c r="L508" s="44"/>
      <c r="M508" s="44"/>
      <c r="N508" s="44"/>
      <c r="O508" s="44"/>
    </row>
    <row r="509" spans="1:15" ht="17.25" customHeight="1">
      <c r="A509" s="44"/>
      <c r="B509" s="44"/>
      <c r="C509" s="44"/>
      <c r="D509" s="44"/>
      <c r="E509" s="44"/>
      <c r="F509" s="44"/>
      <c r="G509" s="44"/>
      <c r="H509" s="44"/>
      <c r="I509" s="44"/>
      <c r="J509" s="44"/>
      <c r="K509" s="44"/>
      <c r="L509" s="44"/>
      <c r="M509" s="44"/>
      <c r="N509" s="44"/>
      <c r="O509" s="44"/>
    </row>
    <row r="510" spans="1:15" ht="17.25" customHeight="1">
      <c r="A510" s="44"/>
      <c r="B510" s="44"/>
      <c r="C510" s="44"/>
      <c r="D510" s="44"/>
      <c r="E510" s="44"/>
      <c r="F510" s="44"/>
      <c r="G510" s="44"/>
      <c r="H510" s="44"/>
      <c r="I510" s="44"/>
      <c r="J510" s="44"/>
      <c r="K510" s="44"/>
      <c r="L510" s="44"/>
      <c r="M510" s="44"/>
      <c r="N510" s="44"/>
      <c r="O510" s="44"/>
    </row>
    <row r="511" spans="1:15" ht="17.25" customHeight="1">
      <c r="A511" s="44"/>
      <c r="B511" s="44"/>
      <c r="C511" s="44"/>
      <c r="D511" s="44"/>
      <c r="E511" s="44"/>
      <c r="F511" s="44"/>
      <c r="G511" s="44"/>
      <c r="H511" s="44"/>
      <c r="I511" s="44"/>
      <c r="J511" s="44"/>
      <c r="K511" s="44"/>
      <c r="L511" s="44"/>
      <c r="M511" s="44"/>
      <c r="N511" s="44"/>
      <c r="O511" s="44"/>
    </row>
    <row r="512" spans="1:15" ht="17.25" customHeight="1">
      <c r="A512" s="44"/>
      <c r="B512" s="44"/>
      <c r="C512" s="44"/>
      <c r="D512" s="44"/>
      <c r="E512" s="44"/>
      <c r="F512" s="44"/>
      <c r="G512" s="44"/>
      <c r="H512" s="44"/>
      <c r="I512" s="44"/>
      <c r="J512" s="44"/>
      <c r="K512" s="44"/>
      <c r="L512" s="44"/>
      <c r="M512" s="44"/>
      <c r="N512" s="44"/>
      <c r="O512" s="44"/>
    </row>
    <row r="513" spans="1:15" ht="17.25" customHeight="1">
      <c r="A513" s="44"/>
      <c r="B513" s="44"/>
      <c r="C513" s="44"/>
      <c r="D513" s="44"/>
      <c r="E513" s="44"/>
      <c r="F513" s="44"/>
      <c r="G513" s="44"/>
      <c r="H513" s="44"/>
      <c r="I513" s="44"/>
      <c r="J513" s="44"/>
      <c r="K513" s="44"/>
      <c r="L513" s="44"/>
      <c r="M513" s="44"/>
      <c r="N513" s="44"/>
      <c r="O513" s="44"/>
    </row>
    <row r="514" spans="1:15" ht="17.25" customHeight="1">
      <c r="A514" s="44"/>
      <c r="B514" s="44"/>
      <c r="C514" s="44"/>
      <c r="D514" s="44"/>
      <c r="E514" s="44"/>
      <c r="F514" s="44"/>
      <c r="G514" s="44"/>
      <c r="H514" s="44"/>
      <c r="I514" s="44"/>
      <c r="J514" s="44"/>
      <c r="K514" s="44"/>
      <c r="L514" s="44"/>
      <c r="M514" s="44"/>
      <c r="N514" s="44"/>
      <c r="O514" s="44"/>
    </row>
    <row r="515" spans="1:15" ht="17.25" customHeight="1">
      <c r="A515" s="44"/>
      <c r="B515" s="44"/>
      <c r="C515" s="44"/>
      <c r="D515" s="44"/>
      <c r="E515" s="44"/>
      <c r="F515" s="44"/>
      <c r="G515" s="44"/>
      <c r="H515" s="44"/>
      <c r="I515" s="44"/>
      <c r="J515" s="44"/>
      <c r="K515" s="44"/>
      <c r="L515" s="44"/>
      <c r="M515" s="44"/>
      <c r="N515" s="44"/>
      <c r="O515" s="44"/>
    </row>
    <row r="516" spans="1:15" ht="17.25" customHeight="1">
      <c r="A516" s="44"/>
      <c r="B516" s="44"/>
      <c r="C516" s="44"/>
      <c r="D516" s="44"/>
      <c r="E516" s="44"/>
      <c r="F516" s="44"/>
      <c r="G516" s="44"/>
      <c r="H516" s="44"/>
      <c r="I516" s="44"/>
      <c r="J516" s="44"/>
      <c r="K516" s="44"/>
      <c r="L516" s="44"/>
      <c r="M516" s="44"/>
      <c r="N516" s="44"/>
      <c r="O516" s="44"/>
    </row>
    <row r="517" spans="1:15" ht="17.25" customHeight="1">
      <c r="A517" s="44"/>
      <c r="B517" s="44"/>
      <c r="C517" s="44"/>
      <c r="D517" s="44"/>
      <c r="E517" s="44"/>
      <c r="F517" s="44"/>
      <c r="G517" s="44"/>
      <c r="H517" s="44"/>
      <c r="I517" s="44"/>
      <c r="J517" s="44"/>
      <c r="K517" s="44"/>
      <c r="L517" s="44"/>
      <c r="M517" s="44"/>
      <c r="N517" s="44"/>
      <c r="O517" s="44"/>
    </row>
    <row r="518" spans="1:15" ht="17.25" customHeight="1">
      <c r="A518" s="44"/>
      <c r="B518" s="44"/>
      <c r="C518" s="44"/>
      <c r="D518" s="44"/>
      <c r="E518" s="44"/>
      <c r="F518" s="44"/>
      <c r="G518" s="44"/>
      <c r="H518" s="44"/>
      <c r="I518" s="44"/>
      <c r="J518" s="44"/>
      <c r="K518" s="44"/>
      <c r="L518" s="44"/>
      <c r="M518" s="44"/>
      <c r="N518" s="44"/>
      <c r="O518" s="44"/>
    </row>
    <row r="519" spans="1:15" ht="17.25" customHeight="1">
      <c r="A519" s="44"/>
      <c r="B519" s="44"/>
      <c r="C519" s="44"/>
      <c r="D519" s="44"/>
      <c r="E519" s="44"/>
      <c r="F519" s="44"/>
      <c r="G519" s="44"/>
      <c r="H519" s="44"/>
      <c r="I519" s="44"/>
      <c r="J519" s="44"/>
      <c r="K519" s="44"/>
      <c r="L519" s="44"/>
      <c r="M519" s="44"/>
      <c r="N519" s="44"/>
      <c r="O519" s="44"/>
    </row>
    <row r="520" spans="1:15" ht="17.25" customHeight="1">
      <c r="A520" s="44"/>
      <c r="B520" s="44"/>
      <c r="C520" s="44"/>
      <c r="D520" s="44"/>
      <c r="E520" s="44"/>
      <c r="F520" s="44"/>
      <c r="G520" s="44"/>
      <c r="H520" s="44"/>
      <c r="I520" s="44"/>
      <c r="J520" s="44"/>
      <c r="K520" s="44"/>
      <c r="L520" s="44"/>
      <c r="M520" s="44"/>
      <c r="N520" s="44"/>
      <c r="O520" s="44"/>
    </row>
    <row r="521" spans="1:15" ht="17.25" customHeight="1">
      <c r="A521" s="44"/>
      <c r="B521" s="44"/>
      <c r="C521" s="44"/>
      <c r="D521" s="44"/>
      <c r="E521" s="44"/>
      <c r="F521" s="44"/>
      <c r="G521" s="44"/>
      <c r="H521" s="44"/>
      <c r="I521" s="44"/>
      <c r="J521" s="44"/>
      <c r="K521" s="44"/>
      <c r="L521" s="44"/>
      <c r="M521" s="44"/>
      <c r="N521" s="44"/>
      <c r="O521" s="44"/>
    </row>
    <row r="522" spans="1:15" ht="17.25" customHeight="1">
      <c r="A522" s="44"/>
      <c r="B522" s="44"/>
      <c r="C522" s="44"/>
      <c r="D522" s="44"/>
      <c r="E522" s="44"/>
      <c r="F522" s="44"/>
      <c r="G522" s="44"/>
      <c r="H522" s="44"/>
      <c r="I522" s="44"/>
      <c r="J522" s="44"/>
      <c r="K522" s="44"/>
      <c r="L522" s="44"/>
      <c r="M522" s="44"/>
      <c r="N522" s="44"/>
      <c r="O522" s="44"/>
    </row>
    <row r="523" spans="1:15" ht="17.25" customHeight="1">
      <c r="A523" s="44"/>
      <c r="B523" s="44"/>
      <c r="C523" s="44"/>
      <c r="D523" s="44"/>
      <c r="E523" s="44"/>
      <c r="F523" s="44"/>
      <c r="G523" s="44"/>
      <c r="H523" s="44"/>
      <c r="I523" s="44"/>
      <c r="J523" s="44"/>
      <c r="K523" s="44"/>
      <c r="L523" s="44"/>
      <c r="M523" s="44"/>
      <c r="N523" s="44"/>
      <c r="O523" s="44"/>
    </row>
    <row r="524" spans="1:15" ht="17.25" customHeight="1">
      <c r="A524" s="44"/>
      <c r="B524" s="44"/>
      <c r="C524" s="44"/>
      <c r="D524" s="44"/>
      <c r="E524" s="44"/>
      <c r="F524" s="44"/>
      <c r="G524" s="44"/>
      <c r="H524" s="44"/>
      <c r="I524" s="44"/>
      <c r="J524" s="44"/>
      <c r="K524" s="44"/>
      <c r="L524" s="44"/>
      <c r="M524" s="44"/>
      <c r="N524" s="44"/>
      <c r="O524" s="44"/>
    </row>
    <row r="525" spans="1:15" ht="17.25" customHeight="1">
      <c r="A525" s="44"/>
      <c r="B525" s="44"/>
      <c r="C525" s="44"/>
      <c r="D525" s="44"/>
      <c r="E525" s="44"/>
      <c r="F525" s="44"/>
      <c r="G525" s="44"/>
      <c r="H525" s="44"/>
      <c r="I525" s="44"/>
      <c r="J525" s="44"/>
      <c r="K525" s="44"/>
      <c r="L525" s="44"/>
      <c r="M525" s="44"/>
      <c r="N525" s="44"/>
      <c r="O525" s="44"/>
    </row>
    <row r="526" spans="1:15" ht="17.25" customHeight="1">
      <c r="A526" s="44"/>
      <c r="B526" s="44"/>
      <c r="C526" s="44"/>
      <c r="D526" s="44"/>
      <c r="E526" s="44"/>
      <c r="F526" s="44"/>
      <c r="G526" s="44"/>
      <c r="H526" s="44"/>
      <c r="I526" s="44"/>
      <c r="J526" s="44"/>
      <c r="K526" s="44"/>
      <c r="L526" s="44"/>
      <c r="M526" s="44"/>
      <c r="N526" s="44"/>
      <c r="O526" s="44"/>
    </row>
    <row r="527" spans="1:15" ht="17.25" customHeight="1">
      <c r="A527" s="44"/>
      <c r="B527" s="44"/>
      <c r="C527" s="44"/>
      <c r="D527" s="44"/>
      <c r="E527" s="44"/>
      <c r="F527" s="44"/>
      <c r="G527" s="44"/>
      <c r="H527" s="44"/>
      <c r="I527" s="44"/>
      <c r="J527" s="44"/>
      <c r="K527" s="44"/>
      <c r="L527" s="44"/>
      <c r="M527" s="44"/>
      <c r="N527" s="44"/>
      <c r="O527" s="44"/>
    </row>
    <row r="528" spans="1:15" ht="17.25" customHeight="1">
      <c r="A528" s="44"/>
      <c r="B528" s="44"/>
      <c r="C528" s="44"/>
      <c r="D528" s="44"/>
      <c r="E528" s="44"/>
      <c r="F528" s="44"/>
      <c r="G528" s="44"/>
      <c r="H528" s="44"/>
      <c r="I528" s="44"/>
      <c r="J528" s="44"/>
      <c r="K528" s="44"/>
      <c r="L528" s="44"/>
      <c r="M528" s="44"/>
      <c r="N528" s="44"/>
      <c r="O528" s="44"/>
    </row>
    <row r="529" spans="1:15" ht="17.25" customHeight="1">
      <c r="A529" s="44"/>
      <c r="B529" s="44"/>
      <c r="C529" s="44"/>
      <c r="D529" s="44"/>
      <c r="E529" s="44"/>
      <c r="F529" s="44"/>
      <c r="G529" s="44"/>
      <c r="H529" s="44"/>
      <c r="I529" s="44"/>
      <c r="J529" s="44"/>
      <c r="K529" s="44"/>
      <c r="L529" s="44"/>
      <c r="M529" s="44"/>
      <c r="N529" s="44"/>
      <c r="O529" s="44"/>
    </row>
    <row r="530" spans="1:15" ht="17.25" customHeight="1">
      <c r="A530" s="44"/>
      <c r="B530" s="44"/>
      <c r="C530" s="44"/>
      <c r="D530" s="44"/>
      <c r="E530" s="44"/>
      <c r="F530" s="44"/>
      <c r="G530" s="44"/>
      <c r="H530" s="44"/>
      <c r="I530" s="44"/>
      <c r="J530" s="44"/>
      <c r="K530" s="44"/>
      <c r="L530" s="44"/>
      <c r="M530" s="44"/>
      <c r="N530" s="44"/>
      <c r="O530" s="44"/>
    </row>
    <row r="531" spans="1:15" ht="17.25" customHeight="1">
      <c r="A531" s="44"/>
      <c r="B531" s="44"/>
      <c r="C531" s="44"/>
      <c r="D531" s="44"/>
      <c r="E531" s="44"/>
      <c r="F531" s="44"/>
      <c r="G531" s="44"/>
      <c r="H531" s="44"/>
      <c r="I531" s="44"/>
      <c r="J531" s="44"/>
      <c r="K531" s="44"/>
      <c r="L531" s="44"/>
      <c r="M531" s="44"/>
      <c r="N531" s="44"/>
      <c r="O531" s="44"/>
    </row>
    <row r="532" spans="1:15" ht="17.25" customHeight="1">
      <c r="A532" s="44"/>
      <c r="B532" s="44"/>
      <c r="C532" s="44"/>
      <c r="D532" s="44"/>
      <c r="E532" s="44"/>
      <c r="F532" s="44"/>
      <c r="G532" s="44"/>
      <c r="H532" s="44"/>
      <c r="I532" s="44"/>
      <c r="J532" s="44"/>
      <c r="K532" s="44"/>
      <c r="L532" s="44"/>
      <c r="M532" s="44"/>
      <c r="N532" s="44"/>
      <c r="O532" s="44"/>
    </row>
    <row r="533" spans="1:15" ht="17.25" customHeight="1">
      <c r="A533" s="44"/>
      <c r="B533" s="44"/>
      <c r="C533" s="44"/>
      <c r="D533" s="44"/>
      <c r="E533" s="44"/>
      <c r="F533" s="44"/>
      <c r="G533" s="44"/>
      <c r="H533" s="44"/>
      <c r="I533" s="44"/>
      <c r="J533" s="44"/>
      <c r="K533" s="44"/>
      <c r="L533" s="44"/>
      <c r="M533" s="44"/>
      <c r="N533" s="44"/>
      <c r="O533" s="44"/>
    </row>
    <row r="534" spans="1:15" ht="17.25" customHeight="1">
      <c r="A534" s="44"/>
      <c r="B534" s="44"/>
      <c r="C534" s="44"/>
      <c r="D534" s="44"/>
      <c r="E534" s="44"/>
      <c r="F534" s="44"/>
      <c r="G534" s="44"/>
      <c r="H534" s="44"/>
      <c r="I534" s="44"/>
      <c r="J534" s="44"/>
      <c r="K534" s="44"/>
      <c r="L534" s="44"/>
      <c r="M534" s="44"/>
      <c r="N534" s="44"/>
      <c r="O534" s="44"/>
    </row>
    <row r="535" spans="1:15" ht="17.25" customHeight="1">
      <c r="A535" s="44"/>
      <c r="B535" s="44"/>
      <c r="C535" s="44"/>
      <c r="D535" s="44"/>
      <c r="E535" s="44"/>
      <c r="F535" s="44"/>
      <c r="G535" s="44"/>
      <c r="H535" s="44"/>
      <c r="I535" s="44"/>
      <c r="J535" s="44"/>
      <c r="K535" s="44"/>
      <c r="L535" s="44"/>
      <c r="M535" s="44"/>
      <c r="N535" s="44"/>
      <c r="O535" s="44"/>
    </row>
    <row r="536" spans="1:15" ht="17.25" customHeight="1">
      <c r="A536" s="44"/>
      <c r="B536" s="44"/>
      <c r="C536" s="44"/>
      <c r="D536" s="44"/>
      <c r="E536" s="44"/>
      <c r="F536" s="44"/>
      <c r="G536" s="44"/>
      <c r="H536" s="44"/>
      <c r="I536" s="44"/>
      <c r="J536" s="44"/>
      <c r="K536" s="44"/>
      <c r="L536" s="44"/>
      <c r="M536" s="44"/>
      <c r="N536" s="44"/>
      <c r="O536" s="44"/>
    </row>
    <row r="537" spans="1:15" ht="17.25" customHeight="1">
      <c r="A537" s="44"/>
      <c r="B537" s="44"/>
      <c r="C537" s="44"/>
      <c r="D537" s="44"/>
      <c r="E537" s="44"/>
      <c r="F537" s="44"/>
      <c r="G537" s="44"/>
      <c r="H537" s="44"/>
      <c r="I537" s="44"/>
      <c r="J537" s="44"/>
      <c r="K537" s="44"/>
      <c r="L537" s="44"/>
      <c r="M537" s="44"/>
      <c r="N537" s="44"/>
      <c r="O537" s="44"/>
    </row>
    <row r="538" spans="1:15" ht="17.25" customHeight="1">
      <c r="A538" s="44"/>
      <c r="B538" s="44"/>
      <c r="C538" s="44"/>
      <c r="D538" s="44"/>
      <c r="E538" s="44"/>
      <c r="F538" s="44"/>
      <c r="G538" s="44"/>
      <c r="H538" s="44"/>
      <c r="I538" s="44"/>
      <c r="J538" s="44"/>
      <c r="K538" s="44"/>
      <c r="L538" s="44"/>
      <c r="M538" s="44"/>
      <c r="N538" s="44"/>
      <c r="O538" s="44"/>
    </row>
    <row r="539" spans="1:15" ht="17.25" customHeight="1">
      <c r="A539" s="44"/>
      <c r="B539" s="44"/>
      <c r="C539" s="44"/>
      <c r="D539" s="44"/>
      <c r="E539" s="44"/>
      <c r="F539" s="44"/>
      <c r="G539" s="44"/>
      <c r="H539" s="44"/>
      <c r="I539" s="44"/>
      <c r="J539" s="44"/>
      <c r="K539" s="44"/>
      <c r="L539" s="44"/>
      <c r="M539" s="44"/>
      <c r="N539" s="44"/>
      <c r="O539" s="44"/>
    </row>
    <row r="540" spans="1:15" ht="17.25" customHeight="1">
      <c r="A540" s="44"/>
      <c r="B540" s="44"/>
      <c r="C540" s="44"/>
      <c r="D540" s="44"/>
      <c r="E540" s="44"/>
      <c r="F540" s="44"/>
      <c r="G540" s="44"/>
      <c r="H540" s="44"/>
      <c r="I540" s="44"/>
      <c r="J540" s="44"/>
      <c r="K540" s="44"/>
      <c r="L540" s="44"/>
      <c r="M540" s="44"/>
      <c r="N540" s="44"/>
      <c r="O540" s="44"/>
    </row>
    <row r="541" spans="1:15" ht="17.25" customHeight="1">
      <c r="A541" s="44"/>
      <c r="B541" s="44"/>
      <c r="C541" s="44"/>
      <c r="D541" s="44"/>
      <c r="E541" s="44"/>
      <c r="F541" s="44"/>
      <c r="G541" s="44"/>
      <c r="H541" s="44"/>
      <c r="I541" s="44"/>
      <c r="J541" s="44"/>
      <c r="K541" s="44"/>
      <c r="L541" s="44"/>
      <c r="M541" s="44"/>
      <c r="N541" s="44"/>
      <c r="O541" s="44"/>
    </row>
    <row r="542" spans="1:15" ht="17.25" customHeight="1">
      <c r="A542" s="44"/>
      <c r="B542" s="44"/>
      <c r="C542" s="44"/>
      <c r="D542" s="44"/>
      <c r="E542" s="44"/>
      <c r="F542" s="44"/>
      <c r="G542" s="44"/>
      <c r="H542" s="44"/>
      <c r="I542" s="44"/>
      <c r="J542" s="44"/>
      <c r="K542" s="44"/>
      <c r="L542" s="44"/>
      <c r="M542" s="44"/>
      <c r="N542" s="44"/>
      <c r="O542" s="44"/>
    </row>
    <row r="543" spans="1:15" ht="17.25" customHeight="1">
      <c r="A543" s="44"/>
      <c r="B543" s="44"/>
      <c r="C543" s="44"/>
      <c r="D543" s="44"/>
      <c r="E543" s="44"/>
      <c r="F543" s="44"/>
      <c r="G543" s="44"/>
      <c r="H543" s="44"/>
      <c r="I543" s="44"/>
      <c r="J543" s="44"/>
      <c r="K543" s="44"/>
      <c r="L543" s="44"/>
      <c r="M543" s="44"/>
      <c r="N543" s="44"/>
      <c r="O543" s="44"/>
    </row>
    <row r="544" spans="1:15" ht="17.25" customHeight="1">
      <c r="A544" s="44"/>
      <c r="B544" s="44"/>
      <c r="C544" s="44"/>
      <c r="D544" s="44"/>
      <c r="E544" s="44"/>
      <c r="F544" s="44"/>
      <c r="G544" s="44"/>
      <c r="H544" s="44"/>
      <c r="I544" s="44"/>
      <c r="J544" s="44"/>
      <c r="K544" s="44"/>
      <c r="L544" s="44"/>
      <c r="M544" s="44"/>
      <c r="N544" s="44"/>
      <c r="O544" s="44"/>
    </row>
    <row r="545" spans="1:15" ht="17.25" customHeight="1">
      <c r="A545" s="44"/>
      <c r="B545" s="44"/>
      <c r="C545" s="44"/>
      <c r="D545" s="44"/>
      <c r="E545" s="44"/>
      <c r="F545" s="44"/>
      <c r="G545" s="44"/>
      <c r="H545" s="44"/>
      <c r="I545" s="44"/>
      <c r="J545" s="44"/>
      <c r="K545" s="44"/>
      <c r="L545" s="44"/>
      <c r="M545" s="44"/>
      <c r="N545" s="44"/>
      <c r="O545" s="44"/>
    </row>
    <row r="546" spans="1:15" ht="17.25" customHeight="1">
      <c r="A546" s="44"/>
      <c r="B546" s="44"/>
      <c r="C546" s="44"/>
      <c r="D546" s="44"/>
      <c r="E546" s="44"/>
      <c r="F546" s="44"/>
      <c r="G546" s="44"/>
      <c r="H546" s="44"/>
      <c r="I546" s="44"/>
      <c r="J546" s="44"/>
      <c r="K546" s="44"/>
      <c r="L546" s="44"/>
      <c r="M546" s="44"/>
      <c r="N546" s="44"/>
      <c r="O546" s="44"/>
    </row>
    <row r="547" spans="1:15" ht="17.25" customHeight="1">
      <c r="A547" s="44"/>
      <c r="B547" s="44"/>
      <c r="C547" s="44"/>
      <c r="D547" s="44"/>
      <c r="E547" s="44"/>
      <c r="F547" s="44"/>
      <c r="G547" s="44"/>
      <c r="H547" s="44"/>
      <c r="I547" s="44"/>
      <c r="J547" s="44"/>
      <c r="K547" s="44"/>
      <c r="L547" s="44"/>
      <c r="M547" s="44"/>
      <c r="N547" s="44"/>
      <c r="O547" s="44"/>
    </row>
    <row r="548" spans="1:15" ht="17.25" customHeight="1">
      <c r="A548" s="44"/>
      <c r="B548" s="44"/>
      <c r="C548" s="44"/>
      <c r="D548" s="44"/>
      <c r="E548" s="44"/>
      <c r="F548" s="44"/>
      <c r="G548" s="44"/>
      <c r="H548" s="44"/>
      <c r="I548" s="44"/>
      <c r="J548" s="44"/>
      <c r="K548" s="44"/>
      <c r="L548" s="44"/>
      <c r="M548" s="44"/>
      <c r="N548" s="44"/>
      <c r="O548" s="44"/>
    </row>
    <row r="549" spans="1:15" ht="17.25" customHeight="1">
      <c r="A549" s="44"/>
      <c r="B549" s="44"/>
      <c r="C549" s="44"/>
      <c r="D549" s="44"/>
      <c r="E549" s="44"/>
      <c r="F549" s="44"/>
      <c r="G549" s="44"/>
      <c r="H549" s="44"/>
      <c r="I549" s="44"/>
      <c r="J549" s="44"/>
      <c r="K549" s="44"/>
      <c r="L549" s="44"/>
      <c r="M549" s="44"/>
      <c r="N549" s="44"/>
      <c r="O549" s="44"/>
    </row>
    <row r="550" spans="1:15" ht="17.25" customHeight="1">
      <c r="A550" s="44"/>
      <c r="B550" s="44"/>
      <c r="C550" s="44"/>
      <c r="D550" s="44"/>
      <c r="E550" s="44"/>
      <c r="F550" s="44"/>
      <c r="G550" s="44"/>
      <c r="H550" s="44"/>
      <c r="I550" s="44"/>
      <c r="J550" s="44"/>
      <c r="K550" s="44"/>
      <c r="L550" s="44"/>
      <c r="M550" s="44"/>
      <c r="N550" s="44"/>
      <c r="O550" s="44"/>
    </row>
    <row r="551" spans="1:15" ht="17.25" customHeight="1">
      <c r="A551" s="44"/>
      <c r="B551" s="44"/>
      <c r="C551" s="44"/>
      <c r="D551" s="44"/>
      <c r="E551" s="44"/>
      <c r="F551" s="44"/>
      <c r="G551" s="44"/>
      <c r="H551" s="44"/>
      <c r="I551" s="44"/>
      <c r="J551" s="44"/>
      <c r="K551" s="44"/>
      <c r="L551" s="44"/>
      <c r="M551" s="44"/>
      <c r="N551" s="44"/>
      <c r="O551" s="44"/>
    </row>
    <row r="552" spans="1:15" ht="17.25" customHeight="1">
      <c r="A552" s="44"/>
      <c r="B552" s="44"/>
      <c r="C552" s="44"/>
      <c r="D552" s="44"/>
      <c r="E552" s="44"/>
      <c r="F552" s="44"/>
      <c r="G552" s="44"/>
      <c r="H552" s="44"/>
      <c r="I552" s="44"/>
      <c r="J552" s="44"/>
      <c r="K552" s="44"/>
      <c r="L552" s="44"/>
      <c r="M552" s="44"/>
      <c r="N552" s="44"/>
      <c r="O552" s="44"/>
    </row>
    <row r="553" spans="1:15" ht="17.25" customHeight="1">
      <c r="A553" s="44"/>
      <c r="B553" s="44"/>
      <c r="C553" s="44"/>
      <c r="D553" s="44"/>
      <c r="E553" s="44"/>
      <c r="F553" s="44"/>
      <c r="G553" s="44"/>
      <c r="H553" s="44"/>
      <c r="I553" s="44"/>
      <c r="J553" s="44"/>
      <c r="K553" s="44"/>
      <c r="L553" s="44"/>
      <c r="M553" s="44"/>
      <c r="N553" s="44"/>
      <c r="O553" s="44"/>
    </row>
    <row r="554" spans="1:15" ht="17.25" customHeight="1">
      <c r="A554" s="44"/>
      <c r="B554" s="44"/>
      <c r="C554" s="44"/>
      <c r="D554" s="44"/>
      <c r="E554" s="44"/>
      <c r="F554" s="44"/>
      <c r="G554" s="44"/>
      <c r="H554" s="44"/>
      <c r="I554" s="44"/>
      <c r="J554" s="44"/>
      <c r="K554" s="44"/>
      <c r="L554" s="44"/>
      <c r="M554" s="44"/>
      <c r="N554" s="44"/>
      <c r="O554" s="44"/>
    </row>
    <row r="555" spans="1:15" ht="17.25" customHeight="1">
      <c r="A555" s="44"/>
      <c r="B555" s="44"/>
      <c r="C555" s="44"/>
      <c r="D555" s="44"/>
      <c r="E555" s="44"/>
      <c r="F555" s="44"/>
      <c r="G555" s="44"/>
      <c r="H555" s="44"/>
      <c r="I555" s="44"/>
      <c r="J555" s="44"/>
      <c r="K555" s="44"/>
      <c r="L555" s="44"/>
      <c r="M555" s="44"/>
      <c r="N555" s="44"/>
      <c r="O555" s="44"/>
    </row>
    <row r="556" spans="1:15" ht="17.25" customHeight="1">
      <c r="A556" s="44"/>
      <c r="B556" s="44"/>
      <c r="C556" s="44"/>
      <c r="D556" s="44"/>
      <c r="E556" s="44"/>
      <c r="F556" s="44"/>
      <c r="G556" s="44"/>
      <c r="H556" s="44"/>
      <c r="I556" s="44"/>
      <c r="J556" s="44"/>
      <c r="K556" s="44"/>
      <c r="L556" s="44"/>
      <c r="M556" s="44"/>
      <c r="N556" s="44"/>
      <c r="O556" s="44"/>
    </row>
    <row r="557" spans="1:15" ht="17.25" customHeight="1">
      <c r="A557" s="44"/>
      <c r="B557" s="44"/>
      <c r="C557" s="44"/>
      <c r="D557" s="44"/>
      <c r="E557" s="44"/>
      <c r="F557" s="44"/>
      <c r="G557" s="44"/>
      <c r="H557" s="44"/>
      <c r="I557" s="44"/>
      <c r="J557" s="44"/>
      <c r="K557" s="44"/>
      <c r="L557" s="44"/>
      <c r="M557" s="44"/>
      <c r="N557" s="44"/>
      <c r="O557" s="44"/>
    </row>
    <row r="558" spans="1:15" ht="17.25" customHeight="1">
      <c r="A558" s="44"/>
      <c r="B558" s="44"/>
      <c r="C558" s="44"/>
      <c r="D558" s="44"/>
      <c r="E558" s="44"/>
      <c r="F558" s="44"/>
      <c r="G558" s="44"/>
      <c r="H558" s="44"/>
      <c r="I558" s="44"/>
      <c r="J558" s="44"/>
      <c r="K558" s="44"/>
      <c r="L558" s="44"/>
      <c r="M558" s="44"/>
      <c r="N558" s="44"/>
      <c r="O558" s="44"/>
    </row>
    <row r="559" spans="1:15" ht="17.25" customHeight="1">
      <c r="A559" s="44"/>
      <c r="B559" s="44"/>
      <c r="C559" s="44"/>
      <c r="D559" s="44"/>
      <c r="E559" s="44"/>
      <c r="F559" s="44"/>
      <c r="G559" s="44"/>
      <c r="H559" s="44"/>
      <c r="I559" s="44"/>
      <c r="J559" s="44"/>
      <c r="K559" s="44"/>
      <c r="L559" s="44"/>
      <c r="M559" s="44"/>
      <c r="N559" s="44"/>
      <c r="O559" s="44"/>
    </row>
    <row r="560" spans="1:15" ht="17.25" customHeight="1">
      <c r="A560" s="44"/>
      <c r="B560" s="44"/>
      <c r="C560" s="44"/>
      <c r="D560" s="44"/>
      <c r="E560" s="44"/>
      <c r="F560" s="44"/>
      <c r="G560" s="44"/>
      <c r="H560" s="44"/>
      <c r="I560" s="44"/>
      <c r="J560" s="44"/>
      <c r="K560" s="44"/>
      <c r="L560" s="44"/>
      <c r="M560" s="44"/>
      <c r="N560" s="44"/>
      <c r="O560" s="44"/>
    </row>
    <row r="561" spans="1:15" ht="17.25" customHeight="1">
      <c r="A561" s="44"/>
      <c r="B561" s="44"/>
      <c r="C561" s="44"/>
      <c r="D561" s="44"/>
      <c r="E561" s="44"/>
      <c r="F561" s="44"/>
      <c r="G561" s="44"/>
      <c r="H561" s="44"/>
      <c r="I561" s="44"/>
      <c r="J561" s="44"/>
      <c r="K561" s="44"/>
      <c r="L561" s="44"/>
      <c r="M561" s="44"/>
      <c r="N561" s="44"/>
      <c r="O561" s="44"/>
    </row>
    <row r="562" spans="1:15" ht="17.25" customHeight="1">
      <c r="A562" s="44"/>
      <c r="B562" s="44"/>
      <c r="C562" s="44"/>
      <c r="D562" s="44"/>
      <c r="E562" s="44"/>
      <c r="F562" s="44"/>
      <c r="G562" s="44"/>
      <c r="H562" s="44"/>
      <c r="I562" s="44"/>
      <c r="J562" s="44"/>
      <c r="K562" s="44"/>
      <c r="L562" s="44"/>
      <c r="M562" s="44"/>
      <c r="N562" s="44"/>
      <c r="O562" s="44"/>
    </row>
    <row r="563" spans="1:15" ht="17.25" customHeight="1">
      <c r="A563" s="44"/>
      <c r="B563" s="44"/>
      <c r="C563" s="44"/>
      <c r="D563" s="44"/>
      <c r="E563" s="44"/>
      <c r="F563" s="44"/>
      <c r="G563" s="44"/>
      <c r="H563" s="44"/>
      <c r="I563" s="44"/>
      <c r="J563" s="44"/>
      <c r="K563" s="44"/>
      <c r="L563" s="44"/>
      <c r="M563" s="44"/>
      <c r="N563" s="44"/>
      <c r="O563" s="44"/>
    </row>
    <row r="564" spans="1:15" ht="17.25" customHeight="1">
      <c r="A564" s="44"/>
      <c r="B564" s="44"/>
      <c r="C564" s="44"/>
      <c r="D564" s="44"/>
      <c r="E564" s="44"/>
      <c r="F564" s="44"/>
      <c r="G564" s="44"/>
      <c r="H564" s="44"/>
      <c r="I564" s="44"/>
      <c r="J564" s="44"/>
      <c r="K564" s="44"/>
      <c r="L564" s="44"/>
      <c r="M564" s="44"/>
      <c r="N564" s="44"/>
      <c r="O564" s="44"/>
    </row>
    <row r="565" spans="1:15" ht="17.25" customHeight="1">
      <c r="A565" s="44"/>
      <c r="B565" s="44"/>
      <c r="C565" s="44"/>
      <c r="D565" s="44"/>
      <c r="E565" s="44"/>
      <c r="F565" s="44"/>
      <c r="G565" s="44"/>
      <c r="H565" s="44"/>
      <c r="I565" s="44"/>
      <c r="J565" s="44"/>
      <c r="K565" s="44"/>
      <c r="L565" s="44"/>
      <c r="M565" s="44"/>
      <c r="N565" s="44"/>
      <c r="O565" s="44"/>
    </row>
    <row r="566" spans="1:15" ht="17.25" customHeight="1">
      <c r="A566" s="44"/>
      <c r="B566" s="44"/>
      <c r="C566" s="44"/>
      <c r="D566" s="44"/>
      <c r="E566" s="44"/>
      <c r="F566" s="44"/>
      <c r="G566" s="44"/>
      <c r="H566" s="44"/>
      <c r="I566" s="44"/>
      <c r="J566" s="44"/>
      <c r="K566" s="44"/>
      <c r="L566" s="44"/>
      <c r="M566" s="44"/>
      <c r="N566" s="44"/>
      <c r="O566" s="44"/>
    </row>
    <row r="567" spans="1:15" ht="17.25" customHeight="1">
      <c r="A567" s="44"/>
      <c r="B567" s="44"/>
      <c r="C567" s="44"/>
      <c r="D567" s="44"/>
      <c r="E567" s="44"/>
      <c r="F567" s="44"/>
      <c r="G567" s="44"/>
      <c r="H567" s="44"/>
      <c r="I567" s="44"/>
      <c r="J567" s="44"/>
      <c r="K567" s="44"/>
      <c r="L567" s="44"/>
      <c r="M567" s="44"/>
      <c r="N567" s="44"/>
      <c r="O567" s="44"/>
    </row>
    <row r="568" spans="1:15" ht="17.25" customHeight="1">
      <c r="A568" s="44"/>
      <c r="B568" s="44"/>
      <c r="C568" s="44"/>
      <c r="D568" s="44"/>
      <c r="E568" s="44"/>
      <c r="F568" s="44"/>
      <c r="G568" s="44"/>
      <c r="H568" s="44"/>
      <c r="I568" s="44"/>
      <c r="J568" s="44"/>
      <c r="K568" s="44"/>
      <c r="L568" s="44"/>
      <c r="M568" s="44"/>
      <c r="N568" s="44"/>
      <c r="O568" s="44"/>
    </row>
    <row r="569" spans="1:15" ht="17.25" customHeight="1">
      <c r="A569" s="44"/>
      <c r="B569" s="44"/>
      <c r="C569" s="44"/>
      <c r="D569" s="44"/>
      <c r="E569" s="44"/>
      <c r="F569" s="44"/>
      <c r="G569" s="44"/>
      <c r="H569" s="44"/>
      <c r="I569" s="44"/>
      <c r="J569" s="44"/>
      <c r="K569" s="44"/>
      <c r="L569" s="44"/>
      <c r="M569" s="44"/>
      <c r="N569" s="44"/>
      <c r="O569" s="44"/>
    </row>
    <row r="570" spans="1:15" ht="17.25" customHeight="1">
      <c r="A570" s="44"/>
      <c r="B570" s="44"/>
      <c r="C570" s="44"/>
      <c r="D570" s="44"/>
      <c r="E570" s="44"/>
      <c r="F570" s="44"/>
      <c r="G570" s="44"/>
      <c r="H570" s="44"/>
      <c r="I570" s="44"/>
      <c r="J570" s="44"/>
      <c r="K570" s="44"/>
      <c r="L570" s="44"/>
      <c r="M570" s="44"/>
      <c r="N570" s="44"/>
      <c r="O570" s="44"/>
    </row>
    <row r="571" spans="1:15" ht="17.25" customHeight="1">
      <c r="A571" s="44"/>
      <c r="B571" s="44"/>
      <c r="C571" s="44"/>
      <c r="D571" s="44"/>
      <c r="E571" s="44"/>
      <c r="F571" s="44"/>
      <c r="G571" s="44"/>
      <c r="H571" s="44"/>
      <c r="I571" s="44"/>
      <c r="J571" s="44"/>
      <c r="K571" s="44"/>
      <c r="L571" s="44"/>
      <c r="M571" s="44"/>
      <c r="N571" s="44"/>
      <c r="O571" s="44"/>
    </row>
    <row r="572" spans="1:15" ht="17.25" customHeight="1">
      <c r="A572" s="44"/>
      <c r="B572" s="44"/>
      <c r="C572" s="44"/>
      <c r="D572" s="44"/>
      <c r="E572" s="44"/>
      <c r="F572" s="44"/>
      <c r="G572" s="44"/>
      <c r="H572" s="44"/>
      <c r="I572" s="44"/>
      <c r="J572" s="44"/>
      <c r="K572" s="44"/>
      <c r="L572" s="44"/>
      <c r="M572" s="44"/>
      <c r="N572" s="44"/>
      <c r="O572" s="44"/>
    </row>
    <row r="573" spans="1:15" ht="17.25" customHeight="1">
      <c r="A573" s="44"/>
      <c r="B573" s="44"/>
      <c r="C573" s="44"/>
      <c r="D573" s="44"/>
      <c r="E573" s="44"/>
      <c r="F573" s="44"/>
      <c r="G573" s="44"/>
      <c r="H573" s="44"/>
      <c r="I573" s="44"/>
      <c r="J573" s="44"/>
      <c r="K573" s="44"/>
      <c r="L573" s="44"/>
      <c r="M573" s="44"/>
      <c r="N573" s="44"/>
      <c r="O573" s="44"/>
    </row>
    <row r="574" spans="1:15" ht="17.25" customHeight="1">
      <c r="A574" s="44"/>
      <c r="B574" s="44"/>
      <c r="C574" s="44"/>
      <c r="D574" s="44"/>
      <c r="E574" s="44"/>
      <c r="F574" s="44"/>
      <c r="G574" s="44"/>
      <c r="H574" s="44"/>
      <c r="I574" s="44"/>
      <c r="J574" s="44"/>
      <c r="K574" s="44"/>
      <c r="L574" s="44"/>
      <c r="M574" s="44"/>
      <c r="N574" s="44"/>
      <c r="O574" s="44"/>
    </row>
    <row r="575" spans="1:15" ht="17.25" customHeight="1">
      <c r="A575" s="44"/>
      <c r="B575" s="44"/>
      <c r="C575" s="44"/>
      <c r="D575" s="44"/>
      <c r="E575" s="44"/>
      <c r="F575" s="44"/>
      <c r="G575" s="44"/>
      <c r="H575" s="44"/>
      <c r="I575" s="44"/>
      <c r="J575" s="44"/>
      <c r="K575" s="44"/>
      <c r="L575" s="44"/>
      <c r="M575" s="44"/>
      <c r="N575" s="44"/>
      <c r="O575" s="44"/>
    </row>
    <row r="576" spans="1:15" ht="17.25" customHeight="1">
      <c r="A576" s="44"/>
      <c r="B576" s="44"/>
      <c r="C576" s="44"/>
      <c r="D576" s="44"/>
      <c r="E576" s="44"/>
      <c r="F576" s="44"/>
      <c r="G576" s="44"/>
      <c r="H576" s="44"/>
      <c r="I576" s="44"/>
      <c r="J576" s="44"/>
      <c r="K576" s="44"/>
      <c r="L576" s="44"/>
      <c r="M576" s="44"/>
      <c r="N576" s="44"/>
      <c r="O576" s="44"/>
    </row>
    <row r="577" spans="1:15" ht="17.25" customHeight="1">
      <c r="A577" s="44"/>
      <c r="B577" s="44"/>
      <c r="C577" s="44"/>
      <c r="D577" s="44"/>
      <c r="E577" s="44"/>
      <c r="F577" s="44"/>
      <c r="G577" s="44"/>
      <c r="H577" s="44"/>
      <c r="I577" s="44"/>
      <c r="J577" s="44"/>
      <c r="K577" s="44"/>
      <c r="L577" s="44"/>
      <c r="M577" s="44"/>
      <c r="N577" s="44"/>
      <c r="O577" s="44"/>
    </row>
    <row r="578" spans="1:15" ht="17.25" customHeight="1">
      <c r="A578" s="44"/>
      <c r="B578" s="44"/>
      <c r="C578" s="44"/>
      <c r="D578" s="44"/>
      <c r="E578" s="44"/>
      <c r="F578" s="44"/>
      <c r="G578" s="44"/>
      <c r="H578" s="44"/>
      <c r="I578" s="44"/>
      <c r="J578" s="44"/>
      <c r="K578" s="44"/>
      <c r="L578" s="44"/>
      <c r="M578" s="44"/>
      <c r="N578" s="44"/>
      <c r="O578" s="44"/>
    </row>
    <row r="579" spans="1:15" ht="17.25" customHeight="1">
      <c r="A579" s="44"/>
      <c r="B579" s="44"/>
      <c r="C579" s="44"/>
      <c r="D579" s="44"/>
      <c r="E579" s="44"/>
      <c r="F579" s="44"/>
      <c r="G579" s="44"/>
      <c r="H579" s="44"/>
      <c r="I579" s="44"/>
      <c r="J579" s="44"/>
      <c r="K579" s="44"/>
      <c r="L579" s="44"/>
      <c r="M579" s="44"/>
      <c r="N579" s="44"/>
      <c r="O579" s="44"/>
    </row>
    <row r="580" spans="1:15" ht="17.25" customHeight="1">
      <c r="A580" s="44"/>
      <c r="B580" s="44"/>
      <c r="C580" s="44"/>
      <c r="D580" s="44"/>
      <c r="E580" s="44"/>
      <c r="F580" s="44"/>
      <c r="G580" s="44"/>
      <c r="H580" s="44"/>
      <c r="I580" s="44"/>
      <c r="J580" s="44"/>
      <c r="K580" s="44"/>
      <c r="L580" s="44"/>
      <c r="M580" s="44"/>
      <c r="N580" s="44"/>
      <c r="O580" s="44"/>
    </row>
    <row r="581" spans="1:15" ht="17.25" customHeight="1">
      <c r="A581" s="44"/>
      <c r="B581" s="44"/>
      <c r="C581" s="44"/>
      <c r="D581" s="44"/>
      <c r="E581" s="44"/>
      <c r="F581" s="44"/>
      <c r="G581" s="44"/>
      <c r="H581" s="44"/>
      <c r="I581" s="44"/>
      <c r="J581" s="44"/>
      <c r="K581" s="44"/>
      <c r="L581" s="44"/>
      <c r="M581" s="44"/>
      <c r="N581" s="44"/>
      <c r="O581" s="44"/>
    </row>
    <row r="582" spans="1:15" ht="17.25" customHeight="1">
      <c r="A582" s="44"/>
      <c r="B582" s="44"/>
      <c r="C582" s="44"/>
      <c r="D582" s="44"/>
      <c r="E582" s="44"/>
      <c r="F582" s="44"/>
      <c r="G582" s="44"/>
      <c r="H582" s="44"/>
      <c r="I582" s="44"/>
      <c r="J582" s="44"/>
      <c r="K582" s="44"/>
      <c r="L582" s="44"/>
      <c r="M582" s="44"/>
      <c r="N582" s="44"/>
      <c r="O582" s="44"/>
    </row>
    <row r="583" spans="1:15" ht="17.25" customHeight="1">
      <c r="A583" s="44"/>
      <c r="B583" s="44"/>
      <c r="C583" s="44"/>
      <c r="D583" s="44"/>
      <c r="E583" s="44"/>
      <c r="F583" s="44"/>
      <c r="G583" s="44"/>
      <c r="H583" s="44"/>
      <c r="I583" s="44"/>
      <c r="J583" s="44"/>
      <c r="K583" s="44"/>
      <c r="L583" s="44"/>
      <c r="M583" s="44"/>
      <c r="N583" s="44"/>
      <c r="O583" s="44"/>
    </row>
    <row r="584" spans="1:15" ht="17.25" customHeight="1">
      <c r="A584" s="44"/>
      <c r="B584" s="44"/>
      <c r="C584" s="44"/>
      <c r="D584" s="44"/>
      <c r="E584" s="44"/>
      <c r="F584" s="44"/>
      <c r="G584" s="44"/>
      <c r="H584" s="44"/>
      <c r="I584" s="44"/>
      <c r="J584" s="44"/>
      <c r="K584" s="44"/>
      <c r="L584" s="44"/>
      <c r="M584" s="44"/>
      <c r="N584" s="44"/>
      <c r="O584" s="44"/>
    </row>
    <row r="585" spans="1:15" ht="17.25" customHeight="1">
      <c r="A585" s="44"/>
      <c r="B585" s="44"/>
      <c r="C585" s="44"/>
      <c r="D585" s="44"/>
      <c r="E585" s="44"/>
      <c r="F585" s="44"/>
      <c r="G585" s="44"/>
      <c r="H585" s="44"/>
      <c r="I585" s="44"/>
      <c r="J585" s="44"/>
      <c r="K585" s="44"/>
      <c r="L585" s="44"/>
      <c r="M585" s="44"/>
      <c r="N585" s="44"/>
      <c r="O585" s="44"/>
    </row>
    <row r="586" spans="1:15" ht="17.25" customHeight="1">
      <c r="A586" s="44"/>
      <c r="B586" s="44"/>
      <c r="C586" s="44"/>
      <c r="D586" s="44"/>
      <c r="E586" s="44"/>
      <c r="F586" s="44"/>
      <c r="G586" s="44"/>
      <c r="H586" s="44"/>
      <c r="I586" s="44"/>
      <c r="J586" s="44"/>
      <c r="K586" s="44"/>
      <c r="L586" s="44"/>
      <c r="M586" s="44"/>
      <c r="N586" s="44"/>
      <c r="O586" s="44"/>
    </row>
    <row r="587" spans="1:15" ht="17.25" customHeight="1">
      <c r="A587" s="44"/>
      <c r="B587" s="44"/>
      <c r="C587" s="44"/>
      <c r="D587" s="44"/>
      <c r="E587" s="44"/>
      <c r="F587" s="44"/>
      <c r="G587" s="44"/>
      <c r="H587" s="44"/>
      <c r="I587" s="44"/>
      <c r="J587" s="44"/>
      <c r="K587" s="44"/>
      <c r="L587" s="44"/>
      <c r="M587" s="44"/>
      <c r="N587" s="44"/>
      <c r="O587" s="44"/>
    </row>
    <row r="588" spans="1:15" ht="17.25" customHeight="1">
      <c r="A588" s="44"/>
      <c r="B588" s="44"/>
      <c r="C588" s="44"/>
      <c r="D588" s="44"/>
      <c r="E588" s="44"/>
      <c r="F588" s="44"/>
      <c r="G588" s="44"/>
      <c r="H588" s="44"/>
      <c r="I588" s="44"/>
      <c r="J588" s="44"/>
      <c r="K588" s="44"/>
      <c r="L588" s="44"/>
      <c r="M588" s="44"/>
      <c r="N588" s="44"/>
      <c r="O588" s="44"/>
    </row>
    <row r="589" spans="1:15" ht="17.25" customHeight="1">
      <c r="A589" s="44"/>
      <c r="B589" s="44"/>
      <c r="C589" s="44"/>
      <c r="D589" s="44"/>
      <c r="E589" s="44"/>
      <c r="F589" s="44"/>
      <c r="G589" s="44"/>
      <c r="H589" s="44"/>
      <c r="I589" s="44"/>
      <c r="J589" s="44"/>
      <c r="K589" s="44"/>
      <c r="L589" s="44"/>
      <c r="M589" s="44"/>
      <c r="N589" s="44"/>
      <c r="O589" s="44"/>
    </row>
    <row r="590" spans="1:15" ht="17.25" customHeight="1">
      <c r="A590" s="44"/>
      <c r="B590" s="44"/>
      <c r="C590" s="44"/>
      <c r="D590" s="44"/>
      <c r="E590" s="44"/>
      <c r="F590" s="44"/>
      <c r="G590" s="44"/>
      <c r="H590" s="44"/>
      <c r="I590" s="44"/>
      <c r="J590" s="44"/>
      <c r="K590" s="44"/>
      <c r="L590" s="44"/>
      <c r="M590" s="44"/>
      <c r="N590" s="44"/>
      <c r="O590" s="44"/>
    </row>
    <row r="591" spans="1:15" ht="17.25" customHeight="1">
      <c r="A591" s="44"/>
      <c r="B591" s="44"/>
      <c r="C591" s="44"/>
      <c r="D591" s="44"/>
      <c r="E591" s="44"/>
      <c r="F591" s="44"/>
      <c r="G591" s="44"/>
      <c r="H591" s="44"/>
      <c r="I591" s="44"/>
      <c r="J591" s="44"/>
      <c r="K591" s="44"/>
      <c r="L591" s="44"/>
      <c r="M591" s="44"/>
      <c r="N591" s="44"/>
      <c r="O591" s="44"/>
    </row>
    <row r="592" spans="1:15" ht="17.25" customHeight="1">
      <c r="A592" s="44"/>
      <c r="B592" s="44"/>
      <c r="C592" s="44"/>
      <c r="D592" s="44"/>
      <c r="E592" s="44"/>
      <c r="F592" s="44"/>
      <c r="G592" s="44"/>
      <c r="H592" s="44"/>
      <c r="I592" s="44"/>
      <c r="J592" s="44"/>
      <c r="K592" s="44"/>
      <c r="L592" s="44"/>
      <c r="M592" s="44"/>
      <c r="N592" s="44"/>
      <c r="O592" s="44"/>
    </row>
    <row r="593" spans="1:15" ht="17.25" customHeight="1">
      <c r="A593" s="44"/>
      <c r="B593" s="44"/>
      <c r="C593" s="44"/>
      <c r="D593" s="44"/>
      <c r="E593" s="44"/>
      <c r="F593" s="44"/>
      <c r="G593" s="44"/>
      <c r="H593" s="44"/>
      <c r="I593" s="44"/>
      <c r="J593" s="44"/>
      <c r="K593" s="44"/>
      <c r="L593" s="44"/>
      <c r="M593" s="44"/>
      <c r="N593" s="44"/>
      <c r="O593" s="44"/>
    </row>
    <row r="594" spans="1:15" ht="17.25" customHeight="1">
      <c r="A594" s="44"/>
      <c r="B594" s="44"/>
      <c r="C594" s="44"/>
      <c r="D594" s="44"/>
      <c r="E594" s="44"/>
      <c r="F594" s="44"/>
      <c r="G594" s="44"/>
      <c r="H594" s="44"/>
      <c r="I594" s="44"/>
      <c r="J594" s="44"/>
      <c r="K594" s="44"/>
      <c r="L594" s="44"/>
      <c r="M594" s="44"/>
      <c r="N594" s="44"/>
      <c r="O594" s="44"/>
    </row>
    <row r="595" spans="1:15" ht="17.25" customHeight="1">
      <c r="A595" s="44"/>
      <c r="B595" s="44"/>
      <c r="C595" s="44"/>
      <c r="D595" s="44"/>
      <c r="E595" s="44"/>
      <c r="F595" s="44"/>
      <c r="G595" s="44"/>
      <c r="H595" s="44"/>
      <c r="I595" s="44"/>
      <c r="J595" s="44"/>
      <c r="K595" s="44"/>
      <c r="L595" s="44"/>
      <c r="M595" s="44"/>
      <c r="N595" s="44"/>
      <c r="O595" s="44"/>
    </row>
    <row r="596" spans="1:15" ht="17.25" customHeight="1">
      <c r="A596" s="44"/>
      <c r="B596" s="44"/>
      <c r="C596" s="44"/>
      <c r="D596" s="44"/>
      <c r="E596" s="44"/>
      <c r="F596" s="44"/>
      <c r="G596" s="44"/>
      <c r="H596" s="44"/>
      <c r="I596" s="44"/>
      <c r="J596" s="44"/>
      <c r="K596" s="44"/>
      <c r="L596" s="44"/>
      <c r="M596" s="44"/>
      <c r="N596" s="44"/>
      <c r="O596" s="44"/>
    </row>
    <row r="597" spans="1:15" ht="17.25" customHeight="1">
      <c r="A597" s="44"/>
      <c r="B597" s="44"/>
      <c r="C597" s="44"/>
      <c r="D597" s="44"/>
      <c r="E597" s="44"/>
      <c r="F597" s="44"/>
      <c r="G597" s="44"/>
      <c r="H597" s="44"/>
      <c r="I597" s="44"/>
      <c r="J597" s="44"/>
      <c r="K597" s="44"/>
      <c r="L597" s="44"/>
      <c r="M597" s="44"/>
      <c r="N597" s="44"/>
      <c r="O597" s="44"/>
    </row>
    <row r="598" spans="1:15" ht="17.25" customHeight="1">
      <c r="A598" s="44"/>
      <c r="B598" s="44"/>
      <c r="C598" s="44"/>
      <c r="D598" s="44"/>
      <c r="E598" s="44"/>
      <c r="F598" s="44"/>
      <c r="G598" s="44"/>
      <c r="H598" s="44"/>
      <c r="I598" s="44"/>
      <c r="J598" s="44"/>
      <c r="K598" s="44"/>
      <c r="L598" s="44"/>
      <c r="M598" s="44"/>
      <c r="N598" s="44"/>
      <c r="O598" s="44"/>
    </row>
    <row r="599" spans="1:15" ht="17.25" customHeight="1">
      <c r="A599" s="44"/>
      <c r="B599" s="44"/>
      <c r="C599" s="44"/>
      <c r="D599" s="44"/>
      <c r="E599" s="44"/>
      <c r="F599" s="44"/>
      <c r="G599" s="44"/>
      <c r="H599" s="44"/>
      <c r="I599" s="44"/>
      <c r="J599" s="44"/>
      <c r="K599" s="44"/>
      <c r="L599" s="44"/>
      <c r="M599" s="44"/>
      <c r="N599" s="44"/>
      <c r="O599" s="44"/>
    </row>
    <row r="600" spans="1:15" ht="17.25" customHeight="1">
      <c r="A600" s="44"/>
      <c r="B600" s="44"/>
      <c r="C600" s="44"/>
      <c r="D600" s="44"/>
      <c r="E600" s="44"/>
      <c r="F600" s="44"/>
      <c r="G600" s="44"/>
      <c r="H600" s="44"/>
      <c r="I600" s="44"/>
      <c r="J600" s="44"/>
      <c r="K600" s="44"/>
      <c r="L600" s="44"/>
      <c r="M600" s="44"/>
      <c r="N600" s="44"/>
      <c r="O600" s="44"/>
    </row>
    <row r="601" spans="1:15" ht="17.25" customHeight="1">
      <c r="A601" s="44"/>
      <c r="B601" s="44"/>
      <c r="C601" s="44"/>
      <c r="D601" s="44"/>
      <c r="E601" s="44"/>
      <c r="F601" s="44"/>
      <c r="G601" s="44"/>
      <c r="H601" s="44"/>
      <c r="I601" s="44"/>
      <c r="J601" s="44"/>
      <c r="K601" s="44"/>
      <c r="L601" s="44"/>
      <c r="M601" s="44"/>
      <c r="N601" s="44"/>
      <c r="O601" s="44"/>
    </row>
    <row r="602" spans="1:15" ht="17.25" customHeight="1">
      <c r="A602" s="44"/>
      <c r="B602" s="44"/>
      <c r="C602" s="44"/>
      <c r="D602" s="44"/>
      <c r="E602" s="44"/>
      <c r="F602" s="44"/>
      <c r="G602" s="44"/>
      <c r="H602" s="44"/>
      <c r="I602" s="44"/>
      <c r="J602" s="44"/>
      <c r="K602" s="44"/>
      <c r="L602" s="44"/>
      <c r="M602" s="44"/>
      <c r="N602" s="44"/>
      <c r="O602" s="44"/>
    </row>
    <row r="603" spans="1:15" ht="17.25" customHeight="1">
      <c r="A603" s="44"/>
      <c r="B603" s="44"/>
      <c r="C603" s="44"/>
      <c r="D603" s="44"/>
      <c r="E603" s="44"/>
      <c r="F603" s="44"/>
      <c r="G603" s="44"/>
      <c r="H603" s="44"/>
      <c r="I603" s="44"/>
      <c r="J603" s="44"/>
      <c r="K603" s="44"/>
      <c r="L603" s="44"/>
      <c r="M603" s="44"/>
      <c r="N603" s="44"/>
      <c r="O603" s="44"/>
    </row>
    <row r="604" spans="1:15" ht="17.25" customHeight="1">
      <c r="A604" s="44"/>
      <c r="B604" s="44"/>
      <c r="C604" s="44"/>
      <c r="D604" s="44"/>
      <c r="E604" s="44"/>
      <c r="F604" s="44"/>
      <c r="G604" s="44"/>
      <c r="H604" s="44"/>
      <c r="I604" s="44"/>
      <c r="J604" s="44"/>
      <c r="K604" s="44"/>
      <c r="L604" s="44"/>
      <c r="M604" s="44"/>
      <c r="N604" s="44"/>
      <c r="O604" s="44"/>
    </row>
    <row r="605" spans="1:15" ht="17.25" customHeight="1">
      <c r="A605" s="44"/>
      <c r="B605" s="44"/>
      <c r="C605" s="44"/>
      <c r="D605" s="44"/>
      <c r="E605" s="44"/>
      <c r="F605" s="44"/>
      <c r="G605" s="44"/>
      <c r="H605" s="44"/>
      <c r="I605" s="44"/>
      <c r="J605" s="44"/>
      <c r="K605" s="44"/>
      <c r="L605" s="44"/>
      <c r="M605" s="44"/>
      <c r="N605" s="44"/>
      <c r="O605" s="44"/>
    </row>
    <row r="606" spans="1:15" ht="17.25" customHeight="1">
      <c r="A606" s="44"/>
      <c r="B606" s="44"/>
      <c r="C606" s="44"/>
      <c r="D606" s="44"/>
      <c r="E606" s="44"/>
      <c r="F606" s="44"/>
      <c r="G606" s="44"/>
      <c r="H606" s="44"/>
      <c r="I606" s="44"/>
      <c r="J606" s="44"/>
      <c r="K606" s="44"/>
      <c r="L606" s="44"/>
      <c r="M606" s="44"/>
      <c r="N606" s="44"/>
      <c r="O606" s="44"/>
    </row>
    <row r="607" spans="1:15" ht="17.25" customHeight="1">
      <c r="A607" s="44"/>
      <c r="B607" s="44"/>
      <c r="C607" s="44"/>
      <c r="D607" s="44"/>
      <c r="E607" s="44"/>
      <c r="F607" s="44"/>
      <c r="G607" s="44"/>
      <c r="H607" s="44"/>
      <c r="I607" s="44"/>
      <c r="J607" s="44"/>
      <c r="K607" s="44"/>
      <c r="L607" s="44"/>
      <c r="M607" s="44"/>
      <c r="N607" s="44"/>
      <c r="O607" s="44"/>
    </row>
    <row r="608" spans="1:15" ht="17.25" customHeight="1">
      <c r="A608" s="44"/>
      <c r="B608" s="44"/>
      <c r="C608" s="44"/>
      <c r="D608" s="44"/>
      <c r="E608" s="44"/>
      <c r="F608" s="44"/>
      <c r="G608" s="44"/>
      <c r="H608" s="44"/>
      <c r="I608" s="44"/>
      <c r="J608" s="44"/>
      <c r="K608" s="44"/>
      <c r="L608" s="44"/>
      <c r="M608" s="44"/>
      <c r="N608" s="44"/>
      <c r="O608" s="44"/>
    </row>
    <row r="609" spans="1:15" ht="17.25" customHeight="1">
      <c r="A609" s="44"/>
      <c r="B609" s="44"/>
      <c r="C609" s="44"/>
      <c r="D609" s="44"/>
      <c r="E609" s="44"/>
      <c r="F609" s="44"/>
      <c r="G609" s="44"/>
      <c r="H609" s="44"/>
      <c r="I609" s="44"/>
      <c r="J609" s="44"/>
      <c r="K609" s="44"/>
      <c r="L609" s="44"/>
      <c r="M609" s="44"/>
      <c r="N609" s="44"/>
      <c r="O609" s="44"/>
    </row>
    <row r="610" spans="1:15" ht="17.25" customHeight="1">
      <c r="A610" s="44"/>
      <c r="B610" s="44"/>
      <c r="C610" s="44"/>
      <c r="D610" s="44"/>
      <c r="E610" s="44"/>
      <c r="F610" s="44"/>
      <c r="G610" s="44"/>
      <c r="H610" s="44"/>
      <c r="I610" s="44"/>
      <c r="J610" s="44"/>
      <c r="K610" s="44"/>
      <c r="L610" s="44"/>
      <c r="M610" s="44"/>
      <c r="N610" s="44"/>
      <c r="O610" s="44"/>
    </row>
    <row r="611" spans="1:15" ht="17.25" customHeight="1">
      <c r="A611" s="44"/>
      <c r="B611" s="44"/>
      <c r="C611" s="44"/>
      <c r="D611" s="44"/>
      <c r="E611" s="44"/>
      <c r="F611" s="44"/>
      <c r="G611" s="44"/>
      <c r="H611" s="44"/>
      <c r="I611" s="44"/>
      <c r="J611" s="44"/>
      <c r="K611" s="44"/>
      <c r="L611" s="44"/>
      <c r="M611" s="44"/>
      <c r="N611" s="44"/>
      <c r="O611" s="44"/>
    </row>
    <row r="612" spans="1:15" ht="17.25" customHeight="1">
      <c r="A612" s="44"/>
      <c r="B612" s="44"/>
      <c r="C612" s="44"/>
      <c r="D612" s="44"/>
      <c r="E612" s="44"/>
      <c r="F612" s="44"/>
      <c r="G612" s="44"/>
      <c r="H612" s="44"/>
      <c r="I612" s="44"/>
      <c r="J612" s="44"/>
      <c r="K612" s="44"/>
      <c r="L612" s="44"/>
      <c r="M612" s="44"/>
      <c r="N612" s="44"/>
      <c r="O612" s="44"/>
    </row>
    <row r="613" spans="1:15" ht="17.25" customHeight="1">
      <c r="A613" s="44"/>
      <c r="B613" s="44"/>
      <c r="C613" s="44"/>
      <c r="D613" s="44"/>
      <c r="E613" s="44"/>
      <c r="F613" s="44"/>
      <c r="G613" s="44"/>
      <c r="H613" s="44"/>
      <c r="I613" s="44"/>
      <c r="J613" s="44"/>
      <c r="K613" s="44"/>
      <c r="L613" s="44"/>
      <c r="M613" s="44"/>
      <c r="N613" s="44"/>
      <c r="O613" s="44"/>
    </row>
    <row r="614" spans="1:15" ht="17.25" customHeight="1">
      <c r="A614" s="44"/>
      <c r="B614" s="44"/>
      <c r="C614" s="44"/>
      <c r="D614" s="44"/>
      <c r="E614" s="44"/>
      <c r="F614" s="44"/>
      <c r="G614" s="44"/>
      <c r="H614" s="44"/>
      <c r="I614" s="44"/>
      <c r="J614" s="44"/>
      <c r="K614" s="44"/>
      <c r="L614" s="44"/>
      <c r="M614" s="44"/>
      <c r="N614" s="44"/>
      <c r="O614" s="44"/>
    </row>
    <row r="615" spans="1:15" ht="17.25" customHeight="1">
      <c r="A615" s="44"/>
      <c r="B615" s="44"/>
      <c r="C615" s="44"/>
      <c r="D615" s="44"/>
      <c r="E615" s="44"/>
      <c r="F615" s="44"/>
      <c r="G615" s="44"/>
      <c r="H615" s="44"/>
      <c r="I615" s="44"/>
      <c r="J615" s="44"/>
      <c r="K615" s="44"/>
      <c r="L615" s="44"/>
      <c r="M615" s="44"/>
      <c r="N615" s="44"/>
      <c r="O615" s="44"/>
    </row>
    <row r="616" spans="1:15" ht="17.25" customHeight="1">
      <c r="A616" s="44"/>
      <c r="B616" s="44"/>
      <c r="C616" s="44"/>
      <c r="D616" s="44"/>
      <c r="E616" s="44"/>
      <c r="F616" s="44"/>
      <c r="G616" s="44"/>
      <c r="H616" s="44"/>
      <c r="I616" s="44"/>
      <c r="J616" s="44"/>
      <c r="K616" s="44"/>
      <c r="L616" s="44"/>
      <c r="M616" s="44"/>
      <c r="N616" s="44"/>
      <c r="O616" s="44"/>
    </row>
    <row r="617" spans="1:15" ht="17.25" customHeight="1">
      <c r="A617" s="44"/>
      <c r="B617" s="44"/>
      <c r="C617" s="44"/>
      <c r="D617" s="44"/>
      <c r="E617" s="44"/>
      <c r="F617" s="44"/>
      <c r="G617" s="44"/>
      <c r="H617" s="44"/>
      <c r="I617" s="44"/>
      <c r="J617" s="44"/>
      <c r="K617" s="44"/>
      <c r="L617" s="44"/>
      <c r="M617" s="44"/>
      <c r="N617" s="44"/>
      <c r="O617" s="44"/>
    </row>
    <row r="618" spans="1:15" ht="17.25" customHeight="1">
      <c r="A618" s="44"/>
      <c r="B618" s="44"/>
      <c r="C618" s="44"/>
      <c r="D618" s="44"/>
      <c r="E618" s="44"/>
      <c r="F618" s="44"/>
      <c r="G618" s="44"/>
      <c r="H618" s="44"/>
      <c r="I618" s="44"/>
      <c r="J618" s="44"/>
      <c r="K618" s="44"/>
      <c r="L618" s="44"/>
      <c r="M618" s="44"/>
      <c r="N618" s="44"/>
      <c r="O618" s="44"/>
    </row>
    <row r="619" spans="1:15" ht="17.25" customHeight="1">
      <c r="A619" s="44"/>
      <c r="B619" s="44"/>
      <c r="C619" s="44"/>
      <c r="D619" s="44"/>
      <c r="E619" s="44"/>
      <c r="F619" s="44"/>
      <c r="G619" s="44"/>
      <c r="H619" s="44"/>
      <c r="I619" s="44"/>
      <c r="J619" s="44"/>
      <c r="K619" s="44"/>
      <c r="L619" s="44"/>
      <c r="M619" s="44"/>
      <c r="N619" s="44"/>
      <c r="O619" s="44"/>
    </row>
    <row r="620" spans="1:15" ht="17.25" customHeight="1">
      <c r="A620" s="44"/>
      <c r="B620" s="44"/>
      <c r="C620" s="44"/>
      <c r="D620" s="44"/>
      <c r="E620" s="44"/>
      <c r="F620" s="44"/>
      <c r="G620" s="44"/>
      <c r="H620" s="44"/>
      <c r="I620" s="44"/>
      <c r="J620" s="44"/>
      <c r="K620" s="44"/>
      <c r="L620" s="44"/>
      <c r="M620" s="44"/>
      <c r="N620" s="44"/>
      <c r="O620" s="44"/>
    </row>
    <row r="621" spans="1:15" ht="17.25" customHeight="1">
      <c r="A621" s="44"/>
      <c r="B621" s="44"/>
      <c r="C621" s="44"/>
      <c r="D621" s="44"/>
      <c r="E621" s="44"/>
      <c r="F621" s="44"/>
      <c r="G621" s="44"/>
      <c r="H621" s="44"/>
      <c r="I621" s="44"/>
      <c r="J621" s="44"/>
      <c r="K621" s="44"/>
      <c r="L621" s="44"/>
      <c r="M621" s="44"/>
      <c r="N621" s="44"/>
      <c r="O621" s="44"/>
    </row>
    <row r="622" spans="1:15" ht="17.25" customHeight="1">
      <c r="A622" s="44"/>
      <c r="B622" s="44"/>
      <c r="C622" s="44"/>
      <c r="D622" s="44"/>
      <c r="E622" s="44"/>
      <c r="F622" s="44"/>
      <c r="G622" s="44"/>
      <c r="H622" s="44"/>
      <c r="I622" s="44"/>
      <c r="J622" s="44"/>
      <c r="K622" s="44"/>
      <c r="L622" s="44"/>
      <c r="M622" s="44"/>
      <c r="N622" s="44"/>
      <c r="O622" s="44"/>
    </row>
    <row r="623" spans="1:15" ht="17.25" customHeight="1">
      <c r="A623" s="44"/>
      <c r="B623" s="44"/>
      <c r="C623" s="44"/>
      <c r="D623" s="44"/>
      <c r="E623" s="44"/>
      <c r="F623" s="44"/>
      <c r="G623" s="44"/>
      <c r="H623" s="44"/>
      <c r="I623" s="44"/>
      <c r="J623" s="44"/>
      <c r="K623" s="44"/>
      <c r="L623" s="44"/>
      <c r="M623" s="44"/>
      <c r="N623" s="44"/>
      <c r="O623" s="44"/>
    </row>
    <row r="624" spans="1:15" ht="17.25" customHeight="1">
      <c r="A624" s="44"/>
      <c r="B624" s="44"/>
      <c r="C624" s="44"/>
      <c r="D624" s="44"/>
      <c r="E624" s="44"/>
      <c r="F624" s="44"/>
      <c r="G624" s="44"/>
      <c r="H624" s="44"/>
      <c r="I624" s="44"/>
      <c r="J624" s="44"/>
      <c r="K624" s="44"/>
      <c r="L624" s="44"/>
      <c r="M624" s="44"/>
      <c r="N624" s="44"/>
      <c r="O624" s="44"/>
    </row>
    <row r="625" spans="1:15" ht="17.25" customHeight="1">
      <c r="A625" s="44"/>
      <c r="B625" s="44"/>
      <c r="C625" s="44"/>
      <c r="D625" s="44"/>
      <c r="E625" s="44"/>
      <c r="F625" s="44"/>
      <c r="G625" s="44"/>
      <c r="H625" s="44"/>
      <c r="I625" s="44"/>
      <c r="J625" s="44"/>
      <c r="K625" s="44"/>
      <c r="L625" s="44"/>
      <c r="M625" s="44"/>
      <c r="N625" s="44"/>
      <c r="O625" s="44"/>
    </row>
    <row r="626" spans="1:15" ht="17.25" customHeight="1">
      <c r="A626" s="44"/>
      <c r="B626" s="44"/>
      <c r="C626" s="44"/>
      <c r="D626" s="44"/>
      <c r="E626" s="44"/>
      <c r="F626" s="44"/>
      <c r="G626" s="44"/>
      <c r="H626" s="44"/>
      <c r="I626" s="44"/>
      <c r="J626" s="44"/>
      <c r="K626" s="44"/>
      <c r="L626" s="44"/>
      <c r="M626" s="44"/>
      <c r="N626" s="44"/>
      <c r="O626" s="44"/>
    </row>
    <row r="627" spans="1:15" ht="17.25" customHeight="1">
      <c r="A627" s="44"/>
      <c r="B627" s="44"/>
      <c r="C627" s="44"/>
      <c r="D627" s="44"/>
      <c r="E627" s="44"/>
      <c r="F627" s="44"/>
      <c r="G627" s="44"/>
      <c r="H627" s="44"/>
      <c r="I627" s="44"/>
      <c r="J627" s="44"/>
      <c r="K627" s="44"/>
      <c r="L627" s="44"/>
      <c r="M627" s="44"/>
      <c r="N627" s="44"/>
      <c r="O627" s="44"/>
    </row>
    <row r="628" spans="1:15" ht="17.25" customHeight="1">
      <c r="A628" s="44"/>
      <c r="B628" s="44"/>
      <c r="C628" s="44"/>
      <c r="D628" s="44"/>
      <c r="E628" s="44"/>
      <c r="F628" s="44"/>
      <c r="G628" s="44"/>
      <c r="H628" s="44"/>
      <c r="I628" s="44"/>
      <c r="J628" s="44"/>
      <c r="K628" s="44"/>
      <c r="L628" s="44"/>
      <c r="M628" s="44"/>
      <c r="N628" s="44"/>
      <c r="O628" s="44"/>
    </row>
    <row r="629" spans="1:15" ht="17.25" customHeight="1">
      <c r="A629" s="44"/>
      <c r="B629" s="44"/>
      <c r="C629" s="44"/>
      <c r="D629" s="44"/>
      <c r="E629" s="44"/>
      <c r="F629" s="44"/>
      <c r="G629" s="44"/>
      <c r="H629" s="44"/>
      <c r="I629" s="44"/>
      <c r="J629" s="44"/>
      <c r="K629" s="44"/>
      <c r="L629" s="44"/>
      <c r="M629" s="44"/>
      <c r="N629" s="44"/>
      <c r="O629" s="44"/>
    </row>
    <row r="630" spans="1:15" ht="17.25" customHeight="1">
      <c r="A630" s="44"/>
      <c r="B630" s="44"/>
      <c r="C630" s="44"/>
      <c r="D630" s="44"/>
      <c r="E630" s="44"/>
      <c r="F630" s="44"/>
      <c r="G630" s="44"/>
      <c r="H630" s="44"/>
      <c r="I630" s="44"/>
      <c r="J630" s="44"/>
      <c r="K630" s="44"/>
      <c r="L630" s="44"/>
      <c r="M630" s="44"/>
      <c r="N630" s="44"/>
      <c r="O630" s="44"/>
    </row>
    <row r="631" spans="1:15" ht="17.25" customHeight="1">
      <c r="A631" s="44"/>
      <c r="B631" s="44"/>
      <c r="C631" s="44"/>
      <c r="D631" s="44"/>
      <c r="E631" s="44"/>
      <c r="F631" s="44"/>
      <c r="G631" s="44"/>
      <c r="H631" s="44"/>
      <c r="I631" s="44"/>
      <c r="J631" s="44"/>
      <c r="K631" s="44"/>
      <c r="L631" s="44"/>
      <c r="M631" s="44"/>
      <c r="N631" s="44"/>
      <c r="O631" s="44"/>
    </row>
    <row r="632" spans="1:15" ht="17.25" customHeight="1">
      <c r="A632" s="44"/>
      <c r="B632" s="44"/>
      <c r="C632" s="44"/>
      <c r="D632" s="44"/>
      <c r="E632" s="44"/>
      <c r="F632" s="44"/>
      <c r="G632" s="44"/>
      <c r="H632" s="44"/>
      <c r="I632" s="44"/>
      <c r="J632" s="44"/>
      <c r="K632" s="44"/>
      <c r="L632" s="44"/>
      <c r="M632" s="44"/>
      <c r="N632" s="44"/>
      <c r="O632" s="44"/>
    </row>
    <row r="633" spans="1:15" ht="17.25" customHeight="1">
      <c r="A633" s="44"/>
      <c r="B633" s="44"/>
      <c r="C633" s="44"/>
      <c r="D633" s="44"/>
      <c r="E633" s="44"/>
      <c r="F633" s="44"/>
      <c r="G633" s="44"/>
      <c r="H633" s="44"/>
      <c r="I633" s="44"/>
      <c r="J633" s="44"/>
      <c r="K633" s="44"/>
      <c r="L633" s="44"/>
      <c r="M633" s="44"/>
      <c r="N633" s="44"/>
      <c r="O633" s="44"/>
    </row>
    <row r="634" spans="1:15" ht="17.25" customHeight="1">
      <c r="A634" s="44"/>
      <c r="B634" s="44"/>
      <c r="C634" s="44"/>
      <c r="D634" s="44"/>
      <c r="E634" s="44"/>
      <c r="F634" s="44"/>
      <c r="G634" s="44"/>
      <c r="H634" s="44"/>
      <c r="I634" s="44"/>
      <c r="J634" s="44"/>
      <c r="K634" s="44"/>
      <c r="L634" s="44"/>
      <c r="M634" s="44"/>
      <c r="N634" s="44"/>
      <c r="O634" s="44"/>
    </row>
    <row r="635" spans="1:15" ht="17.25" customHeight="1">
      <c r="A635" s="44"/>
      <c r="B635" s="44"/>
      <c r="C635" s="44"/>
      <c r="D635" s="44"/>
      <c r="E635" s="44"/>
      <c r="F635" s="44"/>
      <c r="G635" s="44"/>
      <c r="H635" s="44"/>
      <c r="I635" s="44"/>
      <c r="J635" s="44"/>
      <c r="K635" s="44"/>
      <c r="L635" s="44"/>
      <c r="M635" s="44"/>
      <c r="N635" s="44"/>
      <c r="O635" s="44"/>
    </row>
    <row r="636" spans="1:15" ht="17.25" customHeight="1">
      <c r="A636" s="44"/>
      <c r="B636" s="44"/>
      <c r="C636" s="44"/>
      <c r="D636" s="44"/>
      <c r="E636" s="44"/>
      <c r="F636" s="44"/>
      <c r="G636" s="44"/>
      <c r="H636" s="44"/>
      <c r="I636" s="44"/>
      <c r="J636" s="44"/>
      <c r="K636" s="44"/>
      <c r="L636" s="44"/>
      <c r="M636" s="44"/>
      <c r="N636" s="44"/>
      <c r="O636" s="44"/>
    </row>
    <row r="637" spans="1:15" ht="17.25" customHeight="1">
      <c r="A637" s="44"/>
      <c r="B637" s="44"/>
      <c r="C637" s="44"/>
      <c r="D637" s="44"/>
      <c r="E637" s="44"/>
      <c r="F637" s="44"/>
      <c r="G637" s="44"/>
      <c r="H637" s="44"/>
      <c r="I637" s="44"/>
      <c r="J637" s="44"/>
      <c r="K637" s="44"/>
      <c r="L637" s="44"/>
      <c r="M637" s="44"/>
      <c r="N637" s="44"/>
      <c r="O637" s="44"/>
    </row>
    <row r="638" spans="1:15" ht="17.25" customHeight="1">
      <c r="A638" s="44"/>
      <c r="B638" s="44"/>
      <c r="C638" s="44"/>
      <c r="D638" s="44"/>
      <c r="E638" s="44"/>
      <c r="F638" s="44"/>
      <c r="G638" s="44"/>
      <c r="H638" s="44"/>
      <c r="I638" s="44"/>
      <c r="J638" s="44"/>
      <c r="K638" s="44"/>
      <c r="L638" s="44"/>
      <c r="M638" s="44"/>
      <c r="N638" s="44"/>
      <c r="O638" s="44"/>
    </row>
    <row r="639" spans="1:15" ht="17.25" customHeight="1">
      <c r="A639" s="44"/>
      <c r="B639" s="44"/>
      <c r="C639" s="44"/>
      <c r="D639" s="44"/>
      <c r="E639" s="44"/>
      <c r="F639" s="44"/>
      <c r="G639" s="44"/>
      <c r="H639" s="44"/>
      <c r="I639" s="44"/>
      <c r="J639" s="44"/>
      <c r="K639" s="44"/>
      <c r="L639" s="44"/>
      <c r="M639" s="44"/>
      <c r="N639" s="44"/>
      <c r="O639" s="44"/>
    </row>
    <row r="640" spans="1:15" ht="17.25" customHeight="1">
      <c r="A640" s="44"/>
      <c r="B640" s="44"/>
      <c r="C640" s="44"/>
      <c r="D640" s="44"/>
      <c r="E640" s="44"/>
      <c r="F640" s="44"/>
      <c r="G640" s="44"/>
      <c r="H640" s="44"/>
      <c r="I640" s="44"/>
      <c r="J640" s="44"/>
      <c r="K640" s="44"/>
      <c r="L640" s="44"/>
      <c r="M640" s="44"/>
      <c r="N640" s="44"/>
      <c r="O640" s="44"/>
    </row>
    <row r="641" spans="1:15" ht="17.25" customHeight="1">
      <c r="A641" s="44"/>
      <c r="B641" s="44"/>
      <c r="C641" s="44"/>
      <c r="D641" s="44"/>
      <c r="E641" s="44"/>
      <c r="F641" s="44"/>
      <c r="G641" s="44"/>
      <c r="H641" s="44"/>
      <c r="I641" s="44"/>
      <c r="J641" s="44"/>
      <c r="K641" s="44"/>
      <c r="L641" s="44"/>
      <c r="M641" s="44"/>
      <c r="N641" s="44"/>
      <c r="O641" s="44"/>
    </row>
    <row r="642" spans="1:15" ht="17.25" customHeight="1">
      <c r="A642" s="44"/>
      <c r="B642" s="44"/>
      <c r="C642" s="44"/>
      <c r="D642" s="44"/>
      <c r="E642" s="44"/>
      <c r="F642" s="44"/>
      <c r="G642" s="44"/>
      <c r="H642" s="44"/>
      <c r="I642" s="44"/>
      <c r="J642" s="44"/>
      <c r="K642" s="44"/>
      <c r="L642" s="44"/>
      <c r="M642" s="44"/>
      <c r="N642" s="44"/>
      <c r="O642" s="44"/>
    </row>
    <row r="643" spans="1:15" ht="17.25" customHeight="1">
      <c r="A643" s="44"/>
      <c r="B643" s="44"/>
      <c r="C643" s="44"/>
      <c r="D643" s="44"/>
      <c r="E643" s="44"/>
      <c r="F643" s="44"/>
      <c r="G643" s="44"/>
      <c r="H643" s="44"/>
      <c r="I643" s="44"/>
      <c r="J643" s="44"/>
      <c r="K643" s="44"/>
      <c r="L643" s="44"/>
      <c r="M643" s="44"/>
      <c r="N643" s="44"/>
      <c r="O643" s="44"/>
    </row>
    <row r="644" spans="1:15" ht="17.25" customHeight="1">
      <c r="A644" s="44"/>
      <c r="B644" s="44"/>
      <c r="C644" s="44"/>
      <c r="D644" s="44"/>
      <c r="E644" s="44"/>
      <c r="F644" s="44"/>
      <c r="G644" s="44"/>
      <c r="H644" s="44"/>
      <c r="I644" s="44"/>
      <c r="J644" s="44"/>
      <c r="K644" s="44"/>
      <c r="L644" s="44"/>
      <c r="M644" s="44"/>
      <c r="N644" s="44"/>
      <c r="O644" s="44"/>
    </row>
    <row r="645" spans="1:15" ht="17.25" customHeight="1">
      <c r="A645" s="44"/>
      <c r="B645" s="44"/>
      <c r="C645" s="44"/>
      <c r="D645" s="44"/>
      <c r="E645" s="44"/>
      <c r="F645" s="44"/>
      <c r="G645" s="44"/>
      <c r="H645" s="44"/>
      <c r="I645" s="44"/>
      <c r="J645" s="44"/>
      <c r="K645" s="44"/>
      <c r="L645" s="44"/>
      <c r="M645" s="44"/>
      <c r="N645" s="44"/>
      <c r="O645" s="44"/>
    </row>
    <row r="646" spans="1:15" ht="17.25" customHeight="1">
      <c r="A646" s="44"/>
      <c r="B646" s="44"/>
      <c r="C646" s="44"/>
      <c r="D646" s="44"/>
      <c r="E646" s="44"/>
      <c r="F646" s="44"/>
      <c r="G646" s="44"/>
      <c r="H646" s="44"/>
      <c r="I646" s="44"/>
      <c r="J646" s="44"/>
      <c r="K646" s="44"/>
      <c r="L646" s="44"/>
      <c r="M646" s="44"/>
      <c r="N646" s="44"/>
      <c r="O646" s="44"/>
    </row>
    <row r="647" spans="1:15" ht="17.25" customHeight="1">
      <c r="A647" s="44"/>
      <c r="B647" s="44"/>
      <c r="C647" s="44"/>
      <c r="D647" s="44"/>
      <c r="E647" s="44"/>
      <c r="F647" s="44"/>
      <c r="G647" s="44"/>
      <c r="H647" s="44"/>
      <c r="I647" s="44"/>
      <c r="J647" s="44"/>
      <c r="K647" s="44"/>
      <c r="L647" s="44"/>
      <c r="M647" s="44"/>
      <c r="N647" s="44"/>
      <c r="O647" s="44"/>
    </row>
    <row r="648" spans="1:15" ht="17.25" customHeight="1">
      <c r="A648" s="44"/>
      <c r="B648" s="44"/>
      <c r="C648" s="44"/>
      <c r="D648" s="44"/>
      <c r="E648" s="44"/>
      <c r="F648" s="44"/>
      <c r="G648" s="44"/>
      <c r="H648" s="44"/>
      <c r="I648" s="44"/>
      <c r="J648" s="44"/>
      <c r="K648" s="44"/>
      <c r="L648" s="44"/>
      <c r="M648" s="44"/>
      <c r="N648" s="44"/>
      <c r="O648" s="44"/>
    </row>
    <row r="649" spans="1:15" ht="17.25" customHeight="1">
      <c r="A649" s="44"/>
      <c r="B649" s="44"/>
      <c r="C649" s="44"/>
      <c r="D649" s="44"/>
      <c r="E649" s="44"/>
      <c r="F649" s="44"/>
      <c r="G649" s="44"/>
      <c r="H649" s="44"/>
      <c r="I649" s="44"/>
      <c r="J649" s="44"/>
      <c r="K649" s="44"/>
      <c r="L649" s="44"/>
      <c r="M649" s="44"/>
      <c r="N649" s="44"/>
      <c r="O649" s="44"/>
    </row>
    <row r="650" spans="1:15" ht="17.25" customHeight="1">
      <c r="A650" s="44"/>
      <c r="B650" s="44"/>
      <c r="C650" s="44"/>
      <c r="D650" s="44"/>
      <c r="E650" s="44"/>
      <c r="F650" s="44"/>
      <c r="G650" s="44"/>
      <c r="H650" s="44"/>
      <c r="I650" s="44"/>
      <c r="J650" s="44"/>
      <c r="K650" s="44"/>
      <c r="L650" s="44"/>
      <c r="M650" s="44"/>
      <c r="N650" s="44"/>
      <c r="O650" s="44"/>
    </row>
    <row r="651" spans="1:15" ht="17.25" customHeight="1">
      <c r="A651" s="44"/>
      <c r="B651" s="44"/>
      <c r="C651" s="44"/>
      <c r="D651" s="44"/>
      <c r="E651" s="44"/>
      <c r="F651" s="44"/>
      <c r="G651" s="44"/>
      <c r="H651" s="44"/>
      <c r="I651" s="44"/>
      <c r="J651" s="44"/>
      <c r="K651" s="44"/>
      <c r="L651" s="44"/>
      <c r="M651" s="44"/>
      <c r="N651" s="44"/>
      <c r="O651" s="44"/>
    </row>
    <row r="652" spans="1:15" ht="17.25" customHeight="1">
      <c r="A652" s="44"/>
      <c r="B652" s="44"/>
      <c r="C652" s="44"/>
      <c r="D652" s="44"/>
      <c r="E652" s="44"/>
      <c r="F652" s="44"/>
      <c r="G652" s="44"/>
      <c r="H652" s="44"/>
      <c r="I652" s="44"/>
      <c r="J652" s="44"/>
      <c r="K652" s="44"/>
      <c r="L652" s="44"/>
      <c r="M652" s="44"/>
      <c r="N652" s="44"/>
      <c r="O652" s="44"/>
    </row>
    <row r="653" spans="1:15" ht="17.25" customHeight="1">
      <c r="A653" s="44"/>
      <c r="B653" s="44"/>
      <c r="C653" s="44"/>
      <c r="D653" s="44"/>
      <c r="E653" s="44"/>
      <c r="F653" s="44"/>
      <c r="G653" s="44"/>
      <c r="H653" s="44"/>
      <c r="I653" s="44"/>
      <c r="J653" s="44"/>
      <c r="K653" s="44"/>
      <c r="L653" s="44"/>
      <c r="M653" s="44"/>
      <c r="N653" s="44"/>
      <c r="O653" s="44"/>
    </row>
    <row r="654" spans="1:15" ht="17.25" customHeight="1">
      <c r="A654" s="44"/>
      <c r="B654" s="44"/>
      <c r="C654" s="44"/>
      <c r="D654" s="44"/>
      <c r="E654" s="44"/>
      <c r="F654" s="44"/>
      <c r="G654" s="44"/>
      <c r="H654" s="44"/>
      <c r="I654" s="44"/>
      <c r="J654" s="44"/>
      <c r="K654" s="44"/>
      <c r="L654" s="44"/>
      <c r="M654" s="44"/>
      <c r="N654" s="44"/>
      <c r="O654" s="44"/>
    </row>
    <row r="655" spans="1:15" ht="17.25" customHeight="1">
      <c r="A655" s="44"/>
      <c r="B655" s="44"/>
      <c r="C655" s="44"/>
      <c r="D655" s="44"/>
      <c r="E655" s="44"/>
      <c r="F655" s="44"/>
      <c r="G655" s="44"/>
      <c r="H655" s="44"/>
      <c r="I655" s="44"/>
      <c r="J655" s="44"/>
      <c r="K655" s="44"/>
      <c r="L655" s="44"/>
      <c r="M655" s="44"/>
      <c r="N655" s="44"/>
      <c r="O655" s="44"/>
    </row>
    <row r="656" spans="1:15" ht="17.25" customHeight="1">
      <c r="A656" s="44"/>
      <c r="B656" s="44"/>
      <c r="C656" s="44"/>
      <c r="D656" s="44"/>
      <c r="E656" s="44"/>
      <c r="F656" s="44"/>
      <c r="G656" s="44"/>
      <c r="H656" s="44"/>
      <c r="I656" s="44"/>
      <c r="J656" s="44"/>
      <c r="K656" s="44"/>
      <c r="L656" s="44"/>
      <c r="M656" s="44"/>
      <c r="N656" s="44"/>
      <c r="O656" s="44"/>
    </row>
    <row r="657" spans="1:15" ht="17.25" customHeight="1">
      <c r="A657" s="44"/>
      <c r="B657" s="44"/>
      <c r="C657" s="44"/>
      <c r="D657" s="44"/>
      <c r="E657" s="44"/>
      <c r="F657" s="44"/>
      <c r="G657" s="44"/>
      <c r="H657" s="44"/>
      <c r="I657" s="44"/>
      <c r="J657" s="44"/>
      <c r="K657" s="44"/>
      <c r="L657" s="44"/>
      <c r="M657" s="44"/>
      <c r="N657" s="44"/>
      <c r="O657" s="44"/>
    </row>
    <row r="658" spans="1:15" ht="17.25" customHeight="1">
      <c r="A658" s="44"/>
      <c r="B658" s="44"/>
      <c r="C658" s="44"/>
      <c r="D658" s="44"/>
      <c r="E658" s="44"/>
      <c r="F658" s="44"/>
      <c r="G658" s="44"/>
      <c r="H658" s="44"/>
      <c r="I658" s="44"/>
      <c r="J658" s="44"/>
      <c r="K658" s="44"/>
      <c r="L658" s="44"/>
      <c r="M658" s="44"/>
      <c r="N658" s="44"/>
      <c r="O658" s="44"/>
    </row>
    <row r="659" spans="1:15" ht="17.25" customHeight="1">
      <c r="A659" s="44"/>
      <c r="B659" s="44"/>
      <c r="C659" s="44"/>
      <c r="D659" s="44"/>
      <c r="E659" s="44"/>
      <c r="F659" s="44"/>
      <c r="G659" s="44"/>
      <c r="H659" s="44"/>
      <c r="I659" s="44"/>
      <c r="J659" s="44"/>
      <c r="K659" s="44"/>
      <c r="L659" s="44"/>
      <c r="M659" s="44"/>
      <c r="N659" s="44"/>
      <c r="O659" s="44"/>
    </row>
    <row r="660" spans="1:15" ht="17.25" customHeight="1">
      <c r="A660" s="44"/>
      <c r="B660" s="44"/>
      <c r="C660" s="44"/>
      <c r="D660" s="44"/>
      <c r="E660" s="44"/>
      <c r="F660" s="44"/>
      <c r="G660" s="44"/>
      <c r="H660" s="44"/>
      <c r="I660" s="44"/>
      <c r="J660" s="44"/>
      <c r="K660" s="44"/>
      <c r="L660" s="44"/>
      <c r="M660" s="44"/>
      <c r="N660" s="44"/>
      <c r="O660" s="44"/>
    </row>
    <row r="661" spans="1:15" ht="17.25" customHeight="1">
      <c r="A661" s="44"/>
      <c r="B661" s="44"/>
      <c r="C661" s="44"/>
      <c r="D661" s="44"/>
      <c r="E661" s="44"/>
      <c r="F661" s="44"/>
      <c r="G661" s="44"/>
      <c r="H661" s="44"/>
      <c r="I661" s="44"/>
      <c r="J661" s="44"/>
      <c r="K661" s="44"/>
      <c r="L661" s="44"/>
      <c r="M661" s="44"/>
      <c r="N661" s="44"/>
      <c r="O661" s="44"/>
    </row>
    <row r="662" spans="1:15" ht="17.25" customHeight="1">
      <c r="A662" s="44"/>
      <c r="B662" s="44"/>
      <c r="C662" s="44"/>
      <c r="D662" s="44"/>
      <c r="E662" s="44"/>
      <c r="F662" s="44"/>
      <c r="G662" s="44"/>
      <c r="H662" s="44"/>
      <c r="I662" s="44"/>
      <c r="J662" s="44"/>
      <c r="K662" s="44"/>
      <c r="L662" s="44"/>
      <c r="M662" s="44"/>
      <c r="N662" s="44"/>
      <c r="O662" s="44"/>
    </row>
    <row r="663" spans="1:15" ht="17.25" customHeight="1">
      <c r="A663" s="44"/>
      <c r="B663" s="44"/>
      <c r="C663" s="44"/>
      <c r="D663" s="44"/>
      <c r="E663" s="44"/>
      <c r="F663" s="44"/>
      <c r="G663" s="44"/>
      <c r="H663" s="44"/>
      <c r="I663" s="44"/>
      <c r="J663" s="44"/>
      <c r="K663" s="44"/>
      <c r="L663" s="44"/>
      <c r="M663" s="44"/>
      <c r="N663" s="44"/>
      <c r="O663" s="44"/>
    </row>
    <row r="664" spans="1:15" ht="17.25" customHeight="1">
      <c r="A664" s="44"/>
      <c r="B664" s="44"/>
      <c r="C664" s="44"/>
      <c r="D664" s="44"/>
      <c r="E664" s="44"/>
      <c r="F664" s="44"/>
      <c r="G664" s="44"/>
      <c r="H664" s="44"/>
      <c r="I664" s="44"/>
      <c r="J664" s="44"/>
      <c r="K664" s="44"/>
      <c r="L664" s="44"/>
      <c r="M664" s="44"/>
      <c r="N664" s="44"/>
      <c r="O664" s="44"/>
    </row>
    <row r="665" spans="1:15" ht="17.25" customHeight="1">
      <c r="A665" s="44"/>
      <c r="B665" s="44"/>
      <c r="C665" s="44"/>
      <c r="D665" s="44"/>
      <c r="E665" s="44"/>
      <c r="F665" s="44"/>
      <c r="G665" s="44"/>
      <c r="H665" s="44"/>
      <c r="I665" s="44"/>
      <c r="J665" s="44"/>
      <c r="K665" s="44"/>
      <c r="L665" s="44"/>
      <c r="M665" s="44"/>
      <c r="N665" s="44"/>
      <c r="O665" s="44"/>
    </row>
    <row r="666" spans="1:15" ht="17.25" customHeight="1">
      <c r="A666" s="44"/>
      <c r="B666" s="44"/>
      <c r="C666" s="44"/>
      <c r="D666" s="44"/>
      <c r="E666" s="44"/>
      <c r="F666" s="44"/>
      <c r="G666" s="44"/>
      <c r="H666" s="44"/>
      <c r="I666" s="44"/>
      <c r="J666" s="44"/>
      <c r="K666" s="44"/>
      <c r="L666" s="44"/>
      <c r="M666" s="44"/>
      <c r="N666" s="44"/>
      <c r="O666" s="44"/>
    </row>
    <row r="667" spans="1:15" ht="17.25" customHeight="1">
      <c r="A667" s="44"/>
      <c r="B667" s="44"/>
      <c r="C667" s="44"/>
      <c r="D667" s="44"/>
      <c r="E667" s="44"/>
      <c r="F667" s="44"/>
      <c r="G667" s="44"/>
      <c r="H667" s="44"/>
      <c r="I667" s="44"/>
      <c r="J667" s="44"/>
      <c r="K667" s="44"/>
      <c r="L667" s="44"/>
      <c r="M667" s="44"/>
      <c r="N667" s="44"/>
      <c r="O667" s="44"/>
    </row>
    <row r="668" spans="1:15" ht="17.25" customHeight="1">
      <c r="A668" s="44"/>
      <c r="B668" s="44"/>
      <c r="C668" s="44"/>
      <c r="D668" s="44"/>
      <c r="E668" s="44"/>
      <c r="F668" s="44"/>
      <c r="G668" s="44"/>
      <c r="H668" s="44"/>
      <c r="I668" s="44"/>
      <c r="J668" s="44"/>
      <c r="K668" s="44"/>
      <c r="L668" s="44"/>
      <c r="M668" s="44"/>
      <c r="N668" s="44"/>
      <c r="O668" s="44"/>
    </row>
    <row r="669" spans="1:15" ht="17.25" customHeight="1">
      <c r="A669" s="44"/>
      <c r="B669" s="44"/>
      <c r="C669" s="44"/>
      <c r="D669" s="44"/>
      <c r="E669" s="44"/>
      <c r="F669" s="44"/>
      <c r="G669" s="44"/>
      <c r="H669" s="44"/>
      <c r="I669" s="44"/>
      <c r="J669" s="44"/>
      <c r="K669" s="44"/>
      <c r="L669" s="44"/>
      <c r="M669" s="44"/>
      <c r="N669" s="44"/>
      <c r="O669" s="44"/>
    </row>
    <row r="670" spans="1:15" ht="17.25" customHeight="1">
      <c r="A670" s="44"/>
      <c r="B670" s="44"/>
      <c r="C670" s="44"/>
      <c r="D670" s="44"/>
      <c r="E670" s="44"/>
      <c r="F670" s="44"/>
      <c r="G670" s="44"/>
      <c r="H670" s="44"/>
      <c r="I670" s="44"/>
      <c r="J670" s="44"/>
      <c r="K670" s="44"/>
      <c r="L670" s="44"/>
      <c r="M670" s="44"/>
      <c r="N670" s="44"/>
      <c r="O670" s="44"/>
    </row>
    <row r="671" spans="1:15" ht="17.25" customHeight="1">
      <c r="A671" s="44"/>
      <c r="B671" s="44"/>
      <c r="C671" s="44"/>
      <c r="D671" s="44"/>
      <c r="E671" s="44"/>
      <c r="F671" s="44"/>
      <c r="G671" s="44"/>
      <c r="H671" s="44"/>
      <c r="I671" s="44"/>
      <c r="J671" s="44"/>
      <c r="K671" s="44"/>
      <c r="L671" s="44"/>
      <c r="M671" s="44"/>
      <c r="N671" s="44"/>
      <c r="O671" s="44"/>
    </row>
    <row r="672" spans="1:15" ht="17.25" customHeight="1">
      <c r="A672" s="44"/>
      <c r="B672" s="44"/>
      <c r="C672" s="44"/>
      <c r="D672" s="44"/>
      <c r="E672" s="44"/>
      <c r="F672" s="44"/>
      <c r="G672" s="44"/>
      <c r="H672" s="44"/>
      <c r="I672" s="44"/>
      <c r="J672" s="44"/>
      <c r="K672" s="44"/>
      <c r="L672" s="44"/>
      <c r="M672" s="44"/>
      <c r="N672" s="44"/>
      <c r="O672" s="44"/>
    </row>
    <row r="673" spans="1:15" ht="17.25" customHeight="1">
      <c r="A673" s="44"/>
      <c r="B673" s="44"/>
      <c r="C673" s="44"/>
      <c r="D673" s="44"/>
      <c r="E673" s="44"/>
      <c r="F673" s="44"/>
      <c r="G673" s="44"/>
      <c r="H673" s="44"/>
      <c r="I673" s="44"/>
      <c r="J673" s="44"/>
      <c r="K673" s="44"/>
      <c r="L673" s="44"/>
      <c r="M673" s="44"/>
      <c r="N673" s="44"/>
      <c r="O673" s="44"/>
    </row>
    <row r="674" spans="1:15" ht="17.25" customHeight="1">
      <c r="A674" s="44"/>
      <c r="B674" s="44"/>
      <c r="C674" s="44"/>
      <c r="D674" s="44"/>
      <c r="E674" s="44"/>
      <c r="F674" s="44"/>
      <c r="G674" s="44"/>
      <c r="H674" s="44"/>
      <c r="I674" s="44"/>
      <c r="J674" s="44"/>
      <c r="K674" s="44"/>
      <c r="L674" s="44"/>
      <c r="M674" s="44"/>
      <c r="N674" s="44"/>
      <c r="O674" s="44"/>
    </row>
    <row r="675" spans="1:15" ht="17.25" customHeight="1">
      <c r="A675" s="44"/>
      <c r="B675" s="44"/>
      <c r="C675" s="44"/>
      <c r="D675" s="44"/>
      <c r="E675" s="44"/>
      <c r="F675" s="44"/>
      <c r="G675" s="44"/>
      <c r="H675" s="44"/>
      <c r="I675" s="44"/>
      <c r="J675" s="44"/>
      <c r="K675" s="44"/>
      <c r="L675" s="44"/>
      <c r="M675" s="44"/>
      <c r="N675" s="44"/>
      <c r="O675" s="44"/>
    </row>
    <row r="676" spans="1:15" ht="17.25" customHeight="1">
      <c r="A676" s="44"/>
      <c r="B676" s="44"/>
      <c r="C676" s="44"/>
      <c r="D676" s="44"/>
      <c r="E676" s="44"/>
      <c r="F676" s="44"/>
      <c r="G676" s="44"/>
      <c r="H676" s="44"/>
      <c r="I676" s="44"/>
      <c r="J676" s="44"/>
      <c r="K676" s="44"/>
      <c r="L676" s="44"/>
      <c r="M676" s="44"/>
      <c r="N676" s="44"/>
      <c r="O676" s="44"/>
    </row>
    <row r="677" spans="1:15" ht="17.25" customHeight="1">
      <c r="A677" s="44"/>
      <c r="B677" s="44"/>
      <c r="C677" s="44"/>
      <c r="D677" s="44"/>
      <c r="E677" s="44"/>
      <c r="F677" s="44"/>
      <c r="G677" s="44"/>
      <c r="H677" s="44"/>
      <c r="I677" s="44"/>
      <c r="J677" s="44"/>
      <c r="K677" s="44"/>
      <c r="L677" s="44"/>
      <c r="M677" s="44"/>
      <c r="N677" s="44"/>
      <c r="O677" s="44"/>
    </row>
    <row r="678" spans="1:15" ht="17.25" customHeight="1">
      <c r="A678" s="44"/>
      <c r="B678" s="44"/>
      <c r="C678" s="44"/>
      <c r="D678" s="44"/>
      <c r="E678" s="44"/>
      <c r="F678" s="44"/>
      <c r="G678" s="44"/>
      <c r="H678" s="44"/>
      <c r="I678" s="44"/>
      <c r="J678" s="44"/>
      <c r="K678" s="44"/>
      <c r="L678" s="44"/>
      <c r="M678" s="44"/>
      <c r="N678" s="44"/>
      <c r="O678" s="44"/>
    </row>
    <row r="679" spans="1:15" ht="17.25" customHeight="1">
      <c r="A679" s="44"/>
      <c r="B679" s="44"/>
      <c r="C679" s="44"/>
      <c r="D679" s="44"/>
      <c r="E679" s="44"/>
      <c r="F679" s="44"/>
      <c r="G679" s="44"/>
      <c r="H679" s="44"/>
      <c r="I679" s="44"/>
      <c r="J679" s="44"/>
      <c r="K679" s="44"/>
      <c r="L679" s="44"/>
      <c r="M679" s="44"/>
      <c r="N679" s="44"/>
      <c r="O679" s="44"/>
    </row>
    <row r="680" spans="1:15" ht="17.25" customHeight="1">
      <c r="A680" s="44"/>
      <c r="B680" s="44"/>
      <c r="C680" s="44"/>
      <c r="D680" s="44"/>
      <c r="E680" s="44"/>
      <c r="F680" s="44"/>
      <c r="G680" s="44"/>
      <c r="H680" s="44"/>
      <c r="I680" s="44"/>
      <c r="J680" s="44"/>
      <c r="K680" s="44"/>
      <c r="L680" s="44"/>
      <c r="M680" s="44"/>
      <c r="N680" s="44"/>
      <c r="O680" s="44"/>
    </row>
    <row r="681" spans="1:15" ht="17.25" customHeight="1">
      <c r="A681" s="44"/>
      <c r="B681" s="44"/>
      <c r="C681" s="44"/>
      <c r="D681" s="44"/>
      <c r="E681" s="44"/>
      <c r="F681" s="44"/>
      <c r="G681" s="44"/>
      <c r="H681" s="44"/>
      <c r="I681" s="44"/>
      <c r="J681" s="44"/>
      <c r="K681" s="44"/>
      <c r="L681" s="44"/>
      <c r="M681" s="44"/>
      <c r="N681" s="44"/>
      <c r="O681" s="44"/>
    </row>
    <row r="682" spans="1:15" ht="17.25" customHeight="1">
      <c r="A682" s="44"/>
      <c r="B682" s="44"/>
      <c r="C682" s="44"/>
      <c r="D682" s="44"/>
      <c r="E682" s="44"/>
      <c r="F682" s="44"/>
      <c r="G682" s="44"/>
      <c r="H682" s="44"/>
      <c r="I682" s="44"/>
      <c r="J682" s="44"/>
      <c r="K682" s="44"/>
      <c r="L682" s="44"/>
      <c r="M682" s="44"/>
      <c r="N682" s="44"/>
      <c r="O682" s="44"/>
    </row>
    <row r="683" spans="1:15" ht="17.25" customHeight="1">
      <c r="A683" s="44"/>
      <c r="B683" s="44"/>
      <c r="C683" s="44"/>
      <c r="D683" s="44"/>
      <c r="E683" s="44"/>
      <c r="F683" s="44"/>
      <c r="G683" s="44"/>
      <c r="H683" s="44"/>
      <c r="I683" s="44"/>
      <c r="J683" s="44"/>
      <c r="K683" s="44"/>
      <c r="L683" s="44"/>
      <c r="M683" s="44"/>
      <c r="N683" s="44"/>
      <c r="O683" s="44"/>
    </row>
    <row r="684" spans="1:15" ht="17.25" customHeight="1">
      <c r="A684" s="44"/>
      <c r="B684" s="44"/>
      <c r="C684" s="44"/>
      <c r="D684" s="44"/>
      <c r="E684" s="44"/>
      <c r="F684" s="44"/>
      <c r="G684" s="44"/>
      <c r="H684" s="44"/>
      <c r="I684" s="44"/>
      <c r="J684" s="44"/>
      <c r="K684" s="44"/>
      <c r="L684" s="44"/>
      <c r="M684" s="44"/>
      <c r="N684" s="44"/>
      <c r="O684" s="44"/>
    </row>
    <row r="685" spans="1:15" ht="17.25" customHeight="1">
      <c r="A685" s="44"/>
      <c r="B685" s="44"/>
      <c r="C685" s="44"/>
      <c r="D685" s="44"/>
      <c r="E685" s="44"/>
      <c r="F685" s="44"/>
      <c r="G685" s="44"/>
      <c r="H685" s="44"/>
      <c r="I685" s="44"/>
      <c r="J685" s="44"/>
      <c r="K685" s="44"/>
      <c r="L685" s="44"/>
      <c r="M685" s="44"/>
      <c r="N685" s="44"/>
      <c r="O685" s="44"/>
    </row>
    <row r="686" spans="1:15" ht="17.25" customHeight="1">
      <c r="A686" s="44"/>
      <c r="B686" s="44"/>
      <c r="C686" s="44"/>
      <c r="D686" s="44"/>
      <c r="E686" s="44"/>
      <c r="F686" s="44"/>
      <c r="G686" s="44"/>
      <c r="H686" s="44"/>
      <c r="I686" s="44"/>
      <c r="J686" s="44"/>
      <c r="K686" s="44"/>
      <c r="L686" s="44"/>
      <c r="M686" s="44"/>
      <c r="N686" s="44"/>
      <c r="O686" s="44"/>
    </row>
    <row r="687" spans="1:15" ht="17.25" customHeight="1">
      <c r="A687" s="44"/>
      <c r="B687" s="44"/>
      <c r="C687" s="44"/>
      <c r="D687" s="44"/>
      <c r="E687" s="44"/>
      <c r="F687" s="44"/>
      <c r="G687" s="44"/>
      <c r="H687" s="44"/>
      <c r="I687" s="44"/>
      <c r="J687" s="44"/>
      <c r="K687" s="44"/>
      <c r="L687" s="44"/>
      <c r="M687" s="44"/>
      <c r="N687" s="44"/>
      <c r="O687" s="44"/>
    </row>
    <row r="688" spans="1:15" ht="17.25" customHeight="1">
      <c r="A688" s="44"/>
      <c r="B688" s="44"/>
      <c r="C688" s="44"/>
      <c r="D688" s="44"/>
      <c r="E688" s="44"/>
      <c r="F688" s="44"/>
      <c r="G688" s="44"/>
      <c r="H688" s="44"/>
      <c r="I688" s="44"/>
      <c r="J688" s="44"/>
      <c r="K688" s="44"/>
      <c r="L688" s="44"/>
      <c r="M688" s="44"/>
      <c r="N688" s="44"/>
      <c r="O688" s="44"/>
    </row>
    <row r="689" spans="1:15" ht="17.25" customHeight="1">
      <c r="A689" s="44"/>
      <c r="B689" s="44"/>
      <c r="C689" s="44"/>
      <c r="D689" s="44"/>
      <c r="E689" s="44"/>
      <c r="F689" s="44"/>
      <c r="G689" s="44"/>
      <c r="H689" s="44"/>
      <c r="I689" s="44"/>
      <c r="J689" s="44"/>
      <c r="K689" s="44"/>
      <c r="L689" s="44"/>
      <c r="M689" s="44"/>
      <c r="N689" s="44"/>
      <c r="O689" s="44"/>
    </row>
    <row r="690" spans="1:15" ht="17.25" customHeight="1">
      <c r="A690" s="44"/>
      <c r="B690" s="44"/>
      <c r="C690" s="44"/>
      <c r="D690" s="44"/>
      <c r="E690" s="44"/>
      <c r="F690" s="44"/>
      <c r="G690" s="44"/>
      <c r="H690" s="44"/>
      <c r="I690" s="44"/>
      <c r="J690" s="44"/>
      <c r="K690" s="44"/>
      <c r="L690" s="44"/>
      <c r="M690" s="44"/>
      <c r="N690" s="44"/>
      <c r="O690" s="44"/>
    </row>
    <row r="691" spans="1:15" ht="17.25" customHeight="1">
      <c r="A691" s="44"/>
      <c r="B691" s="44"/>
      <c r="C691" s="44"/>
      <c r="D691" s="44"/>
      <c r="E691" s="44"/>
      <c r="F691" s="44"/>
      <c r="G691" s="44"/>
      <c r="H691" s="44"/>
      <c r="I691" s="44"/>
      <c r="J691" s="44"/>
      <c r="K691" s="44"/>
      <c r="L691" s="44"/>
      <c r="M691" s="44"/>
      <c r="N691" s="44"/>
      <c r="O691" s="44"/>
    </row>
    <row r="692" spans="1:15" ht="17.25" customHeight="1">
      <c r="A692" s="44"/>
      <c r="B692" s="44"/>
      <c r="C692" s="44"/>
      <c r="D692" s="44"/>
      <c r="E692" s="44"/>
      <c r="F692" s="44"/>
      <c r="G692" s="44"/>
      <c r="H692" s="44"/>
      <c r="I692" s="44"/>
      <c r="J692" s="44"/>
      <c r="K692" s="44"/>
      <c r="L692" s="44"/>
      <c r="M692" s="44"/>
      <c r="N692" s="44"/>
      <c r="O692" s="44"/>
    </row>
    <row r="693" spans="1:15" ht="17.25" customHeight="1">
      <c r="A693" s="44"/>
      <c r="B693" s="44"/>
      <c r="C693" s="44"/>
      <c r="D693" s="44"/>
      <c r="E693" s="44"/>
      <c r="F693" s="44"/>
      <c r="G693" s="44"/>
      <c r="H693" s="44"/>
      <c r="I693" s="44"/>
      <c r="J693" s="44"/>
      <c r="K693" s="44"/>
      <c r="L693" s="44"/>
      <c r="M693" s="44"/>
      <c r="N693" s="44"/>
      <c r="O693" s="44"/>
    </row>
    <row r="694" spans="1:15" ht="17.25" customHeight="1">
      <c r="A694" s="44"/>
      <c r="B694" s="44"/>
      <c r="C694" s="44"/>
      <c r="D694" s="44"/>
      <c r="E694" s="44"/>
      <c r="F694" s="44"/>
      <c r="G694" s="44"/>
      <c r="H694" s="44"/>
      <c r="I694" s="44"/>
      <c r="J694" s="44"/>
      <c r="K694" s="44"/>
      <c r="L694" s="44"/>
      <c r="M694" s="44"/>
      <c r="N694" s="44"/>
      <c r="O694" s="44"/>
    </row>
    <row r="695" spans="1:15" ht="17.25" customHeight="1">
      <c r="A695" s="44"/>
      <c r="B695" s="44"/>
      <c r="C695" s="44"/>
      <c r="D695" s="44"/>
      <c r="E695" s="44"/>
      <c r="F695" s="44"/>
      <c r="G695" s="44"/>
      <c r="H695" s="44"/>
      <c r="I695" s="44"/>
      <c r="J695" s="44"/>
      <c r="K695" s="44"/>
      <c r="L695" s="44"/>
      <c r="M695" s="44"/>
      <c r="N695" s="44"/>
      <c r="O695" s="44"/>
    </row>
    <row r="696" spans="1:15" ht="17.25" customHeight="1">
      <c r="A696" s="44"/>
      <c r="B696" s="44"/>
      <c r="C696" s="44"/>
      <c r="D696" s="44"/>
      <c r="E696" s="44"/>
      <c r="F696" s="44"/>
      <c r="G696" s="44"/>
      <c r="H696" s="44"/>
      <c r="I696" s="44"/>
      <c r="J696" s="44"/>
      <c r="K696" s="44"/>
      <c r="L696" s="44"/>
      <c r="M696" s="44"/>
      <c r="N696" s="44"/>
      <c r="O696" s="44"/>
    </row>
    <row r="697" spans="1:15" ht="17.25" customHeight="1">
      <c r="A697" s="44"/>
      <c r="B697" s="44"/>
      <c r="C697" s="44"/>
      <c r="D697" s="44"/>
      <c r="E697" s="44"/>
      <c r="F697" s="44"/>
      <c r="G697" s="44"/>
      <c r="H697" s="44"/>
      <c r="I697" s="44"/>
      <c r="J697" s="44"/>
      <c r="K697" s="44"/>
      <c r="L697" s="44"/>
      <c r="M697" s="44"/>
      <c r="N697" s="44"/>
      <c r="O697" s="44"/>
    </row>
    <row r="698" spans="1:15" ht="17.25" customHeight="1">
      <c r="A698" s="44"/>
      <c r="B698" s="44"/>
      <c r="C698" s="44"/>
      <c r="D698" s="44"/>
      <c r="E698" s="44"/>
      <c r="F698" s="44"/>
      <c r="G698" s="44"/>
      <c r="H698" s="44"/>
      <c r="I698" s="44"/>
      <c r="J698" s="44"/>
      <c r="K698" s="44"/>
      <c r="L698" s="44"/>
      <c r="M698" s="44"/>
      <c r="N698" s="44"/>
      <c r="O698" s="44"/>
    </row>
    <row r="699" spans="1:15" ht="17.25" customHeight="1">
      <c r="A699" s="44"/>
      <c r="B699" s="44"/>
      <c r="C699" s="44"/>
      <c r="D699" s="44"/>
      <c r="E699" s="44"/>
      <c r="F699" s="44"/>
      <c r="G699" s="44"/>
      <c r="H699" s="44"/>
      <c r="I699" s="44"/>
      <c r="J699" s="44"/>
      <c r="K699" s="44"/>
      <c r="L699" s="44"/>
      <c r="M699" s="44"/>
      <c r="N699" s="44"/>
      <c r="O699" s="44"/>
    </row>
    <row r="700" spans="1:15" ht="17.25" customHeight="1">
      <c r="A700" s="44"/>
      <c r="B700" s="44"/>
      <c r="C700" s="44"/>
      <c r="D700" s="44"/>
      <c r="E700" s="44"/>
      <c r="F700" s="44"/>
      <c r="G700" s="44"/>
      <c r="H700" s="44"/>
      <c r="I700" s="44"/>
      <c r="J700" s="44"/>
      <c r="K700" s="44"/>
      <c r="L700" s="44"/>
      <c r="M700" s="44"/>
      <c r="N700" s="44"/>
      <c r="O700" s="44"/>
    </row>
    <row r="701" spans="1:15" ht="17.25" customHeight="1">
      <c r="A701" s="44"/>
      <c r="B701" s="44"/>
      <c r="C701" s="44"/>
      <c r="D701" s="44"/>
      <c r="E701" s="44"/>
      <c r="F701" s="44"/>
      <c r="G701" s="44"/>
      <c r="H701" s="44"/>
      <c r="I701" s="44"/>
      <c r="J701" s="44"/>
      <c r="K701" s="44"/>
      <c r="L701" s="44"/>
      <c r="M701" s="44"/>
      <c r="N701" s="44"/>
      <c r="O701" s="44"/>
    </row>
    <row r="702" spans="1:15" ht="17.25" customHeight="1">
      <c r="A702" s="44"/>
      <c r="B702" s="44"/>
      <c r="C702" s="44"/>
      <c r="D702" s="44"/>
      <c r="E702" s="44"/>
      <c r="F702" s="44"/>
      <c r="G702" s="44"/>
      <c r="H702" s="44"/>
      <c r="I702" s="44"/>
      <c r="J702" s="44"/>
      <c r="K702" s="44"/>
      <c r="L702" s="44"/>
      <c r="M702" s="44"/>
      <c r="N702" s="44"/>
      <c r="O702" s="44"/>
    </row>
    <row r="703" spans="1:15" ht="17.25" customHeight="1">
      <c r="A703" s="44"/>
      <c r="B703" s="44"/>
      <c r="C703" s="44"/>
      <c r="D703" s="44"/>
      <c r="E703" s="44"/>
      <c r="F703" s="44"/>
      <c r="G703" s="44"/>
      <c r="H703" s="44"/>
      <c r="I703" s="44"/>
      <c r="J703" s="44"/>
      <c r="K703" s="44"/>
      <c r="L703" s="44"/>
      <c r="M703" s="44"/>
      <c r="N703" s="44"/>
      <c r="O703" s="44"/>
    </row>
    <row r="704" spans="1:15" ht="17.25" customHeight="1">
      <c r="A704" s="44"/>
      <c r="B704" s="44"/>
      <c r="C704" s="44"/>
      <c r="D704" s="44"/>
      <c r="E704" s="44"/>
      <c r="F704" s="44"/>
      <c r="G704" s="44"/>
      <c r="H704" s="44"/>
      <c r="I704" s="44"/>
      <c r="J704" s="44"/>
      <c r="K704" s="44"/>
      <c r="L704" s="44"/>
      <c r="M704" s="44"/>
      <c r="N704" s="44"/>
      <c r="O704" s="44"/>
    </row>
    <row r="705" spans="1:15" ht="17.25" customHeight="1">
      <c r="A705" s="44"/>
      <c r="B705" s="44"/>
      <c r="C705" s="44"/>
      <c r="D705" s="44"/>
      <c r="E705" s="44"/>
      <c r="F705" s="44"/>
      <c r="G705" s="44"/>
      <c r="H705" s="44"/>
      <c r="I705" s="44"/>
      <c r="J705" s="44"/>
      <c r="K705" s="44"/>
      <c r="L705" s="44"/>
      <c r="M705" s="44"/>
      <c r="N705" s="44"/>
      <c r="O705" s="44"/>
    </row>
    <row r="706" spans="1:15" ht="17.25" customHeight="1">
      <c r="A706" s="44"/>
      <c r="B706" s="44"/>
      <c r="C706" s="44"/>
      <c r="D706" s="44"/>
      <c r="E706" s="44"/>
      <c r="F706" s="44"/>
      <c r="G706" s="44"/>
      <c r="H706" s="44"/>
      <c r="I706" s="44"/>
      <c r="J706" s="44"/>
      <c r="K706" s="44"/>
      <c r="L706" s="44"/>
      <c r="M706" s="44"/>
      <c r="N706" s="44"/>
      <c r="O706" s="44"/>
    </row>
    <row r="707" spans="1:15" ht="17.25" customHeight="1">
      <c r="A707" s="44"/>
      <c r="B707" s="44"/>
      <c r="C707" s="44"/>
      <c r="D707" s="44"/>
      <c r="E707" s="44"/>
      <c r="F707" s="44"/>
      <c r="G707" s="44"/>
      <c r="H707" s="44"/>
      <c r="I707" s="44"/>
      <c r="J707" s="44"/>
      <c r="K707" s="44"/>
      <c r="L707" s="44"/>
      <c r="M707" s="44"/>
      <c r="N707" s="44"/>
      <c r="O707" s="44"/>
    </row>
    <row r="708" spans="1:15" ht="17.25" customHeight="1">
      <c r="A708" s="44"/>
      <c r="B708" s="44"/>
      <c r="C708" s="44"/>
      <c r="D708" s="44"/>
      <c r="E708" s="44"/>
      <c r="F708" s="44"/>
      <c r="G708" s="44"/>
      <c r="H708" s="44"/>
      <c r="I708" s="44"/>
      <c r="J708" s="44"/>
      <c r="K708" s="44"/>
      <c r="L708" s="44"/>
      <c r="M708" s="44"/>
      <c r="N708" s="44"/>
      <c r="O708" s="44"/>
    </row>
    <row r="709" spans="1:15" ht="17.25" customHeight="1">
      <c r="A709" s="44"/>
      <c r="B709" s="44"/>
      <c r="C709" s="44"/>
      <c r="D709" s="44"/>
      <c r="E709" s="44"/>
      <c r="F709" s="44"/>
      <c r="G709" s="44"/>
      <c r="H709" s="44"/>
      <c r="I709" s="44"/>
      <c r="J709" s="44"/>
      <c r="K709" s="44"/>
      <c r="L709" s="44"/>
      <c r="M709" s="44"/>
      <c r="N709" s="44"/>
      <c r="O709" s="44"/>
    </row>
    <row r="710" spans="1:15" ht="17.25" customHeight="1">
      <c r="A710" s="44"/>
      <c r="B710" s="44"/>
      <c r="C710" s="44"/>
      <c r="D710" s="44"/>
      <c r="E710" s="44"/>
      <c r="F710" s="44"/>
      <c r="G710" s="44"/>
      <c r="H710" s="44"/>
      <c r="I710" s="44"/>
      <c r="J710" s="44"/>
      <c r="K710" s="44"/>
      <c r="L710" s="44"/>
      <c r="M710" s="44"/>
      <c r="N710" s="44"/>
      <c r="O710" s="44"/>
    </row>
    <row r="711" spans="1:15" ht="17.25" customHeight="1">
      <c r="A711" s="44"/>
      <c r="B711" s="44"/>
      <c r="C711" s="44"/>
      <c r="D711" s="44"/>
      <c r="E711" s="44"/>
      <c r="F711" s="44"/>
      <c r="G711" s="44"/>
      <c r="H711" s="44"/>
      <c r="I711" s="44"/>
      <c r="J711" s="44"/>
      <c r="K711" s="44"/>
      <c r="L711" s="44"/>
      <c r="M711" s="44"/>
      <c r="N711" s="44"/>
      <c r="O711" s="44"/>
    </row>
    <row r="712" spans="1:15" ht="17.25" customHeight="1">
      <c r="A712" s="44"/>
      <c r="B712" s="44"/>
      <c r="C712" s="44"/>
      <c r="D712" s="44"/>
      <c r="E712" s="44"/>
      <c r="F712" s="44"/>
      <c r="G712" s="44"/>
      <c r="H712" s="44"/>
      <c r="I712" s="44"/>
      <c r="J712" s="44"/>
      <c r="K712" s="44"/>
      <c r="L712" s="44"/>
      <c r="M712" s="44"/>
      <c r="N712" s="44"/>
      <c r="O712" s="44"/>
    </row>
    <row r="713" spans="1:15" ht="17.25" customHeight="1">
      <c r="A713" s="44"/>
      <c r="B713" s="44"/>
      <c r="C713" s="44"/>
      <c r="D713" s="44"/>
      <c r="E713" s="44"/>
      <c r="F713" s="44"/>
      <c r="G713" s="44"/>
      <c r="H713" s="44"/>
      <c r="I713" s="44"/>
      <c r="J713" s="44"/>
      <c r="K713" s="44"/>
      <c r="L713" s="44"/>
      <c r="M713" s="44"/>
      <c r="N713" s="44"/>
      <c r="O713" s="44"/>
    </row>
    <row r="714" spans="1:15" ht="17.25" customHeight="1">
      <c r="A714" s="44"/>
      <c r="B714" s="44"/>
      <c r="C714" s="44"/>
      <c r="D714" s="44"/>
      <c r="E714" s="44"/>
      <c r="F714" s="44"/>
      <c r="G714" s="44"/>
      <c r="H714" s="44"/>
      <c r="I714" s="44"/>
      <c r="J714" s="44"/>
      <c r="K714" s="44"/>
      <c r="L714" s="44"/>
      <c r="M714" s="44"/>
      <c r="N714" s="44"/>
      <c r="O714" s="44"/>
    </row>
    <row r="715" spans="1:15" ht="17.25" customHeight="1">
      <c r="A715" s="44"/>
      <c r="B715" s="44"/>
      <c r="C715" s="44"/>
      <c r="D715" s="44"/>
      <c r="E715" s="44"/>
      <c r="F715" s="44"/>
      <c r="G715" s="44"/>
      <c r="H715" s="44"/>
      <c r="I715" s="44"/>
      <c r="J715" s="44"/>
      <c r="K715" s="44"/>
      <c r="L715" s="44"/>
      <c r="M715" s="44"/>
      <c r="N715" s="44"/>
      <c r="O715" s="44"/>
    </row>
    <row r="716" spans="1:15" ht="17.25" customHeight="1">
      <c r="A716" s="44"/>
      <c r="B716" s="44"/>
      <c r="C716" s="44"/>
      <c r="D716" s="44"/>
      <c r="E716" s="44"/>
      <c r="F716" s="44"/>
      <c r="G716" s="44"/>
      <c r="H716" s="44"/>
      <c r="I716" s="44"/>
      <c r="J716" s="44"/>
      <c r="K716" s="44"/>
      <c r="L716" s="44"/>
      <c r="M716" s="44"/>
      <c r="N716" s="44"/>
      <c r="O716" s="44"/>
    </row>
    <row r="717" spans="1:15" ht="17.25" customHeight="1">
      <c r="A717" s="44"/>
      <c r="B717" s="44"/>
      <c r="C717" s="44"/>
      <c r="D717" s="44"/>
      <c r="E717" s="44"/>
      <c r="F717" s="44"/>
      <c r="G717" s="44"/>
      <c r="H717" s="44"/>
      <c r="I717" s="44"/>
      <c r="J717" s="44"/>
      <c r="K717" s="44"/>
      <c r="L717" s="44"/>
      <c r="M717" s="44"/>
      <c r="N717" s="44"/>
      <c r="O717" s="44"/>
    </row>
    <row r="718" spans="1:15" ht="17.25" customHeight="1">
      <c r="A718" s="44"/>
      <c r="B718" s="44"/>
      <c r="C718" s="44"/>
      <c r="D718" s="44"/>
      <c r="E718" s="44"/>
      <c r="F718" s="44"/>
      <c r="G718" s="44"/>
      <c r="H718" s="44"/>
      <c r="I718" s="44"/>
      <c r="J718" s="44"/>
      <c r="K718" s="44"/>
      <c r="L718" s="44"/>
      <c r="M718" s="44"/>
      <c r="N718" s="44"/>
      <c r="O718" s="44"/>
    </row>
    <row r="719" spans="1:15" ht="17.25" customHeight="1">
      <c r="A719" s="44"/>
      <c r="B719" s="44"/>
      <c r="C719" s="44"/>
      <c r="D719" s="44"/>
      <c r="E719" s="44"/>
      <c r="F719" s="44"/>
      <c r="G719" s="44"/>
      <c r="H719" s="44"/>
      <c r="I719" s="44"/>
      <c r="J719" s="44"/>
      <c r="K719" s="44"/>
      <c r="L719" s="44"/>
      <c r="M719" s="44"/>
      <c r="N719" s="44"/>
      <c r="O719" s="44"/>
    </row>
    <row r="720" spans="1:15" ht="17.25" customHeight="1">
      <c r="A720" s="44"/>
      <c r="B720" s="44"/>
      <c r="C720" s="44"/>
      <c r="D720" s="44"/>
      <c r="E720" s="44"/>
      <c r="F720" s="44"/>
      <c r="G720" s="44"/>
      <c r="H720" s="44"/>
      <c r="I720" s="44"/>
      <c r="J720" s="44"/>
      <c r="K720" s="44"/>
      <c r="L720" s="44"/>
      <c r="M720" s="44"/>
      <c r="N720" s="44"/>
      <c r="O720" s="44"/>
    </row>
    <row r="721" spans="1:15" ht="17.25" customHeight="1">
      <c r="A721" s="44"/>
      <c r="B721" s="44"/>
      <c r="C721" s="44"/>
      <c r="D721" s="44"/>
      <c r="E721" s="44"/>
      <c r="F721" s="44"/>
      <c r="G721" s="44"/>
      <c r="H721" s="44"/>
      <c r="I721" s="44"/>
      <c r="J721" s="44"/>
      <c r="K721" s="44"/>
      <c r="L721" s="44"/>
      <c r="M721" s="44"/>
      <c r="N721" s="44"/>
      <c r="O721" s="44"/>
    </row>
    <row r="722" spans="1:15" ht="17.25" customHeight="1">
      <c r="A722" s="44"/>
      <c r="B722" s="44"/>
      <c r="C722" s="44"/>
      <c r="D722" s="44"/>
      <c r="E722" s="44"/>
      <c r="F722" s="44"/>
      <c r="G722" s="44"/>
      <c r="H722" s="44"/>
      <c r="I722" s="44"/>
      <c r="J722" s="44"/>
      <c r="K722" s="44"/>
      <c r="L722" s="44"/>
      <c r="M722" s="44"/>
      <c r="N722" s="44"/>
      <c r="O722" s="44"/>
    </row>
    <row r="723" spans="1:15" ht="17.25" customHeight="1">
      <c r="A723" s="44"/>
      <c r="B723" s="44"/>
      <c r="C723" s="44"/>
      <c r="D723" s="44"/>
      <c r="E723" s="44"/>
      <c r="F723" s="44"/>
      <c r="G723" s="44"/>
      <c r="H723" s="44"/>
      <c r="I723" s="44"/>
      <c r="J723" s="44"/>
      <c r="K723" s="44"/>
      <c r="L723" s="44"/>
      <c r="M723" s="44"/>
      <c r="N723" s="44"/>
      <c r="O723" s="44"/>
    </row>
    <row r="724" spans="1:15" ht="17.25" customHeight="1">
      <c r="A724" s="44"/>
      <c r="B724" s="44"/>
      <c r="C724" s="44"/>
      <c r="D724" s="44"/>
      <c r="E724" s="44"/>
      <c r="F724" s="44"/>
      <c r="G724" s="44"/>
      <c r="H724" s="44"/>
      <c r="I724" s="44"/>
      <c r="J724" s="44"/>
      <c r="K724" s="44"/>
      <c r="L724" s="44"/>
      <c r="M724" s="44"/>
      <c r="N724" s="44"/>
      <c r="O724" s="44"/>
    </row>
    <row r="725" spans="1:15" ht="17.25" customHeight="1">
      <c r="A725" s="44"/>
      <c r="B725" s="44"/>
      <c r="C725" s="44"/>
      <c r="D725" s="44"/>
      <c r="E725" s="44"/>
      <c r="F725" s="44"/>
      <c r="G725" s="44"/>
      <c r="H725" s="44"/>
      <c r="I725" s="44"/>
      <c r="J725" s="44"/>
      <c r="K725" s="44"/>
      <c r="L725" s="44"/>
      <c r="M725" s="44"/>
      <c r="N725" s="44"/>
      <c r="O725" s="44"/>
    </row>
    <row r="726" spans="1:15" ht="17.25" customHeight="1">
      <c r="A726" s="44"/>
      <c r="B726" s="44"/>
      <c r="C726" s="44"/>
      <c r="D726" s="44"/>
      <c r="E726" s="44"/>
      <c r="F726" s="44"/>
      <c r="G726" s="44"/>
      <c r="H726" s="44"/>
      <c r="I726" s="44"/>
      <c r="J726" s="44"/>
      <c r="K726" s="44"/>
      <c r="L726" s="44"/>
      <c r="M726" s="44"/>
      <c r="N726" s="44"/>
      <c r="O726" s="44"/>
    </row>
    <row r="727" spans="1:15" ht="17.25" customHeight="1">
      <c r="A727" s="44"/>
      <c r="B727" s="44"/>
      <c r="C727" s="44"/>
      <c r="D727" s="44"/>
      <c r="E727" s="44"/>
      <c r="F727" s="44"/>
      <c r="G727" s="44"/>
      <c r="H727" s="44"/>
      <c r="I727" s="44"/>
      <c r="J727" s="44"/>
      <c r="K727" s="44"/>
      <c r="L727" s="44"/>
      <c r="M727" s="44"/>
      <c r="N727" s="44"/>
      <c r="O727" s="44"/>
    </row>
    <row r="728" spans="1:15" ht="17.25" customHeight="1">
      <c r="A728" s="44"/>
      <c r="B728" s="44"/>
      <c r="C728" s="44"/>
      <c r="D728" s="44"/>
      <c r="E728" s="44"/>
      <c r="F728" s="44"/>
      <c r="G728" s="44"/>
      <c r="H728" s="44"/>
      <c r="I728" s="44"/>
      <c r="J728" s="44"/>
      <c r="K728" s="44"/>
      <c r="L728" s="44"/>
      <c r="M728" s="44"/>
      <c r="N728" s="44"/>
      <c r="O728" s="44"/>
    </row>
    <row r="729" spans="1:15" ht="17.25" customHeight="1">
      <c r="A729" s="44"/>
      <c r="B729" s="44"/>
      <c r="C729" s="44"/>
      <c r="D729" s="44"/>
      <c r="E729" s="44"/>
      <c r="F729" s="44"/>
      <c r="G729" s="44"/>
      <c r="H729" s="44"/>
      <c r="I729" s="44"/>
      <c r="J729" s="44"/>
      <c r="K729" s="44"/>
      <c r="L729" s="44"/>
      <c r="M729" s="44"/>
      <c r="N729" s="44"/>
      <c r="O729" s="44"/>
    </row>
    <row r="730" spans="1:15" ht="17.25" customHeight="1">
      <c r="A730" s="44"/>
      <c r="B730" s="44"/>
      <c r="C730" s="44"/>
      <c r="D730" s="44"/>
      <c r="E730" s="44"/>
      <c r="F730" s="44"/>
      <c r="G730" s="44"/>
      <c r="H730" s="44"/>
      <c r="I730" s="44"/>
      <c r="J730" s="44"/>
      <c r="K730" s="44"/>
      <c r="L730" s="44"/>
      <c r="M730" s="44"/>
      <c r="N730" s="44"/>
      <c r="O730" s="44"/>
    </row>
    <row r="731" spans="1:15" ht="17.25" customHeight="1">
      <c r="A731" s="44"/>
      <c r="B731" s="44"/>
      <c r="C731" s="44"/>
      <c r="D731" s="44"/>
      <c r="E731" s="44"/>
      <c r="F731" s="44"/>
      <c r="G731" s="44"/>
      <c r="H731" s="44"/>
      <c r="I731" s="44"/>
      <c r="J731" s="44"/>
      <c r="K731" s="44"/>
      <c r="L731" s="44"/>
      <c r="M731" s="44"/>
      <c r="N731" s="44"/>
      <c r="O731" s="44"/>
    </row>
    <row r="732" spans="1:15" ht="17.25" customHeight="1">
      <c r="A732" s="44"/>
      <c r="B732" s="44"/>
      <c r="C732" s="44"/>
      <c r="D732" s="44"/>
      <c r="E732" s="44"/>
      <c r="F732" s="44"/>
      <c r="G732" s="44"/>
      <c r="H732" s="44"/>
      <c r="I732" s="44"/>
      <c r="J732" s="44"/>
      <c r="K732" s="44"/>
      <c r="L732" s="44"/>
      <c r="M732" s="44"/>
      <c r="N732" s="44"/>
      <c r="O732" s="44"/>
    </row>
    <row r="733" spans="1:15" ht="17.25" customHeight="1">
      <c r="A733" s="44"/>
      <c r="B733" s="44"/>
      <c r="C733" s="44"/>
      <c r="D733" s="44"/>
      <c r="E733" s="44"/>
      <c r="F733" s="44"/>
      <c r="G733" s="44"/>
      <c r="H733" s="44"/>
      <c r="I733" s="44"/>
      <c r="J733" s="44"/>
      <c r="K733" s="44"/>
      <c r="L733" s="44"/>
      <c r="M733" s="44"/>
      <c r="N733" s="44"/>
      <c r="O733" s="44"/>
    </row>
    <row r="734" spans="1:15" ht="17.25" customHeight="1">
      <c r="A734" s="44"/>
      <c r="B734" s="44"/>
      <c r="C734" s="44"/>
      <c r="D734" s="44"/>
      <c r="E734" s="44"/>
      <c r="F734" s="44"/>
      <c r="G734" s="44"/>
      <c r="H734" s="44"/>
      <c r="I734" s="44"/>
      <c r="J734" s="44"/>
      <c r="K734" s="44"/>
      <c r="L734" s="44"/>
      <c r="M734" s="44"/>
      <c r="N734" s="44"/>
      <c r="O734" s="44"/>
    </row>
    <row r="735" spans="1:15" ht="17.25" customHeight="1">
      <c r="A735" s="44"/>
      <c r="B735" s="44"/>
      <c r="C735" s="44"/>
      <c r="D735" s="44"/>
      <c r="E735" s="44"/>
      <c r="F735" s="44"/>
      <c r="G735" s="44"/>
      <c r="H735" s="44"/>
      <c r="I735" s="44"/>
      <c r="J735" s="44"/>
      <c r="K735" s="44"/>
      <c r="L735" s="44"/>
      <c r="M735" s="44"/>
      <c r="N735" s="44"/>
      <c r="O735" s="44"/>
    </row>
    <row r="736" spans="1:15" ht="17.25" customHeight="1">
      <c r="A736" s="44"/>
      <c r="B736" s="44"/>
      <c r="C736" s="44"/>
      <c r="D736" s="44"/>
      <c r="E736" s="44"/>
      <c r="F736" s="44"/>
      <c r="G736" s="44"/>
      <c r="H736" s="44"/>
      <c r="I736" s="44"/>
      <c r="J736" s="44"/>
      <c r="K736" s="44"/>
      <c r="L736" s="44"/>
      <c r="M736" s="44"/>
      <c r="N736" s="44"/>
      <c r="O736" s="44"/>
    </row>
    <row r="737" spans="1:15" ht="17.25" customHeight="1">
      <c r="A737" s="44"/>
      <c r="B737" s="44"/>
      <c r="C737" s="44"/>
      <c r="D737" s="44"/>
      <c r="E737" s="44"/>
      <c r="F737" s="44"/>
      <c r="G737" s="44"/>
      <c r="H737" s="44"/>
      <c r="I737" s="44"/>
      <c r="J737" s="44"/>
      <c r="K737" s="44"/>
      <c r="L737" s="44"/>
      <c r="M737" s="44"/>
      <c r="N737" s="44"/>
      <c r="O737" s="44"/>
    </row>
    <row r="738" spans="1:15" ht="17.25" customHeight="1">
      <c r="A738" s="44"/>
      <c r="B738" s="44"/>
      <c r="C738" s="44"/>
      <c r="D738" s="44"/>
      <c r="E738" s="44"/>
      <c r="F738" s="44"/>
      <c r="G738" s="44"/>
      <c r="H738" s="44"/>
      <c r="I738" s="44"/>
      <c r="J738" s="44"/>
      <c r="K738" s="44"/>
      <c r="L738" s="44"/>
      <c r="M738" s="44"/>
      <c r="N738" s="44"/>
      <c r="O738" s="44"/>
    </row>
    <row r="739" spans="1:15" ht="17.25" customHeight="1">
      <c r="A739" s="44"/>
      <c r="B739" s="44"/>
      <c r="C739" s="44"/>
      <c r="D739" s="44"/>
      <c r="E739" s="44"/>
      <c r="F739" s="44"/>
      <c r="G739" s="44"/>
      <c r="H739" s="44"/>
      <c r="I739" s="44"/>
      <c r="J739" s="44"/>
      <c r="K739" s="44"/>
      <c r="L739" s="44"/>
      <c r="M739" s="44"/>
      <c r="N739" s="44"/>
      <c r="O739" s="44"/>
    </row>
    <row r="740" spans="1:15" ht="17.25" customHeight="1">
      <c r="A740" s="44"/>
      <c r="B740" s="44"/>
      <c r="C740" s="44"/>
      <c r="D740" s="44"/>
      <c r="E740" s="44"/>
      <c r="F740" s="44"/>
      <c r="G740" s="44"/>
      <c r="H740" s="44"/>
      <c r="I740" s="44"/>
      <c r="J740" s="44"/>
      <c r="K740" s="44"/>
      <c r="L740" s="44"/>
      <c r="M740" s="44"/>
      <c r="N740" s="44"/>
      <c r="O740" s="44"/>
    </row>
    <row r="741" spans="1:15" ht="17.25" customHeight="1">
      <c r="A741" s="44"/>
      <c r="B741" s="44"/>
      <c r="C741" s="44"/>
      <c r="D741" s="44"/>
      <c r="E741" s="44"/>
      <c r="F741" s="44"/>
      <c r="G741" s="44"/>
      <c r="H741" s="44"/>
      <c r="I741" s="44"/>
      <c r="J741" s="44"/>
      <c r="K741" s="44"/>
      <c r="L741" s="44"/>
      <c r="M741" s="44"/>
      <c r="N741" s="44"/>
      <c r="O741" s="44"/>
    </row>
    <row r="742" spans="1:15" ht="17.25" customHeight="1">
      <c r="A742" s="44"/>
      <c r="B742" s="44"/>
      <c r="C742" s="44"/>
      <c r="D742" s="44"/>
      <c r="E742" s="44"/>
      <c r="F742" s="44"/>
      <c r="G742" s="44"/>
      <c r="H742" s="44"/>
      <c r="I742" s="44"/>
      <c r="J742" s="44"/>
      <c r="K742" s="44"/>
      <c r="L742" s="44"/>
      <c r="M742" s="44"/>
      <c r="N742" s="44"/>
      <c r="O742" s="44"/>
    </row>
    <row r="743" spans="1:15" ht="17.25" customHeight="1">
      <c r="A743" s="44"/>
      <c r="B743" s="44"/>
      <c r="C743" s="44"/>
      <c r="D743" s="44"/>
      <c r="E743" s="44"/>
      <c r="F743" s="44"/>
      <c r="G743" s="44"/>
      <c r="H743" s="44"/>
      <c r="I743" s="44"/>
      <c r="J743" s="44"/>
      <c r="K743" s="44"/>
      <c r="L743" s="44"/>
      <c r="M743" s="44"/>
      <c r="N743" s="44"/>
      <c r="O743" s="44"/>
    </row>
    <row r="744" spans="1:15" ht="17.25" customHeight="1">
      <c r="A744" s="44"/>
      <c r="B744" s="44"/>
      <c r="C744" s="44"/>
      <c r="D744" s="44"/>
      <c r="E744" s="44"/>
      <c r="F744" s="44"/>
      <c r="G744" s="44"/>
      <c r="H744" s="44"/>
      <c r="I744" s="44"/>
      <c r="J744" s="44"/>
      <c r="K744" s="44"/>
      <c r="L744" s="44"/>
      <c r="M744" s="44"/>
      <c r="N744" s="44"/>
      <c r="O744" s="44"/>
    </row>
    <row r="745" spans="1:15" ht="17.25" customHeight="1">
      <c r="A745" s="44"/>
      <c r="B745" s="44"/>
      <c r="C745" s="44"/>
      <c r="D745" s="44"/>
      <c r="E745" s="44"/>
      <c r="F745" s="44"/>
      <c r="G745" s="44"/>
      <c r="H745" s="44"/>
      <c r="I745" s="44"/>
      <c r="J745" s="44"/>
      <c r="K745" s="44"/>
      <c r="L745" s="44"/>
      <c r="M745" s="44"/>
      <c r="N745" s="44"/>
      <c r="O745" s="44"/>
    </row>
    <row r="746" spans="1:15" ht="17.25" customHeight="1">
      <c r="A746" s="44"/>
      <c r="B746" s="44"/>
      <c r="C746" s="44"/>
      <c r="D746" s="44"/>
      <c r="E746" s="44"/>
      <c r="F746" s="44"/>
      <c r="G746" s="44"/>
      <c r="H746" s="44"/>
      <c r="I746" s="44"/>
      <c r="J746" s="44"/>
      <c r="K746" s="44"/>
      <c r="L746" s="44"/>
      <c r="M746" s="44"/>
      <c r="N746" s="44"/>
      <c r="O746" s="44"/>
    </row>
    <row r="747" spans="1:15" ht="17.25" customHeight="1">
      <c r="A747" s="44"/>
      <c r="B747" s="44"/>
      <c r="C747" s="44"/>
      <c r="D747" s="44"/>
      <c r="E747" s="44"/>
      <c r="F747" s="44"/>
      <c r="G747" s="44"/>
      <c r="H747" s="44"/>
      <c r="I747" s="44"/>
      <c r="J747" s="44"/>
      <c r="K747" s="44"/>
      <c r="L747" s="44"/>
      <c r="M747" s="44"/>
      <c r="N747" s="44"/>
      <c r="O747" s="44"/>
    </row>
    <row r="748" spans="1:15" ht="17.25" customHeight="1">
      <c r="A748" s="44"/>
      <c r="B748" s="44"/>
      <c r="C748" s="44"/>
      <c r="D748" s="44"/>
      <c r="E748" s="44"/>
      <c r="F748" s="44"/>
      <c r="G748" s="44"/>
      <c r="H748" s="44"/>
      <c r="I748" s="44"/>
      <c r="J748" s="44"/>
      <c r="K748" s="44"/>
      <c r="L748" s="44"/>
      <c r="M748" s="44"/>
      <c r="N748" s="44"/>
      <c r="O748" s="44"/>
    </row>
    <row r="749" spans="1:15" ht="17.25" customHeight="1">
      <c r="A749" s="44"/>
      <c r="B749" s="44"/>
      <c r="C749" s="44"/>
      <c r="D749" s="44"/>
      <c r="E749" s="44"/>
      <c r="F749" s="44"/>
      <c r="G749" s="44"/>
      <c r="H749" s="44"/>
      <c r="I749" s="44"/>
      <c r="J749" s="44"/>
      <c r="K749" s="44"/>
      <c r="L749" s="44"/>
      <c r="M749" s="44"/>
      <c r="N749" s="44"/>
      <c r="O749" s="44"/>
    </row>
    <row r="750" spans="1:15" ht="17.25" customHeight="1">
      <c r="A750" s="44"/>
      <c r="B750" s="44"/>
      <c r="C750" s="44"/>
      <c r="D750" s="44"/>
      <c r="E750" s="44"/>
      <c r="F750" s="44"/>
      <c r="G750" s="44"/>
      <c r="H750" s="44"/>
      <c r="I750" s="44"/>
      <c r="J750" s="44"/>
      <c r="K750" s="44"/>
      <c r="L750" s="44"/>
      <c r="M750" s="44"/>
      <c r="N750" s="44"/>
      <c r="O750" s="44"/>
    </row>
    <row r="751" spans="1:15" ht="17.25" customHeight="1">
      <c r="A751" s="44"/>
      <c r="B751" s="44"/>
      <c r="C751" s="44"/>
      <c r="D751" s="44"/>
      <c r="E751" s="44"/>
      <c r="F751" s="44"/>
      <c r="G751" s="44"/>
      <c r="H751" s="44"/>
      <c r="I751" s="44"/>
      <c r="J751" s="44"/>
      <c r="K751" s="44"/>
      <c r="L751" s="44"/>
      <c r="M751" s="44"/>
      <c r="N751" s="44"/>
      <c r="O751" s="44"/>
    </row>
    <row r="752" spans="1:15" ht="17.25" customHeight="1">
      <c r="A752" s="44"/>
      <c r="B752" s="44"/>
      <c r="C752" s="44"/>
      <c r="D752" s="44"/>
      <c r="E752" s="44"/>
      <c r="F752" s="44"/>
      <c r="G752" s="44"/>
      <c r="H752" s="44"/>
      <c r="I752" s="44"/>
      <c r="J752" s="44"/>
      <c r="K752" s="44"/>
      <c r="L752" s="44"/>
      <c r="M752" s="44"/>
      <c r="N752" s="44"/>
      <c r="O752" s="44"/>
    </row>
    <row r="753" spans="1:15" ht="17.25" customHeight="1">
      <c r="A753" s="44"/>
      <c r="B753" s="44"/>
      <c r="C753" s="44"/>
      <c r="D753" s="44"/>
      <c r="E753" s="44"/>
      <c r="F753" s="44"/>
      <c r="G753" s="44"/>
      <c r="H753" s="44"/>
      <c r="I753" s="44"/>
      <c r="J753" s="44"/>
      <c r="K753" s="44"/>
      <c r="L753" s="44"/>
      <c r="M753" s="44"/>
      <c r="N753" s="44"/>
      <c r="O753" s="44"/>
    </row>
    <row r="754" spans="1:15" ht="17.25" customHeight="1">
      <c r="A754" s="44"/>
      <c r="B754" s="44"/>
      <c r="C754" s="44"/>
      <c r="D754" s="44"/>
      <c r="E754" s="44"/>
      <c r="F754" s="44"/>
      <c r="G754" s="44"/>
      <c r="H754" s="44"/>
      <c r="I754" s="44"/>
      <c r="J754" s="44"/>
      <c r="K754" s="44"/>
      <c r="L754" s="44"/>
      <c r="M754" s="44"/>
      <c r="N754" s="44"/>
      <c r="O754" s="44"/>
    </row>
    <row r="755" spans="1:15" ht="17.25" customHeight="1">
      <c r="A755" s="44"/>
      <c r="B755" s="44"/>
      <c r="C755" s="44"/>
      <c r="D755" s="44"/>
      <c r="E755" s="44"/>
      <c r="F755" s="44"/>
      <c r="G755" s="44"/>
      <c r="H755" s="44"/>
      <c r="I755" s="44"/>
      <c r="J755" s="44"/>
      <c r="K755" s="44"/>
      <c r="L755" s="44"/>
      <c r="M755" s="44"/>
      <c r="N755" s="44"/>
      <c r="O755" s="44"/>
    </row>
    <row r="756" spans="1:15" ht="17.25" customHeight="1">
      <c r="A756" s="44"/>
      <c r="B756" s="44"/>
      <c r="C756" s="44"/>
      <c r="D756" s="44"/>
      <c r="E756" s="44"/>
      <c r="F756" s="44"/>
      <c r="G756" s="44"/>
      <c r="H756" s="44"/>
      <c r="I756" s="44"/>
      <c r="J756" s="44"/>
      <c r="K756" s="44"/>
      <c r="L756" s="44"/>
      <c r="M756" s="44"/>
      <c r="N756" s="44"/>
      <c r="O756" s="44"/>
    </row>
    <row r="757" spans="1:15" ht="17.25" customHeight="1">
      <c r="A757" s="44"/>
      <c r="B757" s="44"/>
      <c r="C757" s="44"/>
      <c r="D757" s="44"/>
      <c r="E757" s="44"/>
      <c r="F757" s="44"/>
      <c r="G757" s="44"/>
      <c r="H757" s="44"/>
      <c r="I757" s="44"/>
      <c r="J757" s="44"/>
      <c r="K757" s="44"/>
      <c r="L757" s="44"/>
      <c r="M757" s="44"/>
      <c r="N757" s="44"/>
      <c r="O757" s="44"/>
    </row>
    <row r="758" spans="1:15" ht="17.25" customHeight="1">
      <c r="A758" s="44"/>
      <c r="B758" s="44"/>
      <c r="C758" s="44"/>
      <c r="D758" s="44"/>
      <c r="E758" s="44"/>
      <c r="F758" s="44"/>
      <c r="G758" s="44"/>
      <c r="H758" s="44"/>
      <c r="I758" s="44"/>
      <c r="J758" s="44"/>
      <c r="K758" s="44"/>
      <c r="L758" s="44"/>
      <c r="M758" s="44"/>
      <c r="N758" s="44"/>
      <c r="O758" s="44"/>
    </row>
    <row r="759" spans="1:15" ht="17.25" customHeight="1">
      <c r="A759" s="44"/>
      <c r="B759" s="44"/>
      <c r="C759" s="44"/>
      <c r="D759" s="44"/>
      <c r="E759" s="44"/>
      <c r="F759" s="44"/>
      <c r="G759" s="44"/>
      <c r="H759" s="44"/>
      <c r="I759" s="44"/>
      <c r="J759" s="44"/>
      <c r="K759" s="44"/>
      <c r="L759" s="44"/>
      <c r="M759" s="44"/>
      <c r="N759" s="44"/>
      <c r="O759" s="44"/>
    </row>
    <row r="760" spans="1:15" ht="17.25" customHeight="1">
      <c r="A760" s="44"/>
      <c r="B760" s="44"/>
      <c r="C760" s="44"/>
      <c r="D760" s="44"/>
      <c r="E760" s="44"/>
      <c r="F760" s="44"/>
      <c r="G760" s="44"/>
      <c r="H760" s="44"/>
      <c r="I760" s="44"/>
      <c r="J760" s="44"/>
      <c r="K760" s="44"/>
      <c r="L760" s="44"/>
      <c r="M760" s="44"/>
      <c r="N760" s="44"/>
      <c r="O760" s="44"/>
    </row>
    <row r="761" spans="1:15" ht="17.25" customHeight="1">
      <c r="A761" s="44"/>
      <c r="B761" s="44"/>
      <c r="C761" s="44"/>
      <c r="D761" s="44"/>
      <c r="E761" s="44"/>
      <c r="F761" s="44"/>
      <c r="G761" s="44"/>
      <c r="H761" s="44"/>
      <c r="I761" s="44"/>
      <c r="J761" s="44"/>
      <c r="K761" s="44"/>
      <c r="L761" s="44"/>
      <c r="M761" s="44"/>
      <c r="N761" s="44"/>
      <c r="O761" s="44"/>
    </row>
    <row r="762" spans="1:15" ht="17.25" customHeight="1">
      <c r="A762" s="44"/>
      <c r="B762" s="44"/>
      <c r="C762" s="44"/>
      <c r="D762" s="44"/>
      <c r="E762" s="44"/>
      <c r="F762" s="44"/>
      <c r="G762" s="44"/>
      <c r="H762" s="44"/>
      <c r="I762" s="44"/>
      <c r="J762" s="44"/>
      <c r="K762" s="44"/>
      <c r="L762" s="44"/>
      <c r="M762" s="44"/>
      <c r="N762" s="44"/>
      <c r="O762" s="44"/>
    </row>
    <row r="763" spans="1:15" ht="17.25" customHeight="1">
      <c r="A763" s="44"/>
      <c r="B763" s="44"/>
      <c r="C763" s="44"/>
      <c r="D763" s="44"/>
      <c r="E763" s="44"/>
      <c r="F763" s="44"/>
      <c r="G763" s="44"/>
      <c r="H763" s="44"/>
      <c r="I763" s="44"/>
      <c r="J763" s="44"/>
      <c r="K763" s="44"/>
      <c r="L763" s="44"/>
      <c r="M763" s="44"/>
      <c r="N763" s="44"/>
      <c r="O763" s="44"/>
    </row>
    <row r="764" spans="1:15" ht="17.25" customHeight="1">
      <c r="A764" s="44"/>
      <c r="B764" s="44"/>
      <c r="C764" s="44"/>
      <c r="D764" s="44"/>
      <c r="E764" s="44"/>
      <c r="F764" s="44"/>
      <c r="G764" s="44"/>
      <c r="H764" s="44"/>
      <c r="I764" s="44"/>
      <c r="J764" s="44"/>
      <c r="K764" s="44"/>
      <c r="L764" s="44"/>
      <c r="M764" s="44"/>
      <c r="N764" s="44"/>
      <c r="O764" s="44"/>
    </row>
    <row r="765" spans="1:15" ht="17.25" customHeight="1">
      <c r="A765" s="44"/>
      <c r="B765" s="44"/>
      <c r="C765" s="44"/>
      <c r="D765" s="44"/>
      <c r="E765" s="44"/>
      <c r="F765" s="44"/>
      <c r="G765" s="44"/>
      <c r="H765" s="44"/>
      <c r="I765" s="44"/>
      <c r="J765" s="44"/>
      <c r="K765" s="44"/>
      <c r="L765" s="44"/>
      <c r="M765" s="44"/>
      <c r="N765" s="44"/>
      <c r="O765" s="44"/>
    </row>
    <row r="766" spans="1:15" ht="17.25" customHeight="1">
      <c r="A766" s="44"/>
      <c r="B766" s="44"/>
      <c r="C766" s="44"/>
      <c r="D766" s="44"/>
      <c r="E766" s="44"/>
      <c r="F766" s="44"/>
      <c r="G766" s="44"/>
      <c r="H766" s="44"/>
      <c r="I766" s="44"/>
      <c r="J766" s="44"/>
      <c r="K766" s="44"/>
      <c r="L766" s="44"/>
      <c r="M766" s="44"/>
      <c r="N766" s="44"/>
      <c r="O766" s="44"/>
    </row>
    <row r="767" spans="1:15" ht="17.25" customHeight="1">
      <c r="A767" s="44"/>
      <c r="B767" s="44"/>
      <c r="C767" s="44"/>
      <c r="D767" s="44"/>
      <c r="E767" s="44"/>
      <c r="F767" s="44"/>
      <c r="G767" s="44"/>
      <c r="H767" s="44"/>
      <c r="I767" s="44"/>
      <c r="J767" s="44"/>
      <c r="K767" s="44"/>
      <c r="L767" s="44"/>
      <c r="M767" s="44"/>
      <c r="N767" s="44"/>
      <c r="O767" s="44"/>
    </row>
    <row r="768" spans="1:15" ht="17.25" customHeight="1">
      <c r="A768" s="44"/>
      <c r="B768" s="44"/>
      <c r="C768" s="44"/>
      <c r="D768" s="44"/>
      <c r="E768" s="44"/>
      <c r="F768" s="44"/>
      <c r="G768" s="44"/>
      <c r="H768" s="44"/>
      <c r="I768" s="44"/>
      <c r="J768" s="44"/>
      <c r="K768" s="44"/>
      <c r="L768" s="44"/>
      <c r="M768" s="44"/>
      <c r="N768" s="44"/>
      <c r="O768" s="44"/>
    </row>
    <row r="769" spans="1:15" ht="17.25" customHeight="1">
      <c r="A769" s="44"/>
      <c r="B769" s="44"/>
      <c r="C769" s="44"/>
      <c r="D769" s="44"/>
      <c r="E769" s="44"/>
      <c r="F769" s="44"/>
      <c r="G769" s="44"/>
      <c r="H769" s="44"/>
      <c r="I769" s="44"/>
      <c r="J769" s="44"/>
      <c r="K769" s="44"/>
      <c r="L769" s="44"/>
      <c r="M769" s="44"/>
      <c r="N769" s="44"/>
      <c r="O769" s="44"/>
    </row>
    <row r="770" spans="1:15" ht="17.25" customHeight="1">
      <c r="A770" s="44"/>
      <c r="B770" s="44"/>
      <c r="C770" s="44"/>
      <c r="D770" s="44"/>
      <c r="E770" s="44"/>
      <c r="F770" s="44"/>
      <c r="G770" s="44"/>
      <c r="H770" s="44"/>
      <c r="I770" s="44"/>
      <c r="J770" s="44"/>
      <c r="K770" s="44"/>
      <c r="L770" s="44"/>
      <c r="M770" s="44"/>
      <c r="N770" s="44"/>
      <c r="O770" s="44"/>
    </row>
    <row r="771" spans="1:15" ht="17.25" customHeight="1">
      <c r="A771" s="44"/>
      <c r="B771" s="44"/>
      <c r="C771" s="44"/>
      <c r="D771" s="44"/>
      <c r="E771" s="44"/>
      <c r="F771" s="44"/>
      <c r="G771" s="44"/>
      <c r="H771" s="44"/>
      <c r="I771" s="44"/>
      <c r="J771" s="44"/>
      <c r="K771" s="44"/>
      <c r="L771" s="44"/>
      <c r="M771" s="44"/>
      <c r="N771" s="44"/>
      <c r="O771" s="44"/>
    </row>
    <row r="772" spans="1:15" ht="17.25" customHeight="1">
      <c r="A772" s="44"/>
      <c r="B772" s="44"/>
      <c r="C772" s="44"/>
      <c r="D772" s="44"/>
      <c r="E772" s="44"/>
      <c r="F772" s="44"/>
      <c r="G772" s="44"/>
      <c r="H772" s="44"/>
      <c r="I772" s="44"/>
      <c r="J772" s="44"/>
      <c r="K772" s="44"/>
      <c r="L772" s="44"/>
      <c r="M772" s="44"/>
      <c r="N772" s="44"/>
      <c r="O772" s="44"/>
    </row>
    <row r="773" spans="1:15" ht="17.25" customHeight="1">
      <c r="A773" s="44"/>
      <c r="B773" s="44"/>
      <c r="C773" s="44"/>
      <c r="D773" s="44"/>
      <c r="E773" s="44"/>
      <c r="F773" s="44"/>
      <c r="G773" s="44"/>
      <c r="H773" s="44"/>
      <c r="I773" s="44"/>
      <c r="J773" s="44"/>
      <c r="K773" s="44"/>
      <c r="L773" s="44"/>
      <c r="M773" s="44"/>
      <c r="N773" s="44"/>
      <c r="O773" s="44"/>
    </row>
    <row r="774" spans="1:15" ht="17.25" customHeight="1">
      <c r="A774" s="44"/>
      <c r="B774" s="44"/>
      <c r="C774" s="44"/>
      <c r="D774" s="44"/>
      <c r="E774" s="44"/>
      <c r="F774" s="44"/>
      <c r="G774" s="44"/>
      <c r="H774" s="44"/>
      <c r="I774" s="44"/>
      <c r="J774" s="44"/>
      <c r="K774" s="44"/>
      <c r="L774" s="44"/>
      <c r="M774" s="44"/>
      <c r="N774" s="44"/>
      <c r="O774" s="44"/>
    </row>
    <row r="775" spans="1:15" ht="17.25" customHeight="1">
      <c r="A775" s="44"/>
      <c r="B775" s="44"/>
      <c r="C775" s="44"/>
      <c r="D775" s="44"/>
      <c r="E775" s="44"/>
      <c r="F775" s="44"/>
      <c r="G775" s="44"/>
      <c r="H775" s="44"/>
      <c r="I775" s="44"/>
      <c r="J775" s="44"/>
      <c r="K775" s="44"/>
      <c r="L775" s="44"/>
      <c r="M775" s="44"/>
      <c r="N775" s="44"/>
      <c r="O775" s="44"/>
    </row>
    <row r="776" spans="1:15" ht="17.25" customHeight="1">
      <c r="A776" s="44"/>
      <c r="B776" s="44"/>
      <c r="C776" s="44"/>
      <c r="D776" s="44"/>
      <c r="E776" s="44"/>
      <c r="F776" s="44"/>
      <c r="G776" s="44"/>
      <c r="H776" s="44"/>
      <c r="I776" s="44"/>
      <c r="J776" s="44"/>
      <c r="K776" s="44"/>
      <c r="L776" s="44"/>
      <c r="M776" s="44"/>
      <c r="N776" s="44"/>
      <c r="O776" s="44"/>
    </row>
    <row r="777" spans="1:15" ht="17.25" customHeight="1">
      <c r="A777" s="44"/>
      <c r="B777" s="44"/>
      <c r="C777" s="44"/>
      <c r="D777" s="44"/>
      <c r="E777" s="44"/>
      <c r="F777" s="44"/>
      <c r="G777" s="44"/>
      <c r="H777" s="44"/>
      <c r="I777" s="44"/>
      <c r="J777" s="44"/>
      <c r="K777" s="44"/>
      <c r="L777" s="44"/>
      <c r="M777" s="44"/>
      <c r="N777" s="44"/>
      <c r="O777" s="44"/>
    </row>
    <row r="778" spans="1:15" ht="17.25" customHeight="1">
      <c r="A778" s="44"/>
      <c r="B778" s="44"/>
      <c r="C778" s="44"/>
      <c r="D778" s="44"/>
      <c r="E778" s="44"/>
      <c r="F778" s="44"/>
      <c r="G778" s="44"/>
      <c r="H778" s="44"/>
      <c r="I778" s="44"/>
      <c r="J778" s="44"/>
      <c r="K778" s="44"/>
      <c r="L778" s="44"/>
      <c r="M778" s="44"/>
      <c r="N778" s="44"/>
      <c r="O778" s="44"/>
    </row>
    <row r="779" spans="1:15" ht="17.25" customHeight="1">
      <c r="A779" s="44"/>
      <c r="B779" s="44"/>
      <c r="C779" s="44"/>
      <c r="D779" s="44"/>
      <c r="E779" s="44"/>
      <c r="F779" s="44"/>
      <c r="G779" s="44"/>
      <c r="H779" s="44"/>
      <c r="I779" s="44"/>
      <c r="J779" s="44"/>
      <c r="K779" s="44"/>
      <c r="L779" s="44"/>
      <c r="M779" s="44"/>
      <c r="N779" s="44"/>
      <c r="O779" s="44"/>
    </row>
    <row r="780" spans="1:15" ht="17.25" customHeight="1">
      <c r="A780" s="44"/>
      <c r="B780" s="44"/>
      <c r="C780" s="44"/>
      <c r="D780" s="44"/>
      <c r="E780" s="44"/>
      <c r="F780" s="44"/>
      <c r="G780" s="44"/>
      <c r="H780" s="44"/>
      <c r="I780" s="44"/>
      <c r="J780" s="44"/>
      <c r="K780" s="44"/>
      <c r="L780" s="44"/>
      <c r="M780" s="44"/>
      <c r="N780" s="44"/>
      <c r="O780" s="44"/>
    </row>
    <row r="781" spans="1:15" ht="17.25" customHeight="1">
      <c r="A781" s="44"/>
      <c r="B781" s="44"/>
      <c r="C781" s="44"/>
      <c r="D781" s="44"/>
      <c r="E781" s="44"/>
      <c r="F781" s="44"/>
      <c r="G781" s="44"/>
      <c r="H781" s="44"/>
      <c r="I781" s="44"/>
      <c r="J781" s="44"/>
      <c r="K781" s="44"/>
      <c r="L781" s="44"/>
      <c r="M781" s="44"/>
      <c r="N781" s="44"/>
      <c r="O781" s="44"/>
    </row>
    <row r="782" spans="1:15" ht="17.25" customHeight="1">
      <c r="A782" s="44"/>
      <c r="B782" s="44"/>
      <c r="C782" s="44"/>
      <c r="D782" s="44"/>
      <c r="E782" s="44"/>
      <c r="F782" s="44"/>
      <c r="G782" s="44"/>
      <c r="H782" s="44"/>
      <c r="I782" s="44"/>
      <c r="J782" s="44"/>
      <c r="K782" s="44"/>
      <c r="L782" s="44"/>
      <c r="M782" s="44"/>
      <c r="N782" s="44"/>
      <c r="O782" s="44"/>
    </row>
    <row r="783" spans="1:15" ht="17.25" customHeight="1">
      <c r="A783" s="44"/>
      <c r="B783" s="44"/>
      <c r="C783" s="44"/>
      <c r="D783" s="44"/>
      <c r="E783" s="44"/>
      <c r="F783" s="44"/>
      <c r="G783" s="44"/>
      <c r="H783" s="44"/>
      <c r="I783" s="44"/>
      <c r="J783" s="44"/>
      <c r="K783" s="44"/>
      <c r="L783" s="44"/>
      <c r="M783" s="44"/>
      <c r="N783" s="44"/>
      <c r="O783" s="44"/>
    </row>
    <row r="784" spans="1:15" ht="17.25" customHeight="1">
      <c r="A784" s="44"/>
      <c r="B784" s="44"/>
      <c r="C784" s="44"/>
      <c r="D784" s="44"/>
      <c r="E784" s="44"/>
      <c r="F784" s="44"/>
      <c r="G784" s="44"/>
      <c r="H784" s="44"/>
      <c r="I784" s="44"/>
      <c r="J784" s="44"/>
      <c r="K784" s="44"/>
      <c r="L784" s="44"/>
      <c r="M784" s="44"/>
      <c r="N784" s="44"/>
      <c r="O784" s="44"/>
    </row>
    <row r="785" spans="1:15" ht="17.25" customHeight="1">
      <c r="A785" s="44"/>
      <c r="B785" s="44"/>
      <c r="C785" s="44"/>
      <c r="D785" s="44"/>
      <c r="E785" s="44"/>
      <c r="F785" s="44"/>
      <c r="G785" s="44"/>
      <c r="H785" s="44"/>
      <c r="I785" s="44"/>
      <c r="J785" s="44"/>
      <c r="K785" s="44"/>
      <c r="L785" s="44"/>
      <c r="M785" s="44"/>
      <c r="N785" s="44"/>
      <c r="O785" s="44"/>
    </row>
    <row r="786" spans="1:15" ht="17.25" customHeight="1">
      <c r="A786" s="44"/>
      <c r="B786" s="44"/>
      <c r="C786" s="44"/>
      <c r="D786" s="44"/>
      <c r="E786" s="44"/>
      <c r="F786" s="44"/>
      <c r="G786" s="44"/>
      <c r="H786" s="44"/>
      <c r="I786" s="44"/>
      <c r="J786" s="44"/>
      <c r="K786" s="44"/>
      <c r="L786" s="44"/>
      <c r="M786" s="44"/>
      <c r="N786" s="44"/>
      <c r="O786" s="44"/>
    </row>
    <row r="787" spans="1:15" ht="17.25" customHeight="1">
      <c r="A787" s="44"/>
      <c r="B787" s="44"/>
      <c r="C787" s="44"/>
      <c r="D787" s="44"/>
      <c r="E787" s="44"/>
      <c r="F787" s="44"/>
      <c r="G787" s="44"/>
      <c r="H787" s="44"/>
      <c r="I787" s="44"/>
      <c r="J787" s="44"/>
      <c r="K787" s="44"/>
      <c r="L787" s="44"/>
      <c r="M787" s="44"/>
      <c r="N787" s="44"/>
      <c r="O787" s="44"/>
    </row>
    <row r="788" spans="1:15" ht="17.25" customHeight="1">
      <c r="A788" s="44"/>
      <c r="B788" s="44"/>
      <c r="C788" s="44"/>
      <c r="D788" s="44"/>
      <c r="E788" s="44"/>
      <c r="F788" s="44"/>
      <c r="G788" s="44"/>
      <c r="H788" s="44"/>
      <c r="I788" s="44"/>
      <c r="J788" s="44"/>
      <c r="K788" s="44"/>
      <c r="L788" s="44"/>
      <c r="M788" s="44"/>
      <c r="N788" s="44"/>
      <c r="O788" s="44"/>
    </row>
    <row r="789" spans="1:15" ht="17.25" customHeight="1">
      <c r="A789" s="44"/>
      <c r="B789" s="44"/>
      <c r="C789" s="44"/>
      <c r="D789" s="44"/>
      <c r="E789" s="44"/>
      <c r="F789" s="44"/>
      <c r="G789" s="44"/>
      <c r="H789" s="44"/>
      <c r="I789" s="44"/>
      <c r="J789" s="44"/>
      <c r="K789" s="44"/>
      <c r="L789" s="44"/>
      <c r="M789" s="44"/>
      <c r="N789" s="44"/>
      <c r="O789" s="44"/>
    </row>
    <row r="790" spans="1:15" ht="17.25" customHeight="1">
      <c r="A790" s="44"/>
      <c r="B790" s="44"/>
      <c r="C790" s="44"/>
      <c r="D790" s="44"/>
      <c r="E790" s="44"/>
      <c r="F790" s="44"/>
      <c r="G790" s="44"/>
      <c r="H790" s="44"/>
      <c r="I790" s="44"/>
      <c r="J790" s="44"/>
      <c r="K790" s="44"/>
      <c r="L790" s="44"/>
      <c r="M790" s="44"/>
      <c r="N790" s="44"/>
      <c r="O790" s="44"/>
    </row>
    <row r="791" spans="1:15" ht="17.25" customHeight="1">
      <c r="A791" s="44"/>
      <c r="B791" s="44"/>
      <c r="C791" s="44"/>
      <c r="D791" s="44"/>
      <c r="E791" s="44"/>
      <c r="F791" s="44"/>
      <c r="G791" s="44"/>
      <c r="H791" s="44"/>
      <c r="I791" s="44"/>
      <c r="J791" s="44"/>
      <c r="K791" s="44"/>
      <c r="L791" s="44"/>
      <c r="M791" s="44"/>
      <c r="N791" s="44"/>
      <c r="O791" s="44"/>
    </row>
    <row r="792" spans="1:15" ht="17.25" customHeight="1">
      <c r="A792" s="44"/>
      <c r="B792" s="44"/>
      <c r="C792" s="44"/>
      <c r="D792" s="44"/>
      <c r="E792" s="44"/>
      <c r="F792" s="44"/>
      <c r="G792" s="44"/>
      <c r="H792" s="44"/>
      <c r="I792" s="44"/>
      <c r="J792" s="44"/>
      <c r="K792" s="44"/>
      <c r="L792" s="44"/>
      <c r="M792" s="44"/>
      <c r="N792" s="44"/>
      <c r="O792" s="44"/>
    </row>
    <row r="793" spans="1:15" ht="17.25" customHeight="1">
      <c r="A793" s="44"/>
      <c r="B793" s="44"/>
      <c r="C793" s="44"/>
      <c r="D793" s="44"/>
      <c r="E793" s="44"/>
      <c r="F793" s="44"/>
      <c r="G793" s="44"/>
      <c r="H793" s="44"/>
      <c r="I793" s="44"/>
      <c r="J793" s="44"/>
      <c r="K793" s="44"/>
      <c r="L793" s="44"/>
      <c r="M793" s="44"/>
      <c r="N793" s="44"/>
      <c r="O793" s="44"/>
    </row>
    <row r="794" spans="1:15" ht="17.25" customHeight="1">
      <c r="A794" s="44"/>
      <c r="B794" s="44"/>
      <c r="C794" s="44"/>
      <c r="D794" s="44"/>
      <c r="E794" s="44"/>
      <c r="F794" s="44"/>
      <c r="G794" s="44"/>
      <c r="H794" s="44"/>
      <c r="I794" s="44"/>
      <c r="J794" s="44"/>
      <c r="K794" s="44"/>
      <c r="L794" s="44"/>
      <c r="M794" s="44"/>
      <c r="N794" s="44"/>
      <c r="O794" s="44"/>
    </row>
    <row r="795" spans="1:15" ht="17.25" customHeight="1">
      <c r="A795" s="44"/>
      <c r="B795" s="44"/>
      <c r="C795" s="44"/>
      <c r="D795" s="44"/>
      <c r="E795" s="44"/>
      <c r="F795" s="44"/>
      <c r="G795" s="44"/>
      <c r="H795" s="44"/>
      <c r="I795" s="44"/>
      <c r="J795" s="44"/>
      <c r="K795" s="44"/>
      <c r="L795" s="44"/>
      <c r="M795" s="44"/>
      <c r="N795" s="44"/>
      <c r="O795" s="44"/>
    </row>
    <row r="796" spans="1:15" ht="17.25" customHeight="1">
      <c r="A796" s="44"/>
      <c r="B796" s="44"/>
      <c r="C796" s="44"/>
      <c r="D796" s="44"/>
      <c r="E796" s="44"/>
      <c r="F796" s="44"/>
      <c r="G796" s="44"/>
      <c r="H796" s="44"/>
      <c r="I796" s="44"/>
      <c r="J796" s="44"/>
      <c r="K796" s="44"/>
      <c r="L796" s="44"/>
      <c r="M796" s="44"/>
      <c r="N796" s="44"/>
      <c r="O796" s="44"/>
    </row>
    <row r="797" spans="1:15" ht="17.25" customHeight="1">
      <c r="A797" s="44"/>
      <c r="B797" s="44"/>
      <c r="C797" s="44"/>
      <c r="D797" s="44"/>
      <c r="E797" s="44"/>
      <c r="F797" s="44"/>
      <c r="G797" s="44"/>
      <c r="H797" s="44"/>
      <c r="I797" s="44"/>
      <c r="J797" s="44"/>
      <c r="K797" s="44"/>
      <c r="L797" s="44"/>
      <c r="M797" s="44"/>
      <c r="N797" s="44"/>
      <c r="O797" s="44"/>
    </row>
    <row r="798" spans="1:15" ht="17.25" customHeight="1">
      <c r="A798" s="44"/>
      <c r="B798" s="44"/>
      <c r="C798" s="44"/>
      <c r="D798" s="44"/>
      <c r="E798" s="44"/>
      <c r="F798" s="44"/>
      <c r="G798" s="44"/>
      <c r="H798" s="44"/>
      <c r="I798" s="44"/>
      <c r="J798" s="44"/>
      <c r="K798" s="44"/>
      <c r="L798" s="44"/>
      <c r="M798" s="44"/>
      <c r="N798" s="44"/>
      <c r="O798" s="44"/>
    </row>
    <row r="799" spans="1:15" ht="17.25" customHeight="1">
      <c r="A799" s="44"/>
      <c r="B799" s="44"/>
      <c r="C799" s="44"/>
      <c r="D799" s="44"/>
      <c r="E799" s="44"/>
      <c r="F799" s="44"/>
      <c r="G799" s="44"/>
      <c r="H799" s="44"/>
      <c r="I799" s="44"/>
      <c r="J799" s="44"/>
      <c r="K799" s="44"/>
      <c r="L799" s="44"/>
      <c r="M799" s="44"/>
      <c r="N799" s="44"/>
      <c r="O799" s="44"/>
    </row>
    <row r="800" spans="1:15" ht="17.25" customHeight="1">
      <c r="A800" s="44"/>
      <c r="B800" s="44"/>
      <c r="C800" s="44"/>
      <c r="D800" s="44"/>
      <c r="E800" s="44"/>
      <c r="F800" s="44"/>
      <c r="G800" s="44"/>
      <c r="H800" s="44"/>
      <c r="I800" s="44"/>
      <c r="J800" s="44"/>
      <c r="K800" s="44"/>
      <c r="L800" s="44"/>
      <c r="M800" s="44"/>
      <c r="N800" s="44"/>
      <c r="O800" s="44"/>
    </row>
    <row r="801" spans="1:15" ht="17.25" customHeight="1">
      <c r="A801" s="44"/>
      <c r="B801" s="44"/>
      <c r="C801" s="44"/>
      <c r="D801" s="44"/>
      <c r="E801" s="44"/>
      <c r="F801" s="44"/>
      <c r="G801" s="44"/>
      <c r="H801" s="44"/>
      <c r="I801" s="44"/>
      <c r="J801" s="44"/>
      <c r="K801" s="44"/>
      <c r="L801" s="44"/>
      <c r="M801" s="44"/>
      <c r="N801" s="44"/>
      <c r="O801" s="44"/>
    </row>
    <row r="802" spans="1:15" ht="17.25" customHeight="1">
      <c r="A802" s="44"/>
      <c r="B802" s="44"/>
      <c r="C802" s="44"/>
      <c r="D802" s="44"/>
      <c r="E802" s="44"/>
      <c r="F802" s="44"/>
      <c r="G802" s="44"/>
      <c r="H802" s="44"/>
      <c r="I802" s="44"/>
      <c r="J802" s="44"/>
      <c r="K802" s="44"/>
      <c r="L802" s="44"/>
      <c r="M802" s="44"/>
      <c r="N802" s="44"/>
      <c r="O802" s="44"/>
    </row>
    <row r="803" spans="1:15" ht="17.25" customHeight="1">
      <c r="A803" s="44"/>
      <c r="B803" s="44"/>
      <c r="C803" s="44"/>
      <c r="D803" s="44"/>
      <c r="E803" s="44"/>
      <c r="F803" s="44"/>
      <c r="G803" s="44"/>
      <c r="H803" s="44"/>
      <c r="I803" s="44"/>
      <c r="J803" s="44"/>
      <c r="K803" s="44"/>
      <c r="L803" s="44"/>
      <c r="M803" s="44"/>
      <c r="N803" s="44"/>
      <c r="O803" s="44"/>
    </row>
    <row r="804" spans="1:15" ht="17.25" customHeight="1">
      <c r="A804" s="44"/>
      <c r="B804" s="44"/>
      <c r="C804" s="44"/>
      <c r="D804" s="44"/>
      <c r="E804" s="44"/>
      <c r="F804" s="44"/>
      <c r="G804" s="44"/>
      <c r="H804" s="44"/>
      <c r="I804" s="44"/>
      <c r="J804" s="44"/>
      <c r="K804" s="44"/>
      <c r="L804" s="44"/>
      <c r="M804" s="44"/>
      <c r="N804" s="44"/>
      <c r="O804" s="44"/>
    </row>
    <row r="805" spans="1:15" ht="17.25" customHeight="1">
      <c r="A805" s="44"/>
      <c r="B805" s="44"/>
      <c r="C805" s="44"/>
      <c r="D805" s="44"/>
      <c r="E805" s="44"/>
      <c r="F805" s="44"/>
      <c r="G805" s="44"/>
      <c r="H805" s="44"/>
      <c r="I805" s="44"/>
      <c r="J805" s="44"/>
      <c r="K805" s="44"/>
      <c r="L805" s="44"/>
      <c r="M805" s="44"/>
      <c r="N805" s="44"/>
      <c r="O805" s="44"/>
    </row>
    <row r="806" spans="1:15" ht="17.25" customHeight="1">
      <c r="A806" s="44"/>
      <c r="B806" s="44"/>
      <c r="C806" s="44"/>
      <c r="D806" s="44"/>
      <c r="E806" s="44"/>
      <c r="F806" s="44"/>
      <c r="G806" s="44"/>
      <c r="H806" s="44"/>
      <c r="I806" s="44"/>
      <c r="J806" s="44"/>
      <c r="K806" s="44"/>
      <c r="L806" s="44"/>
      <c r="M806" s="44"/>
      <c r="N806" s="44"/>
      <c r="O806" s="44"/>
    </row>
    <row r="807" spans="1:15" ht="17.25" customHeight="1">
      <c r="A807" s="44"/>
      <c r="B807" s="44"/>
      <c r="C807" s="44"/>
      <c r="D807" s="44"/>
      <c r="E807" s="44"/>
      <c r="F807" s="44"/>
      <c r="G807" s="44"/>
      <c r="H807" s="44"/>
      <c r="I807" s="44"/>
      <c r="J807" s="44"/>
      <c r="K807" s="44"/>
      <c r="L807" s="44"/>
      <c r="M807" s="44"/>
      <c r="N807" s="44"/>
      <c r="O807" s="44"/>
    </row>
    <row r="808" spans="1:15" ht="17.25" customHeight="1">
      <c r="A808" s="44"/>
      <c r="B808" s="44"/>
      <c r="C808" s="44"/>
      <c r="D808" s="44"/>
      <c r="E808" s="44"/>
      <c r="F808" s="44"/>
      <c r="G808" s="44"/>
      <c r="H808" s="44"/>
      <c r="I808" s="44"/>
      <c r="J808" s="44"/>
      <c r="K808" s="44"/>
      <c r="L808" s="44"/>
      <c r="M808" s="44"/>
      <c r="N808" s="44"/>
      <c r="O808" s="44"/>
    </row>
    <row r="809" spans="1:15" ht="17.25" customHeight="1">
      <c r="A809" s="44"/>
      <c r="B809" s="44"/>
      <c r="C809" s="44"/>
      <c r="D809" s="44"/>
      <c r="E809" s="44"/>
      <c r="F809" s="44"/>
      <c r="G809" s="44"/>
      <c r="H809" s="44"/>
      <c r="I809" s="44"/>
      <c r="J809" s="44"/>
      <c r="K809" s="44"/>
      <c r="L809" s="44"/>
      <c r="M809" s="44"/>
      <c r="N809" s="44"/>
      <c r="O809" s="44"/>
    </row>
    <row r="810" spans="1:15" ht="17.25" customHeight="1">
      <c r="A810" s="44"/>
      <c r="B810" s="44"/>
      <c r="C810" s="44"/>
      <c r="D810" s="44"/>
      <c r="E810" s="44"/>
      <c r="F810" s="44"/>
      <c r="G810" s="44"/>
      <c r="H810" s="44"/>
      <c r="I810" s="44"/>
      <c r="J810" s="44"/>
      <c r="K810" s="44"/>
      <c r="L810" s="44"/>
      <c r="M810" s="44"/>
      <c r="N810" s="44"/>
      <c r="O810" s="44"/>
    </row>
    <row r="811" spans="1:15" ht="17.25" customHeight="1">
      <c r="A811" s="44"/>
      <c r="B811" s="44"/>
      <c r="C811" s="44"/>
      <c r="D811" s="44"/>
      <c r="E811" s="44"/>
      <c r="F811" s="44"/>
      <c r="G811" s="44"/>
      <c r="H811" s="44"/>
      <c r="I811" s="44"/>
      <c r="J811" s="44"/>
      <c r="K811" s="44"/>
      <c r="L811" s="44"/>
      <c r="M811" s="44"/>
      <c r="N811" s="44"/>
      <c r="O811" s="44"/>
    </row>
    <row r="812" spans="1:15" ht="17.25" customHeight="1">
      <c r="A812" s="44"/>
      <c r="B812" s="44"/>
      <c r="C812" s="44"/>
      <c r="D812" s="44"/>
      <c r="E812" s="44"/>
      <c r="F812" s="44"/>
      <c r="G812" s="44"/>
      <c r="H812" s="44"/>
      <c r="I812" s="44"/>
      <c r="J812" s="44"/>
      <c r="K812" s="44"/>
      <c r="L812" s="44"/>
      <c r="M812" s="44"/>
      <c r="N812" s="44"/>
      <c r="O812" s="44"/>
    </row>
    <row r="813" spans="1:15" ht="17.25" customHeight="1">
      <c r="A813" s="44"/>
      <c r="B813" s="44"/>
      <c r="C813" s="44"/>
      <c r="D813" s="44"/>
      <c r="E813" s="44"/>
      <c r="F813" s="44"/>
      <c r="G813" s="44"/>
      <c r="H813" s="44"/>
      <c r="I813" s="44"/>
      <c r="J813" s="44"/>
      <c r="K813" s="44"/>
      <c r="L813" s="44"/>
      <c r="M813" s="44"/>
      <c r="N813" s="44"/>
      <c r="O813" s="44"/>
    </row>
    <row r="814" spans="1:15" ht="17.25" customHeight="1">
      <c r="A814" s="44"/>
      <c r="B814" s="44"/>
      <c r="C814" s="44"/>
      <c r="D814" s="44"/>
      <c r="E814" s="44"/>
      <c r="F814" s="44"/>
      <c r="G814" s="44"/>
      <c r="H814" s="44"/>
      <c r="I814" s="44"/>
      <c r="J814" s="44"/>
      <c r="K814" s="44"/>
      <c r="L814" s="44"/>
      <c r="M814" s="44"/>
      <c r="N814" s="44"/>
      <c r="O814" s="44"/>
    </row>
    <row r="815" spans="1:15" ht="17.25" customHeight="1">
      <c r="A815" s="44"/>
      <c r="B815" s="44"/>
      <c r="C815" s="44"/>
      <c r="D815" s="44"/>
      <c r="E815" s="44"/>
      <c r="F815" s="44"/>
      <c r="G815" s="44"/>
      <c r="H815" s="44"/>
      <c r="I815" s="44"/>
      <c r="J815" s="44"/>
      <c r="K815" s="44"/>
      <c r="L815" s="44"/>
      <c r="M815" s="44"/>
      <c r="N815" s="44"/>
      <c r="O815" s="44"/>
    </row>
    <row r="816" spans="1:15" ht="17.25" customHeight="1">
      <c r="A816" s="44"/>
      <c r="B816" s="44"/>
      <c r="C816" s="44"/>
      <c r="D816" s="44"/>
      <c r="E816" s="44"/>
      <c r="F816" s="44"/>
      <c r="G816" s="44"/>
      <c r="H816" s="44"/>
      <c r="I816" s="44"/>
      <c r="J816" s="44"/>
      <c r="K816" s="44"/>
      <c r="L816" s="44"/>
      <c r="M816" s="44"/>
      <c r="N816" s="44"/>
      <c r="O816" s="44"/>
    </row>
    <row r="817" spans="1:15" ht="17.25" customHeight="1">
      <c r="A817" s="44"/>
      <c r="B817" s="44"/>
      <c r="C817" s="44"/>
      <c r="D817" s="44"/>
      <c r="E817" s="44"/>
      <c r="F817" s="44"/>
      <c r="G817" s="44"/>
      <c r="H817" s="44"/>
      <c r="I817" s="44"/>
      <c r="J817" s="44"/>
      <c r="K817" s="44"/>
      <c r="L817" s="44"/>
      <c r="M817" s="44"/>
      <c r="N817" s="44"/>
      <c r="O817" s="44"/>
    </row>
    <row r="818" spans="1:15" ht="17.25" customHeight="1">
      <c r="A818" s="44"/>
      <c r="B818" s="44"/>
      <c r="C818" s="44"/>
      <c r="D818" s="44"/>
      <c r="E818" s="44"/>
      <c r="F818" s="44"/>
      <c r="G818" s="44"/>
      <c r="H818" s="44"/>
      <c r="I818" s="44"/>
      <c r="J818" s="44"/>
      <c r="K818" s="44"/>
      <c r="L818" s="44"/>
      <c r="M818" s="44"/>
      <c r="N818" s="44"/>
      <c r="O818" s="44"/>
    </row>
    <row r="819" spans="1:15" ht="17.25" customHeight="1">
      <c r="A819" s="44"/>
      <c r="B819" s="44"/>
      <c r="C819" s="44"/>
      <c r="D819" s="44"/>
      <c r="E819" s="44"/>
      <c r="F819" s="44"/>
      <c r="G819" s="44"/>
      <c r="H819" s="44"/>
      <c r="I819" s="44"/>
      <c r="J819" s="44"/>
      <c r="K819" s="44"/>
      <c r="L819" s="44"/>
      <c r="M819" s="44"/>
      <c r="N819" s="44"/>
      <c r="O819" s="44"/>
    </row>
    <row r="820" spans="1:15" ht="17.25" customHeight="1">
      <c r="A820" s="44"/>
      <c r="B820" s="44"/>
      <c r="C820" s="44"/>
      <c r="D820" s="44"/>
      <c r="E820" s="44"/>
      <c r="F820" s="44"/>
      <c r="G820" s="44"/>
      <c r="H820" s="44"/>
      <c r="I820" s="44"/>
      <c r="J820" s="44"/>
      <c r="K820" s="44"/>
      <c r="L820" s="44"/>
      <c r="M820" s="44"/>
      <c r="N820" s="44"/>
      <c r="O820" s="44"/>
    </row>
    <row r="821" spans="1:15" ht="17.25" customHeight="1">
      <c r="A821" s="44"/>
      <c r="B821" s="44"/>
      <c r="C821" s="44"/>
      <c r="D821" s="44"/>
      <c r="E821" s="44"/>
      <c r="F821" s="44"/>
      <c r="G821" s="44"/>
      <c r="H821" s="44"/>
      <c r="I821" s="44"/>
      <c r="J821" s="44"/>
      <c r="K821" s="44"/>
      <c r="L821" s="44"/>
      <c r="M821" s="44"/>
      <c r="N821" s="44"/>
      <c r="O821" s="44"/>
    </row>
    <row r="822" spans="1:15" ht="17.25" customHeight="1">
      <c r="A822" s="44"/>
      <c r="B822" s="44"/>
      <c r="C822" s="44"/>
      <c r="D822" s="44"/>
      <c r="E822" s="44"/>
      <c r="F822" s="44"/>
      <c r="G822" s="44"/>
      <c r="H822" s="44"/>
      <c r="I822" s="44"/>
      <c r="J822" s="44"/>
      <c r="K822" s="44"/>
      <c r="L822" s="44"/>
      <c r="M822" s="44"/>
      <c r="N822" s="44"/>
      <c r="O822" s="44"/>
    </row>
    <row r="823" spans="1:15" ht="17.25" customHeight="1">
      <c r="A823" s="44"/>
      <c r="B823" s="44"/>
      <c r="C823" s="44"/>
      <c r="D823" s="44"/>
      <c r="E823" s="44"/>
      <c r="F823" s="44"/>
      <c r="G823" s="44"/>
      <c r="H823" s="44"/>
      <c r="I823" s="44"/>
      <c r="J823" s="44"/>
      <c r="K823" s="44"/>
      <c r="L823" s="44"/>
      <c r="M823" s="44"/>
      <c r="N823" s="44"/>
      <c r="O823" s="44"/>
    </row>
    <row r="824" spans="1:15" ht="17.25" customHeight="1">
      <c r="A824" s="44"/>
      <c r="B824" s="44"/>
      <c r="C824" s="44"/>
      <c r="D824" s="44"/>
      <c r="E824" s="44"/>
      <c r="F824" s="44"/>
      <c r="G824" s="44"/>
      <c r="H824" s="44"/>
      <c r="I824" s="44"/>
      <c r="J824" s="44"/>
      <c r="K824" s="44"/>
      <c r="L824" s="44"/>
      <c r="M824" s="44"/>
      <c r="N824" s="44"/>
      <c r="O824" s="44"/>
    </row>
    <row r="825" spans="1:15" ht="17.25" customHeight="1">
      <c r="A825" s="44"/>
      <c r="B825" s="44"/>
      <c r="C825" s="44"/>
      <c r="D825" s="44"/>
      <c r="E825" s="44"/>
      <c r="F825" s="44"/>
      <c r="G825" s="44"/>
      <c r="H825" s="44"/>
      <c r="I825" s="44"/>
      <c r="J825" s="44"/>
      <c r="K825" s="44"/>
      <c r="L825" s="44"/>
      <c r="M825" s="44"/>
      <c r="N825" s="44"/>
      <c r="O825" s="44"/>
    </row>
    <row r="826" spans="1:15" ht="17.25" customHeight="1">
      <c r="A826" s="44"/>
      <c r="B826" s="44"/>
      <c r="C826" s="44"/>
      <c r="D826" s="44"/>
      <c r="E826" s="44"/>
      <c r="F826" s="44"/>
      <c r="G826" s="44"/>
      <c r="H826" s="44"/>
      <c r="I826" s="44"/>
      <c r="J826" s="44"/>
      <c r="K826" s="44"/>
      <c r="L826" s="44"/>
      <c r="M826" s="44"/>
      <c r="N826" s="44"/>
      <c r="O826" s="44"/>
    </row>
    <row r="827" spans="1:15" ht="17.25" customHeight="1">
      <c r="A827" s="44"/>
      <c r="B827" s="44"/>
      <c r="C827" s="44"/>
      <c r="D827" s="44"/>
      <c r="E827" s="44"/>
      <c r="F827" s="44"/>
      <c r="G827" s="44"/>
      <c r="H827" s="44"/>
      <c r="I827" s="44"/>
      <c r="J827" s="44"/>
      <c r="K827" s="44"/>
      <c r="L827" s="44"/>
      <c r="M827" s="44"/>
      <c r="N827" s="44"/>
      <c r="O827" s="44"/>
    </row>
    <row r="828" spans="1:15" ht="17.25" customHeight="1">
      <c r="A828" s="44"/>
      <c r="B828" s="44"/>
      <c r="C828" s="44"/>
      <c r="D828" s="44"/>
      <c r="E828" s="44"/>
      <c r="F828" s="44"/>
      <c r="G828" s="44"/>
      <c r="H828" s="44"/>
      <c r="I828" s="44"/>
      <c r="J828" s="44"/>
      <c r="K828" s="44"/>
      <c r="L828" s="44"/>
      <c r="M828" s="44"/>
      <c r="N828" s="44"/>
      <c r="O828" s="44"/>
    </row>
    <row r="829" spans="1:15" ht="17.25" customHeight="1">
      <c r="A829" s="44"/>
      <c r="B829" s="44"/>
      <c r="C829" s="44"/>
      <c r="D829" s="44"/>
      <c r="E829" s="44"/>
      <c r="F829" s="44"/>
      <c r="G829" s="44"/>
      <c r="H829" s="44"/>
      <c r="I829" s="44"/>
      <c r="J829" s="44"/>
      <c r="K829" s="44"/>
      <c r="L829" s="44"/>
      <c r="M829" s="44"/>
      <c r="N829" s="44"/>
      <c r="O829" s="44"/>
    </row>
    <row r="830" spans="1:15" ht="17.25" customHeight="1">
      <c r="A830" s="44"/>
      <c r="B830" s="44"/>
      <c r="C830" s="44"/>
      <c r="D830" s="44"/>
      <c r="E830" s="44"/>
      <c r="F830" s="44"/>
      <c r="G830" s="44"/>
      <c r="H830" s="44"/>
      <c r="I830" s="44"/>
      <c r="J830" s="44"/>
      <c r="K830" s="44"/>
      <c r="L830" s="44"/>
      <c r="M830" s="44"/>
      <c r="N830" s="44"/>
      <c r="O830" s="44"/>
    </row>
    <row r="831" spans="1:15" ht="17.25" customHeight="1">
      <c r="A831" s="44"/>
      <c r="B831" s="44"/>
      <c r="C831" s="44"/>
      <c r="D831" s="44"/>
      <c r="E831" s="44"/>
      <c r="F831" s="44"/>
      <c r="G831" s="44"/>
      <c r="H831" s="44"/>
      <c r="I831" s="44"/>
      <c r="J831" s="44"/>
      <c r="K831" s="44"/>
      <c r="L831" s="44"/>
      <c r="M831" s="44"/>
      <c r="N831" s="44"/>
      <c r="O831" s="44"/>
    </row>
    <row r="832" spans="1:15" ht="17.25" customHeight="1">
      <c r="A832" s="44"/>
      <c r="B832" s="44"/>
      <c r="C832" s="44"/>
      <c r="D832" s="44"/>
      <c r="E832" s="44"/>
      <c r="F832" s="44"/>
      <c r="G832" s="44"/>
      <c r="H832" s="44"/>
      <c r="I832" s="44"/>
      <c r="J832" s="44"/>
      <c r="K832" s="44"/>
      <c r="L832" s="44"/>
      <c r="M832" s="44"/>
      <c r="N832" s="44"/>
      <c r="O832" s="44"/>
    </row>
    <row r="833" spans="1:15" ht="17.25" customHeight="1">
      <c r="A833" s="44"/>
      <c r="B833" s="44"/>
      <c r="C833" s="44"/>
      <c r="D833" s="44"/>
      <c r="E833" s="44"/>
      <c r="F833" s="44"/>
      <c r="G833" s="44"/>
      <c r="H833" s="44"/>
      <c r="I833" s="44"/>
      <c r="J833" s="44"/>
      <c r="K833" s="44"/>
      <c r="L833" s="44"/>
      <c r="M833" s="44"/>
      <c r="N833" s="44"/>
      <c r="O833" s="44"/>
    </row>
    <row r="834" spans="1:15" ht="17.25" customHeight="1">
      <c r="A834" s="44"/>
      <c r="B834" s="44"/>
      <c r="C834" s="44"/>
      <c r="D834" s="44"/>
      <c r="E834" s="44"/>
      <c r="F834" s="44"/>
      <c r="G834" s="44"/>
      <c r="H834" s="44"/>
      <c r="I834" s="44"/>
      <c r="J834" s="44"/>
      <c r="K834" s="44"/>
      <c r="L834" s="44"/>
      <c r="M834" s="44"/>
      <c r="N834" s="44"/>
      <c r="O834" s="44"/>
    </row>
    <row r="835" spans="1:15" ht="17.25" customHeight="1">
      <c r="A835" s="44"/>
      <c r="B835" s="44"/>
      <c r="C835" s="44"/>
      <c r="D835" s="44"/>
      <c r="E835" s="44"/>
      <c r="F835" s="44"/>
      <c r="G835" s="44"/>
      <c r="H835" s="44"/>
      <c r="I835" s="44"/>
      <c r="J835" s="44"/>
      <c r="K835" s="44"/>
      <c r="L835" s="44"/>
      <c r="M835" s="44"/>
      <c r="N835" s="44"/>
      <c r="O835" s="44"/>
    </row>
    <row r="836" spans="1:15" ht="17.25" customHeight="1">
      <c r="A836" s="44"/>
      <c r="B836" s="44"/>
      <c r="C836" s="44"/>
      <c r="D836" s="44"/>
      <c r="E836" s="44"/>
      <c r="F836" s="44"/>
      <c r="G836" s="44"/>
      <c r="H836" s="44"/>
      <c r="I836" s="44"/>
      <c r="J836" s="44"/>
      <c r="K836" s="44"/>
      <c r="L836" s="44"/>
      <c r="M836" s="44"/>
      <c r="N836" s="44"/>
      <c r="O836" s="44"/>
    </row>
    <row r="837" spans="1:15" ht="17.25" customHeight="1">
      <c r="A837" s="44"/>
      <c r="B837" s="44"/>
      <c r="C837" s="44"/>
      <c r="D837" s="44"/>
      <c r="E837" s="44"/>
      <c r="F837" s="44"/>
      <c r="G837" s="44"/>
      <c r="H837" s="44"/>
      <c r="I837" s="44"/>
      <c r="J837" s="44"/>
      <c r="K837" s="44"/>
      <c r="L837" s="44"/>
      <c r="M837" s="44"/>
      <c r="N837" s="44"/>
      <c r="O837" s="44"/>
    </row>
    <row r="838" spans="1:15" ht="17.25" customHeight="1">
      <c r="A838" s="44"/>
      <c r="B838" s="44"/>
      <c r="C838" s="44"/>
      <c r="D838" s="44"/>
      <c r="E838" s="44"/>
      <c r="F838" s="44"/>
      <c r="G838" s="44"/>
      <c r="H838" s="44"/>
      <c r="I838" s="44"/>
      <c r="J838" s="44"/>
      <c r="K838" s="44"/>
      <c r="L838" s="44"/>
      <c r="M838" s="44"/>
      <c r="N838" s="44"/>
      <c r="O838" s="44"/>
    </row>
    <row r="839" spans="1:15" ht="17.25" customHeight="1">
      <c r="A839" s="44"/>
      <c r="B839" s="44"/>
      <c r="C839" s="44"/>
      <c r="D839" s="44"/>
      <c r="E839" s="44"/>
      <c r="F839" s="44"/>
      <c r="G839" s="44"/>
      <c r="H839" s="44"/>
      <c r="I839" s="44"/>
      <c r="J839" s="44"/>
      <c r="K839" s="44"/>
      <c r="L839" s="44"/>
      <c r="M839" s="44"/>
      <c r="N839" s="44"/>
      <c r="O839" s="44"/>
    </row>
    <row r="840" spans="1:15" ht="17.25" customHeight="1">
      <c r="A840" s="44"/>
      <c r="B840" s="44"/>
      <c r="C840" s="44"/>
      <c r="D840" s="44"/>
      <c r="E840" s="44"/>
      <c r="F840" s="44"/>
      <c r="G840" s="44"/>
      <c r="H840" s="44"/>
      <c r="I840" s="44"/>
      <c r="J840" s="44"/>
      <c r="K840" s="44"/>
      <c r="L840" s="44"/>
      <c r="M840" s="44"/>
      <c r="N840" s="44"/>
      <c r="O840" s="44"/>
    </row>
    <row r="841" spans="1:15" ht="17.25" customHeight="1">
      <c r="A841" s="44"/>
      <c r="B841" s="44"/>
      <c r="C841" s="44"/>
      <c r="D841" s="44"/>
      <c r="E841" s="44"/>
      <c r="F841" s="44"/>
      <c r="G841" s="44"/>
      <c r="H841" s="44"/>
      <c r="I841" s="44"/>
      <c r="J841" s="44"/>
      <c r="K841" s="44"/>
      <c r="L841" s="44"/>
      <c r="M841" s="44"/>
      <c r="N841" s="44"/>
      <c r="O841" s="44"/>
    </row>
    <row r="842" spans="1:15" ht="17.25" customHeight="1">
      <c r="A842" s="44"/>
      <c r="B842" s="44"/>
      <c r="C842" s="44"/>
      <c r="D842" s="44"/>
      <c r="E842" s="44"/>
      <c r="F842" s="44"/>
      <c r="G842" s="44"/>
      <c r="H842" s="44"/>
      <c r="I842" s="44"/>
      <c r="J842" s="44"/>
      <c r="K842" s="44"/>
      <c r="L842" s="44"/>
      <c r="M842" s="44"/>
      <c r="N842" s="44"/>
      <c r="O842" s="44"/>
    </row>
    <row r="843" spans="1:15" ht="17.25" customHeight="1">
      <c r="A843" s="44"/>
      <c r="B843" s="44"/>
      <c r="C843" s="44"/>
      <c r="D843" s="44"/>
      <c r="E843" s="44"/>
      <c r="F843" s="44"/>
      <c r="G843" s="44"/>
      <c r="H843" s="44"/>
      <c r="I843" s="44"/>
      <c r="J843" s="44"/>
      <c r="K843" s="44"/>
      <c r="L843" s="44"/>
      <c r="M843" s="44"/>
      <c r="N843" s="44"/>
      <c r="O843" s="44"/>
    </row>
    <row r="844" spans="1:15" ht="17.25" customHeight="1">
      <c r="A844" s="44"/>
      <c r="B844" s="44"/>
      <c r="C844" s="44"/>
      <c r="D844" s="44"/>
      <c r="E844" s="44"/>
      <c r="F844" s="44"/>
      <c r="G844" s="44"/>
      <c r="H844" s="44"/>
      <c r="I844" s="44"/>
      <c r="J844" s="44"/>
      <c r="K844" s="44"/>
      <c r="L844" s="44"/>
      <c r="M844" s="44"/>
      <c r="N844" s="44"/>
      <c r="O844" s="44"/>
    </row>
    <row r="845" spans="1:15" ht="17.25" customHeight="1">
      <c r="A845" s="44"/>
      <c r="B845" s="44"/>
      <c r="C845" s="44"/>
      <c r="D845" s="44"/>
      <c r="E845" s="44"/>
      <c r="F845" s="44"/>
      <c r="G845" s="44"/>
      <c r="H845" s="44"/>
      <c r="I845" s="44"/>
      <c r="J845" s="44"/>
      <c r="K845" s="44"/>
      <c r="L845" s="44"/>
      <c r="M845" s="44"/>
      <c r="N845" s="44"/>
      <c r="O845" s="44"/>
    </row>
    <row r="846" spans="1:15" ht="17.25" customHeight="1">
      <c r="A846" s="44"/>
      <c r="B846" s="44"/>
      <c r="C846" s="44"/>
      <c r="D846" s="44"/>
      <c r="E846" s="44"/>
      <c r="F846" s="44"/>
      <c r="G846" s="44"/>
      <c r="H846" s="44"/>
      <c r="I846" s="44"/>
      <c r="J846" s="44"/>
      <c r="K846" s="44"/>
      <c r="L846" s="44"/>
      <c r="M846" s="44"/>
      <c r="N846" s="44"/>
      <c r="O846" s="44"/>
    </row>
    <row r="847" spans="1:15" ht="17.25" customHeight="1">
      <c r="A847" s="44"/>
      <c r="B847" s="44"/>
      <c r="C847" s="44"/>
      <c r="D847" s="44"/>
      <c r="E847" s="44"/>
      <c r="F847" s="44"/>
      <c r="G847" s="44"/>
      <c r="H847" s="44"/>
      <c r="I847" s="44"/>
      <c r="J847" s="44"/>
      <c r="K847" s="44"/>
      <c r="L847" s="44"/>
      <c r="M847" s="44"/>
      <c r="N847" s="44"/>
      <c r="O847" s="44"/>
    </row>
    <row r="848" spans="1:15" ht="17.25" customHeight="1">
      <c r="A848" s="44"/>
      <c r="B848" s="44"/>
      <c r="C848" s="44"/>
      <c r="D848" s="44"/>
      <c r="E848" s="44"/>
      <c r="F848" s="44"/>
      <c r="G848" s="44"/>
      <c r="H848" s="44"/>
      <c r="I848" s="44"/>
      <c r="J848" s="44"/>
      <c r="K848" s="44"/>
      <c r="L848" s="44"/>
      <c r="M848" s="44"/>
      <c r="N848" s="44"/>
      <c r="O848" s="44"/>
    </row>
    <row r="849" spans="1:15" ht="17.25" customHeight="1">
      <c r="A849" s="44"/>
      <c r="B849" s="44"/>
      <c r="C849" s="44"/>
      <c r="D849" s="44"/>
      <c r="E849" s="44"/>
      <c r="F849" s="44"/>
      <c r="G849" s="44"/>
      <c r="H849" s="44"/>
      <c r="I849" s="44"/>
      <c r="J849" s="44"/>
      <c r="K849" s="44"/>
      <c r="L849" s="44"/>
      <c r="M849" s="44"/>
      <c r="N849" s="44"/>
      <c r="O849" s="44"/>
    </row>
    <row r="850" spans="1:15" ht="17.25" customHeight="1">
      <c r="A850" s="44"/>
      <c r="B850" s="44"/>
      <c r="C850" s="44"/>
      <c r="D850" s="44"/>
      <c r="E850" s="44"/>
      <c r="F850" s="44"/>
      <c r="G850" s="44"/>
      <c r="H850" s="44"/>
      <c r="I850" s="44"/>
      <c r="J850" s="44"/>
      <c r="K850" s="44"/>
      <c r="L850" s="44"/>
      <c r="M850" s="44"/>
      <c r="N850" s="44"/>
      <c r="O850" s="44"/>
    </row>
    <row r="851" spans="1:15" ht="17.25" customHeight="1">
      <c r="A851" s="44"/>
      <c r="B851" s="44"/>
      <c r="C851" s="44"/>
      <c r="D851" s="44"/>
      <c r="E851" s="44"/>
      <c r="F851" s="44"/>
      <c r="G851" s="44"/>
      <c r="H851" s="44"/>
      <c r="I851" s="44"/>
      <c r="J851" s="44"/>
      <c r="K851" s="44"/>
      <c r="L851" s="44"/>
      <c r="M851" s="44"/>
      <c r="N851" s="44"/>
      <c r="O851" s="44"/>
    </row>
    <row r="852" spans="1:15" ht="17.25" customHeight="1">
      <c r="A852" s="44"/>
      <c r="B852" s="44"/>
      <c r="C852" s="44"/>
      <c r="D852" s="44"/>
      <c r="E852" s="44"/>
      <c r="F852" s="44"/>
      <c r="G852" s="44"/>
      <c r="H852" s="44"/>
      <c r="I852" s="44"/>
      <c r="J852" s="44"/>
      <c r="K852" s="44"/>
      <c r="L852" s="44"/>
      <c r="M852" s="44"/>
      <c r="N852" s="44"/>
      <c r="O852" s="44"/>
    </row>
    <row r="853" spans="1:15" ht="17.25" customHeight="1">
      <c r="A853" s="44"/>
      <c r="B853" s="44"/>
      <c r="C853" s="44"/>
      <c r="D853" s="44"/>
      <c r="E853" s="44"/>
      <c r="F853" s="44"/>
      <c r="G853" s="44"/>
      <c r="H853" s="44"/>
      <c r="I853" s="44"/>
      <c r="J853" s="44"/>
      <c r="K853" s="44"/>
      <c r="L853" s="44"/>
      <c r="M853" s="44"/>
      <c r="N853" s="44"/>
      <c r="O853" s="44"/>
    </row>
    <row r="854" spans="1:15" ht="17.25" customHeight="1">
      <c r="A854" s="44"/>
      <c r="B854" s="44"/>
      <c r="C854" s="44"/>
      <c r="D854" s="44"/>
      <c r="E854" s="44"/>
      <c r="F854" s="44"/>
      <c r="G854" s="44"/>
      <c r="H854" s="44"/>
      <c r="I854" s="44"/>
      <c r="J854" s="44"/>
      <c r="K854" s="44"/>
      <c r="L854" s="44"/>
      <c r="M854" s="44"/>
      <c r="N854" s="44"/>
      <c r="O854" s="44"/>
    </row>
    <row r="855" spans="1:15" ht="17.25" customHeight="1">
      <c r="A855" s="44"/>
      <c r="B855" s="44"/>
      <c r="C855" s="44"/>
      <c r="D855" s="44"/>
      <c r="E855" s="44"/>
      <c r="F855" s="44"/>
      <c r="G855" s="44"/>
      <c r="H855" s="44"/>
      <c r="I855" s="44"/>
      <c r="J855" s="44"/>
      <c r="K855" s="44"/>
      <c r="L855" s="44"/>
      <c r="M855" s="44"/>
      <c r="N855" s="44"/>
      <c r="O855" s="44"/>
    </row>
    <row r="856" spans="1:15" ht="17.25" customHeight="1">
      <c r="A856" s="44"/>
      <c r="B856" s="44"/>
      <c r="C856" s="44"/>
      <c r="D856" s="44"/>
      <c r="E856" s="44"/>
      <c r="F856" s="44"/>
      <c r="G856" s="44"/>
      <c r="H856" s="44"/>
      <c r="I856" s="44"/>
      <c r="J856" s="44"/>
      <c r="K856" s="44"/>
      <c r="L856" s="44"/>
      <c r="M856" s="44"/>
      <c r="N856" s="44"/>
      <c r="O856" s="44"/>
    </row>
    <row r="857" spans="1:15" ht="17.25" customHeight="1">
      <c r="A857" s="44"/>
      <c r="B857" s="44"/>
      <c r="C857" s="44"/>
      <c r="D857" s="44"/>
      <c r="E857" s="44"/>
      <c r="F857" s="44"/>
      <c r="G857" s="44"/>
      <c r="H857" s="44"/>
      <c r="I857" s="44"/>
      <c r="J857" s="44"/>
      <c r="K857" s="44"/>
      <c r="L857" s="44"/>
      <c r="M857" s="44"/>
      <c r="N857" s="44"/>
      <c r="O857" s="44"/>
    </row>
    <row r="858" spans="1:15" ht="17.25" customHeight="1">
      <c r="A858" s="44"/>
      <c r="B858" s="44"/>
      <c r="C858" s="44"/>
      <c r="D858" s="44"/>
      <c r="E858" s="44"/>
      <c r="F858" s="44"/>
      <c r="G858" s="44"/>
      <c r="H858" s="44"/>
      <c r="I858" s="44"/>
      <c r="J858" s="44"/>
      <c r="K858" s="44"/>
      <c r="L858" s="44"/>
      <c r="M858" s="44"/>
      <c r="N858" s="44"/>
      <c r="O858" s="44"/>
    </row>
    <row r="859" spans="1:15" ht="17.25" customHeight="1">
      <c r="A859" s="44"/>
      <c r="B859" s="44"/>
      <c r="C859" s="44"/>
      <c r="D859" s="44"/>
      <c r="E859" s="44"/>
      <c r="F859" s="44"/>
      <c r="G859" s="44"/>
      <c r="H859" s="44"/>
      <c r="I859" s="44"/>
      <c r="J859" s="44"/>
      <c r="K859" s="44"/>
      <c r="L859" s="44"/>
      <c r="M859" s="44"/>
      <c r="N859" s="44"/>
      <c r="O859" s="44"/>
    </row>
    <row r="860" spans="1:15" ht="17.25" customHeight="1">
      <c r="A860" s="44"/>
      <c r="B860" s="44"/>
      <c r="C860" s="44"/>
      <c r="D860" s="44"/>
      <c r="E860" s="44"/>
      <c r="F860" s="44"/>
      <c r="G860" s="44"/>
      <c r="H860" s="44"/>
      <c r="I860" s="44"/>
      <c r="J860" s="44"/>
      <c r="K860" s="44"/>
      <c r="L860" s="44"/>
      <c r="M860" s="44"/>
      <c r="N860" s="44"/>
      <c r="O860" s="44"/>
    </row>
    <row r="861" spans="1:15" ht="17.25" customHeight="1">
      <c r="A861" s="44"/>
      <c r="B861" s="44"/>
      <c r="C861" s="44"/>
      <c r="D861" s="44"/>
      <c r="E861" s="44"/>
      <c r="F861" s="44"/>
      <c r="G861" s="44"/>
      <c r="H861" s="44"/>
      <c r="I861" s="44"/>
      <c r="J861" s="44"/>
      <c r="K861" s="44"/>
      <c r="L861" s="44"/>
      <c r="M861" s="44"/>
      <c r="N861" s="44"/>
      <c r="O861" s="44"/>
    </row>
    <row r="862" spans="1:15" ht="17.25" customHeight="1">
      <c r="A862" s="44"/>
      <c r="B862" s="44"/>
      <c r="C862" s="44"/>
      <c r="D862" s="44"/>
      <c r="E862" s="44"/>
      <c r="F862" s="44"/>
      <c r="G862" s="44"/>
      <c r="H862" s="44"/>
      <c r="I862" s="44"/>
      <c r="J862" s="44"/>
      <c r="K862" s="44"/>
      <c r="L862" s="44"/>
      <c r="M862" s="44"/>
      <c r="N862" s="44"/>
      <c r="O862" s="44"/>
    </row>
    <row r="863" spans="1:15" ht="17.25" customHeight="1">
      <c r="A863" s="44"/>
      <c r="B863" s="44"/>
      <c r="C863" s="44"/>
      <c r="D863" s="44"/>
      <c r="E863" s="44"/>
      <c r="F863" s="44"/>
      <c r="G863" s="44"/>
      <c r="H863" s="44"/>
      <c r="I863" s="44"/>
      <c r="J863" s="44"/>
      <c r="K863" s="44"/>
      <c r="L863" s="44"/>
      <c r="M863" s="44"/>
      <c r="N863" s="44"/>
      <c r="O863" s="44"/>
    </row>
    <row r="864" spans="1:15" ht="17.25" customHeight="1">
      <c r="A864" s="44"/>
      <c r="B864" s="44"/>
      <c r="C864" s="44"/>
      <c r="D864" s="44"/>
      <c r="E864" s="44"/>
      <c r="F864" s="44"/>
      <c r="G864" s="44"/>
      <c r="H864" s="44"/>
      <c r="I864" s="44"/>
      <c r="J864" s="44"/>
      <c r="K864" s="44"/>
      <c r="L864" s="44"/>
      <c r="M864" s="44"/>
      <c r="N864" s="44"/>
      <c r="O864" s="44"/>
    </row>
    <row r="865" spans="1:15" ht="17.25" customHeight="1">
      <c r="A865" s="44"/>
      <c r="B865" s="44"/>
      <c r="C865" s="44"/>
      <c r="D865" s="44"/>
      <c r="E865" s="44"/>
      <c r="F865" s="44"/>
      <c r="G865" s="44"/>
      <c r="H865" s="44"/>
      <c r="I865" s="44"/>
      <c r="J865" s="44"/>
      <c r="K865" s="44"/>
      <c r="L865" s="44"/>
      <c r="M865" s="44"/>
      <c r="N865" s="44"/>
      <c r="O865" s="44"/>
    </row>
    <row r="866" spans="1:15" ht="17.25" customHeight="1">
      <c r="A866" s="44"/>
      <c r="B866" s="44"/>
      <c r="C866" s="44"/>
      <c r="D866" s="44"/>
      <c r="E866" s="44"/>
      <c r="F866" s="44"/>
      <c r="G866" s="44"/>
      <c r="H866" s="44"/>
      <c r="I866" s="44"/>
      <c r="J866" s="44"/>
      <c r="K866" s="44"/>
      <c r="L866" s="44"/>
      <c r="M866" s="44"/>
      <c r="N866" s="44"/>
      <c r="O866" s="44"/>
    </row>
    <row r="867" spans="1:15" ht="17.25" customHeight="1">
      <c r="A867" s="44"/>
      <c r="B867" s="44"/>
      <c r="C867" s="44"/>
      <c r="D867" s="44"/>
      <c r="E867" s="44"/>
      <c r="F867" s="44"/>
      <c r="G867" s="44"/>
      <c r="H867" s="44"/>
      <c r="I867" s="44"/>
      <c r="J867" s="44"/>
      <c r="K867" s="44"/>
      <c r="L867" s="44"/>
      <c r="M867" s="44"/>
      <c r="N867" s="44"/>
      <c r="O867" s="44"/>
    </row>
    <row r="868" spans="1:15" ht="17.25" customHeight="1">
      <c r="A868" s="44"/>
      <c r="B868" s="44"/>
      <c r="C868" s="44"/>
      <c r="D868" s="44"/>
      <c r="E868" s="44"/>
      <c r="F868" s="44"/>
      <c r="G868" s="44"/>
      <c r="H868" s="44"/>
      <c r="I868" s="44"/>
      <c r="J868" s="44"/>
      <c r="K868" s="44"/>
      <c r="L868" s="44"/>
      <c r="M868" s="44"/>
      <c r="N868" s="44"/>
      <c r="O868" s="44"/>
    </row>
    <row r="869" spans="1:15" ht="17.25" customHeight="1">
      <c r="A869" s="44"/>
      <c r="B869" s="44"/>
      <c r="C869" s="44"/>
      <c r="D869" s="44"/>
      <c r="E869" s="44"/>
      <c r="F869" s="44"/>
      <c r="G869" s="44"/>
      <c r="H869" s="44"/>
      <c r="I869" s="44"/>
      <c r="J869" s="44"/>
      <c r="K869" s="44"/>
      <c r="L869" s="44"/>
      <c r="M869" s="44"/>
      <c r="N869" s="44"/>
      <c r="O869" s="44"/>
    </row>
    <row r="870" spans="1:15" ht="17.25" customHeight="1">
      <c r="A870" s="44"/>
      <c r="B870" s="44"/>
      <c r="C870" s="44"/>
      <c r="D870" s="44"/>
      <c r="E870" s="44"/>
      <c r="F870" s="44"/>
      <c r="G870" s="44"/>
      <c r="H870" s="44"/>
      <c r="I870" s="44"/>
      <c r="J870" s="44"/>
      <c r="K870" s="44"/>
      <c r="L870" s="44"/>
      <c r="M870" s="44"/>
      <c r="N870" s="44"/>
      <c r="O870" s="44"/>
    </row>
    <row r="871" spans="1:15" ht="17.25" customHeight="1">
      <c r="A871" s="44"/>
      <c r="B871" s="44"/>
      <c r="C871" s="44"/>
      <c r="D871" s="44"/>
      <c r="E871" s="44"/>
      <c r="F871" s="44"/>
      <c r="G871" s="44"/>
      <c r="H871" s="44"/>
      <c r="I871" s="44"/>
      <c r="J871" s="44"/>
      <c r="K871" s="44"/>
      <c r="L871" s="44"/>
      <c r="M871" s="44"/>
      <c r="N871" s="44"/>
      <c r="O871" s="44"/>
    </row>
    <row r="872" spans="1:15" ht="17.25" customHeight="1">
      <c r="A872" s="44"/>
      <c r="B872" s="44"/>
      <c r="C872" s="44"/>
      <c r="D872" s="44"/>
      <c r="E872" s="44"/>
      <c r="F872" s="44"/>
      <c r="G872" s="44"/>
      <c r="H872" s="44"/>
      <c r="I872" s="44"/>
      <c r="J872" s="44"/>
      <c r="K872" s="44"/>
      <c r="L872" s="44"/>
      <c r="M872" s="44"/>
      <c r="N872" s="44"/>
      <c r="O872" s="44"/>
    </row>
    <row r="873" spans="1:15" ht="17.25" customHeight="1">
      <c r="A873" s="44"/>
      <c r="B873" s="44"/>
      <c r="C873" s="44"/>
      <c r="D873" s="44"/>
      <c r="E873" s="44"/>
      <c r="F873" s="44"/>
      <c r="G873" s="44"/>
      <c r="H873" s="44"/>
      <c r="I873" s="44"/>
      <c r="J873" s="44"/>
      <c r="K873" s="44"/>
      <c r="L873" s="44"/>
      <c r="M873" s="44"/>
      <c r="N873" s="44"/>
      <c r="O873" s="44"/>
    </row>
    <row r="874" spans="1:15" ht="17.25" customHeight="1">
      <c r="A874" s="44"/>
      <c r="B874" s="44"/>
      <c r="C874" s="44"/>
      <c r="D874" s="44"/>
      <c r="E874" s="44"/>
      <c r="F874" s="44"/>
      <c r="G874" s="44"/>
      <c r="H874" s="44"/>
      <c r="I874" s="44"/>
      <c r="J874" s="44"/>
      <c r="K874" s="44"/>
      <c r="L874" s="44"/>
      <c r="M874" s="44"/>
      <c r="N874" s="44"/>
      <c r="O874" s="44"/>
    </row>
    <row r="875" spans="1:15" ht="17.25" customHeight="1">
      <c r="A875" s="44"/>
      <c r="B875" s="44"/>
      <c r="C875" s="44"/>
      <c r="D875" s="44"/>
      <c r="E875" s="44"/>
      <c r="F875" s="44"/>
      <c r="G875" s="44"/>
      <c r="H875" s="44"/>
      <c r="I875" s="44"/>
      <c r="J875" s="44"/>
      <c r="K875" s="44"/>
      <c r="L875" s="44"/>
      <c r="M875" s="44"/>
      <c r="N875" s="44"/>
      <c r="O875" s="44"/>
    </row>
    <row r="876" spans="1:15" ht="17.25" customHeight="1">
      <c r="A876" s="44"/>
      <c r="B876" s="44"/>
      <c r="C876" s="44"/>
      <c r="D876" s="44"/>
      <c r="E876" s="44"/>
      <c r="F876" s="44"/>
      <c r="G876" s="44"/>
      <c r="H876" s="44"/>
      <c r="I876" s="44"/>
      <c r="J876" s="44"/>
      <c r="K876" s="44"/>
      <c r="L876" s="44"/>
      <c r="M876" s="44"/>
      <c r="N876" s="44"/>
      <c r="O876" s="44"/>
    </row>
    <row r="877" spans="1:15" ht="17.25" customHeight="1">
      <c r="A877" s="44"/>
      <c r="B877" s="44"/>
      <c r="C877" s="44"/>
      <c r="D877" s="44"/>
      <c r="E877" s="44"/>
      <c r="F877" s="44"/>
      <c r="G877" s="44"/>
      <c r="H877" s="44"/>
      <c r="I877" s="44"/>
      <c r="J877" s="44"/>
      <c r="K877" s="44"/>
      <c r="L877" s="44"/>
      <c r="M877" s="44"/>
      <c r="N877" s="44"/>
      <c r="O877" s="44"/>
    </row>
    <row r="878" spans="1:15" ht="17.25" customHeight="1">
      <c r="A878" s="44"/>
      <c r="B878" s="44"/>
      <c r="C878" s="44"/>
      <c r="D878" s="44"/>
      <c r="E878" s="44"/>
      <c r="F878" s="44"/>
      <c r="G878" s="44"/>
      <c r="H878" s="44"/>
      <c r="I878" s="44"/>
      <c r="J878" s="44"/>
      <c r="K878" s="44"/>
      <c r="L878" s="44"/>
      <c r="M878" s="44"/>
      <c r="N878" s="44"/>
      <c r="O878" s="44"/>
    </row>
    <row r="879" spans="1:15" ht="17.25" customHeight="1">
      <c r="A879" s="44"/>
      <c r="B879" s="44"/>
      <c r="C879" s="44"/>
      <c r="D879" s="44"/>
      <c r="E879" s="44"/>
      <c r="F879" s="44"/>
      <c r="G879" s="44"/>
      <c r="H879" s="44"/>
      <c r="I879" s="44"/>
      <c r="J879" s="44"/>
      <c r="K879" s="44"/>
      <c r="L879" s="44"/>
      <c r="M879" s="44"/>
      <c r="N879" s="44"/>
      <c r="O879" s="44"/>
    </row>
    <row r="880" spans="1:15" ht="17.25" customHeight="1">
      <c r="A880" s="44"/>
      <c r="B880" s="44"/>
      <c r="C880" s="44"/>
      <c r="D880" s="44"/>
      <c r="E880" s="44"/>
      <c r="F880" s="44"/>
      <c r="G880" s="44"/>
      <c r="H880" s="44"/>
      <c r="I880" s="44"/>
      <c r="J880" s="44"/>
      <c r="K880" s="44"/>
      <c r="L880" s="44"/>
      <c r="M880" s="44"/>
      <c r="N880" s="44"/>
      <c r="O880" s="44"/>
    </row>
    <row r="881" spans="1:15" ht="17.25" customHeight="1">
      <c r="A881" s="44"/>
      <c r="B881" s="44"/>
      <c r="C881" s="44"/>
      <c r="D881" s="44"/>
      <c r="E881" s="44"/>
      <c r="F881" s="44"/>
      <c r="G881" s="44"/>
      <c r="H881" s="44"/>
      <c r="I881" s="44"/>
      <c r="J881" s="44"/>
      <c r="K881" s="44"/>
      <c r="L881" s="44"/>
      <c r="M881" s="44"/>
      <c r="N881" s="44"/>
      <c r="O881" s="44"/>
    </row>
    <row r="882" spans="1:15" ht="17.25" customHeight="1">
      <c r="A882" s="44"/>
      <c r="B882" s="44"/>
      <c r="C882" s="44"/>
      <c r="D882" s="44"/>
      <c r="E882" s="44"/>
      <c r="F882" s="44"/>
      <c r="G882" s="44"/>
      <c r="H882" s="44"/>
      <c r="I882" s="44"/>
      <c r="J882" s="44"/>
      <c r="K882" s="44"/>
      <c r="L882" s="44"/>
      <c r="M882" s="44"/>
      <c r="N882" s="44"/>
      <c r="O882" s="44"/>
    </row>
    <row r="883" spans="1:15" ht="17.25" customHeight="1">
      <c r="A883" s="44"/>
      <c r="B883" s="44"/>
      <c r="C883" s="44"/>
      <c r="D883" s="44"/>
      <c r="E883" s="44"/>
      <c r="F883" s="44"/>
      <c r="G883" s="44"/>
      <c r="H883" s="44"/>
      <c r="I883" s="44"/>
      <c r="J883" s="44"/>
      <c r="K883" s="44"/>
      <c r="L883" s="44"/>
      <c r="M883" s="44"/>
      <c r="N883" s="44"/>
      <c r="O883" s="44"/>
    </row>
    <row r="884" spans="1:15" ht="17.25" customHeight="1">
      <c r="A884" s="44"/>
      <c r="B884" s="44"/>
      <c r="C884" s="44"/>
      <c r="D884" s="44"/>
      <c r="E884" s="44"/>
      <c r="F884" s="44"/>
      <c r="G884" s="44"/>
      <c r="H884" s="44"/>
      <c r="I884" s="44"/>
      <c r="J884" s="44"/>
      <c r="K884" s="44"/>
      <c r="L884" s="44"/>
      <c r="M884" s="44"/>
      <c r="N884" s="44"/>
      <c r="O884" s="44"/>
    </row>
    <row r="885" spans="1:15" ht="17.25" customHeight="1">
      <c r="A885" s="44"/>
      <c r="B885" s="44"/>
      <c r="C885" s="44"/>
      <c r="D885" s="44"/>
      <c r="E885" s="44"/>
      <c r="F885" s="44"/>
      <c r="G885" s="44"/>
      <c r="H885" s="44"/>
      <c r="I885" s="44"/>
      <c r="J885" s="44"/>
      <c r="K885" s="44"/>
      <c r="L885" s="44"/>
      <c r="M885" s="44"/>
      <c r="N885" s="44"/>
      <c r="O885" s="44"/>
    </row>
    <row r="886" spans="1:15" ht="17.25" customHeight="1">
      <c r="A886" s="44"/>
      <c r="B886" s="44"/>
      <c r="C886" s="44"/>
      <c r="D886" s="44"/>
      <c r="E886" s="44"/>
      <c r="F886" s="44"/>
      <c r="G886" s="44"/>
      <c r="H886" s="44"/>
      <c r="I886" s="44"/>
      <c r="J886" s="44"/>
      <c r="K886" s="44"/>
      <c r="L886" s="44"/>
      <c r="M886" s="44"/>
      <c r="N886" s="44"/>
      <c r="O886" s="44"/>
    </row>
    <row r="887" spans="1:15" ht="17.25" customHeight="1">
      <c r="A887" s="44"/>
      <c r="B887" s="44"/>
      <c r="C887" s="44"/>
      <c r="D887" s="44"/>
      <c r="E887" s="44"/>
      <c r="F887" s="44"/>
      <c r="G887" s="44"/>
      <c r="H887" s="44"/>
      <c r="I887" s="44"/>
      <c r="J887" s="44"/>
      <c r="K887" s="44"/>
      <c r="L887" s="44"/>
      <c r="M887" s="44"/>
      <c r="N887" s="44"/>
      <c r="O887" s="44"/>
    </row>
    <row r="888" spans="1:15" ht="17.25" customHeight="1">
      <c r="A888" s="44"/>
      <c r="B888" s="44"/>
      <c r="C888" s="44"/>
      <c r="D888" s="44"/>
      <c r="E888" s="44"/>
      <c r="F888" s="44"/>
      <c r="G888" s="44"/>
      <c r="H888" s="44"/>
      <c r="I888" s="44"/>
      <c r="J888" s="44"/>
      <c r="K888" s="44"/>
      <c r="L888" s="44"/>
      <c r="M888" s="44"/>
      <c r="N888" s="44"/>
      <c r="O888" s="44"/>
    </row>
    <row r="889" spans="1:15" ht="17.25" customHeight="1">
      <c r="A889" s="44"/>
      <c r="B889" s="44"/>
      <c r="C889" s="44"/>
      <c r="D889" s="44"/>
      <c r="E889" s="44"/>
      <c r="F889" s="44"/>
      <c r="G889" s="44"/>
      <c r="H889" s="44"/>
      <c r="I889" s="44"/>
      <c r="J889" s="44"/>
      <c r="K889" s="44"/>
      <c r="L889" s="44"/>
      <c r="M889" s="44"/>
      <c r="N889" s="44"/>
      <c r="O889" s="44"/>
    </row>
    <row r="890" spans="1:15" ht="17.25" customHeight="1">
      <c r="A890" s="44"/>
      <c r="B890" s="44"/>
      <c r="C890" s="44"/>
      <c r="D890" s="44"/>
      <c r="E890" s="44"/>
      <c r="F890" s="44"/>
      <c r="G890" s="44"/>
      <c r="H890" s="44"/>
      <c r="I890" s="44"/>
      <c r="J890" s="44"/>
      <c r="K890" s="44"/>
      <c r="L890" s="44"/>
      <c r="M890" s="44"/>
      <c r="N890" s="44"/>
      <c r="O890" s="44"/>
    </row>
    <row r="891" spans="1:15" ht="17.25" customHeight="1">
      <c r="A891" s="44"/>
      <c r="B891" s="44"/>
      <c r="C891" s="44"/>
      <c r="D891" s="44"/>
      <c r="E891" s="44"/>
      <c r="F891" s="44"/>
      <c r="G891" s="44"/>
      <c r="H891" s="44"/>
      <c r="I891" s="44"/>
      <c r="J891" s="44"/>
      <c r="K891" s="44"/>
      <c r="L891" s="44"/>
      <c r="M891" s="44"/>
      <c r="N891" s="44"/>
      <c r="O891" s="44"/>
    </row>
    <row r="892" spans="1:15" ht="17.25" customHeight="1">
      <c r="A892" s="44"/>
      <c r="B892" s="44"/>
      <c r="C892" s="44"/>
      <c r="D892" s="44"/>
      <c r="E892" s="44"/>
      <c r="F892" s="44"/>
      <c r="G892" s="44"/>
      <c r="H892" s="44"/>
      <c r="I892" s="44"/>
      <c r="J892" s="44"/>
      <c r="K892" s="44"/>
      <c r="L892" s="44"/>
      <c r="M892" s="44"/>
      <c r="N892" s="44"/>
      <c r="O892" s="44"/>
    </row>
    <row r="893" spans="1:15" ht="17.25" customHeight="1">
      <c r="A893" s="44"/>
      <c r="B893" s="44"/>
      <c r="C893" s="44"/>
      <c r="D893" s="44"/>
      <c r="E893" s="44"/>
      <c r="F893" s="44"/>
      <c r="G893" s="44"/>
      <c r="H893" s="44"/>
      <c r="I893" s="44"/>
      <c r="J893" s="44"/>
      <c r="K893" s="44"/>
      <c r="L893" s="44"/>
      <c r="M893" s="44"/>
      <c r="N893" s="44"/>
      <c r="O893" s="44"/>
    </row>
    <row r="894" spans="1:15" ht="17.25" customHeight="1">
      <c r="A894" s="44"/>
      <c r="B894" s="44"/>
      <c r="C894" s="44"/>
      <c r="D894" s="44"/>
      <c r="E894" s="44"/>
      <c r="F894" s="44"/>
      <c r="G894" s="44"/>
      <c r="H894" s="44"/>
      <c r="I894" s="44"/>
      <c r="J894" s="44"/>
      <c r="K894" s="44"/>
      <c r="L894" s="44"/>
      <c r="M894" s="44"/>
      <c r="N894" s="44"/>
      <c r="O894" s="44"/>
    </row>
    <row r="895" spans="1:15" ht="17.25" customHeight="1">
      <c r="A895" s="44"/>
      <c r="B895" s="44"/>
      <c r="C895" s="44"/>
      <c r="D895" s="44"/>
      <c r="E895" s="44"/>
      <c r="F895" s="44"/>
      <c r="G895" s="44"/>
      <c r="H895" s="44"/>
      <c r="I895" s="44"/>
      <c r="J895" s="44"/>
      <c r="K895" s="44"/>
      <c r="L895" s="44"/>
      <c r="M895" s="44"/>
      <c r="N895" s="44"/>
      <c r="O895" s="44"/>
    </row>
    <row r="896" spans="1:15" ht="17.25" customHeight="1">
      <c r="A896" s="44"/>
      <c r="B896" s="44"/>
      <c r="C896" s="44"/>
      <c r="D896" s="44"/>
      <c r="E896" s="44"/>
      <c r="F896" s="44"/>
      <c r="G896" s="44"/>
      <c r="H896" s="44"/>
      <c r="I896" s="44"/>
      <c r="J896" s="44"/>
      <c r="K896" s="44"/>
      <c r="L896" s="44"/>
      <c r="M896" s="44"/>
      <c r="N896" s="44"/>
      <c r="O896" s="44"/>
    </row>
    <row r="897" spans="1:15" ht="17.25" customHeight="1">
      <c r="A897" s="44"/>
      <c r="B897" s="44"/>
      <c r="C897" s="44"/>
      <c r="D897" s="44"/>
      <c r="E897" s="44"/>
      <c r="F897" s="44"/>
      <c r="G897" s="44"/>
      <c r="H897" s="44"/>
      <c r="I897" s="44"/>
      <c r="J897" s="44"/>
      <c r="K897" s="44"/>
      <c r="L897" s="44"/>
      <c r="M897" s="44"/>
      <c r="N897" s="44"/>
      <c r="O897" s="44"/>
    </row>
    <row r="898" spans="1:15" ht="17.25" customHeight="1">
      <c r="A898" s="44"/>
      <c r="B898" s="44"/>
      <c r="C898" s="44"/>
      <c r="D898" s="44"/>
      <c r="E898" s="44"/>
      <c r="F898" s="44"/>
      <c r="G898" s="44"/>
      <c r="H898" s="44"/>
      <c r="I898" s="44"/>
      <c r="J898" s="44"/>
      <c r="K898" s="44"/>
      <c r="L898" s="44"/>
      <c r="M898" s="44"/>
      <c r="N898" s="44"/>
      <c r="O898" s="44"/>
    </row>
    <row r="899" spans="1:15" ht="17.25" customHeight="1">
      <c r="A899" s="44"/>
      <c r="B899" s="44"/>
      <c r="C899" s="44"/>
      <c r="D899" s="44"/>
      <c r="E899" s="44"/>
      <c r="F899" s="44"/>
      <c r="G899" s="44"/>
      <c r="H899" s="44"/>
      <c r="I899" s="44"/>
      <c r="J899" s="44"/>
      <c r="K899" s="44"/>
      <c r="L899" s="44"/>
      <c r="M899" s="44"/>
      <c r="N899" s="44"/>
      <c r="O899" s="44"/>
    </row>
    <row r="900" spans="1:15" ht="17.25" customHeight="1">
      <c r="A900" s="44"/>
      <c r="B900" s="44"/>
      <c r="C900" s="44"/>
      <c r="D900" s="44"/>
      <c r="E900" s="44"/>
      <c r="F900" s="44"/>
      <c r="G900" s="44"/>
      <c r="H900" s="44"/>
      <c r="I900" s="44"/>
      <c r="J900" s="44"/>
      <c r="K900" s="44"/>
      <c r="L900" s="44"/>
      <c r="M900" s="44"/>
      <c r="N900" s="44"/>
      <c r="O900" s="44"/>
    </row>
    <row r="901" spans="1:15" ht="17.25" customHeight="1">
      <c r="A901" s="44"/>
      <c r="B901" s="44"/>
      <c r="C901" s="44"/>
      <c r="D901" s="44"/>
      <c r="E901" s="44"/>
      <c r="F901" s="44"/>
      <c r="G901" s="44"/>
      <c r="H901" s="44"/>
      <c r="I901" s="44"/>
      <c r="J901" s="44"/>
      <c r="K901" s="44"/>
      <c r="L901" s="44"/>
      <c r="M901" s="44"/>
      <c r="N901" s="44"/>
      <c r="O901" s="44"/>
    </row>
    <row r="902" spans="1:15" ht="17.25" customHeight="1">
      <c r="A902" s="44"/>
      <c r="B902" s="44"/>
      <c r="C902" s="44"/>
      <c r="D902" s="44"/>
      <c r="E902" s="44"/>
      <c r="F902" s="44"/>
      <c r="G902" s="44"/>
      <c r="H902" s="44"/>
      <c r="I902" s="44"/>
      <c r="J902" s="44"/>
      <c r="K902" s="44"/>
      <c r="L902" s="44"/>
      <c r="M902" s="44"/>
      <c r="N902" s="44"/>
      <c r="O902" s="44"/>
    </row>
    <row r="903" spans="1:15" ht="17.25" customHeight="1">
      <c r="A903" s="44"/>
      <c r="B903" s="44"/>
      <c r="C903" s="44"/>
      <c r="D903" s="44"/>
      <c r="E903" s="44"/>
      <c r="F903" s="44"/>
      <c r="G903" s="44"/>
      <c r="H903" s="44"/>
      <c r="I903" s="44"/>
      <c r="J903" s="44"/>
      <c r="K903" s="44"/>
      <c r="L903" s="44"/>
      <c r="M903" s="44"/>
      <c r="N903" s="44"/>
      <c r="O903" s="44"/>
    </row>
    <row r="904" spans="1:15" ht="17.25" customHeight="1">
      <c r="A904" s="44"/>
      <c r="B904" s="44"/>
      <c r="C904" s="44"/>
      <c r="D904" s="44"/>
      <c r="E904" s="44"/>
      <c r="F904" s="44"/>
      <c r="G904" s="44"/>
      <c r="H904" s="44"/>
      <c r="I904" s="44"/>
      <c r="J904" s="44"/>
      <c r="K904" s="44"/>
      <c r="L904" s="44"/>
      <c r="M904" s="44"/>
      <c r="N904" s="44"/>
      <c r="O904" s="44"/>
    </row>
    <row r="905" spans="1:15" ht="17.25" customHeight="1">
      <c r="A905" s="44"/>
      <c r="B905" s="44"/>
      <c r="C905" s="44"/>
      <c r="D905" s="44"/>
      <c r="E905" s="44"/>
      <c r="F905" s="44"/>
      <c r="G905" s="44"/>
      <c r="H905" s="44"/>
      <c r="I905" s="44"/>
      <c r="J905" s="44"/>
      <c r="K905" s="44"/>
      <c r="L905" s="44"/>
      <c r="M905" s="44"/>
      <c r="N905" s="44"/>
      <c r="O905" s="44"/>
    </row>
    <row r="906" spans="1:15" ht="17.25" customHeight="1">
      <c r="A906" s="44"/>
      <c r="B906" s="44"/>
      <c r="C906" s="44"/>
      <c r="D906" s="44"/>
      <c r="E906" s="44"/>
      <c r="F906" s="44"/>
      <c r="G906" s="44"/>
      <c r="H906" s="44"/>
      <c r="I906" s="44"/>
      <c r="J906" s="44"/>
      <c r="K906" s="44"/>
      <c r="L906" s="44"/>
      <c r="M906" s="44"/>
      <c r="N906" s="44"/>
      <c r="O906" s="44"/>
    </row>
    <row r="907" spans="1:15" ht="17.25" customHeight="1">
      <c r="A907" s="44"/>
      <c r="B907" s="44"/>
      <c r="C907" s="44"/>
      <c r="D907" s="44"/>
      <c r="E907" s="44"/>
      <c r="F907" s="44"/>
      <c r="G907" s="44"/>
      <c r="H907" s="44"/>
      <c r="I907" s="44"/>
      <c r="J907" s="44"/>
      <c r="K907" s="44"/>
      <c r="L907" s="44"/>
      <c r="M907" s="44"/>
      <c r="N907" s="44"/>
      <c r="O907" s="44"/>
    </row>
    <row r="908" spans="1:15" ht="17.25" customHeight="1">
      <c r="A908" s="44"/>
      <c r="B908" s="44"/>
      <c r="C908" s="44"/>
      <c r="D908" s="44"/>
      <c r="E908" s="44"/>
      <c r="F908" s="44"/>
      <c r="G908" s="44"/>
      <c r="H908" s="44"/>
      <c r="I908" s="44"/>
      <c r="J908" s="44"/>
      <c r="K908" s="44"/>
      <c r="L908" s="44"/>
      <c r="M908" s="44"/>
      <c r="N908" s="44"/>
      <c r="O908" s="44"/>
    </row>
    <row r="909" spans="1:15" ht="17.25" customHeight="1">
      <c r="A909" s="44"/>
      <c r="B909" s="44"/>
      <c r="C909" s="44"/>
      <c r="D909" s="44"/>
      <c r="E909" s="44"/>
      <c r="F909" s="44"/>
      <c r="G909" s="44"/>
      <c r="H909" s="44"/>
      <c r="I909" s="44"/>
      <c r="J909" s="44"/>
      <c r="K909" s="44"/>
      <c r="L909" s="44"/>
      <c r="M909" s="44"/>
      <c r="N909" s="44"/>
      <c r="O909" s="44"/>
    </row>
    <row r="910" spans="1:15" ht="17.25" customHeight="1">
      <c r="A910" s="44"/>
      <c r="B910" s="44"/>
      <c r="C910" s="44"/>
      <c r="D910" s="44"/>
      <c r="E910" s="44"/>
      <c r="F910" s="44"/>
      <c r="G910" s="44"/>
      <c r="H910" s="44"/>
      <c r="I910" s="44"/>
      <c r="J910" s="44"/>
      <c r="K910" s="44"/>
      <c r="L910" s="44"/>
      <c r="M910" s="44"/>
      <c r="N910" s="44"/>
      <c r="O910" s="44"/>
    </row>
    <row r="911" spans="1:15" ht="17.25" customHeight="1">
      <c r="A911" s="44"/>
      <c r="B911" s="44"/>
      <c r="C911" s="44"/>
      <c r="D911" s="44"/>
      <c r="E911" s="44"/>
      <c r="F911" s="44"/>
      <c r="G911" s="44"/>
      <c r="H911" s="44"/>
      <c r="I911" s="44"/>
      <c r="J911" s="44"/>
      <c r="K911" s="44"/>
      <c r="L911" s="44"/>
      <c r="M911" s="44"/>
      <c r="N911" s="44"/>
      <c r="O911" s="44"/>
    </row>
    <row r="912" spans="1:15" ht="17.25" customHeight="1">
      <c r="A912" s="44"/>
      <c r="B912" s="44"/>
      <c r="C912" s="44"/>
      <c r="D912" s="44"/>
      <c r="E912" s="44"/>
      <c r="F912" s="44"/>
      <c r="G912" s="44"/>
      <c r="H912" s="44"/>
      <c r="I912" s="44"/>
      <c r="J912" s="44"/>
      <c r="K912" s="44"/>
      <c r="L912" s="44"/>
      <c r="M912" s="44"/>
      <c r="N912" s="44"/>
      <c r="O912" s="44"/>
    </row>
    <row r="913" spans="1:15" ht="17.25" customHeight="1">
      <c r="A913" s="44"/>
      <c r="B913" s="44"/>
      <c r="C913" s="44"/>
      <c r="D913" s="44"/>
      <c r="E913" s="44"/>
      <c r="F913" s="44"/>
      <c r="G913" s="44"/>
      <c r="H913" s="44"/>
      <c r="I913" s="44"/>
      <c r="J913" s="44"/>
      <c r="K913" s="44"/>
      <c r="L913" s="44"/>
      <c r="M913" s="44"/>
      <c r="N913" s="44"/>
      <c r="O913" s="44"/>
    </row>
    <row r="914" spans="1:15" ht="17.25" customHeight="1">
      <c r="A914" s="44"/>
      <c r="B914" s="44"/>
      <c r="C914" s="44"/>
      <c r="D914" s="44"/>
      <c r="E914" s="44"/>
      <c r="F914" s="44"/>
      <c r="G914" s="44"/>
      <c r="H914" s="44"/>
      <c r="I914" s="44"/>
      <c r="J914" s="44"/>
      <c r="K914" s="44"/>
      <c r="L914" s="44"/>
      <c r="M914" s="44"/>
      <c r="N914" s="44"/>
      <c r="O914" s="44"/>
    </row>
    <row r="915" spans="1:15" ht="17.25" customHeight="1">
      <c r="A915" s="44"/>
      <c r="B915" s="44"/>
      <c r="C915" s="44"/>
      <c r="D915" s="44"/>
      <c r="E915" s="44"/>
      <c r="F915" s="44"/>
      <c r="G915" s="44"/>
      <c r="H915" s="44"/>
      <c r="I915" s="44"/>
      <c r="J915" s="44"/>
      <c r="K915" s="44"/>
      <c r="L915" s="44"/>
      <c r="M915" s="44"/>
      <c r="N915" s="44"/>
      <c r="O915" s="44"/>
    </row>
    <row r="916" spans="1:15" ht="17.25" customHeight="1">
      <c r="A916" s="44"/>
      <c r="B916" s="44"/>
      <c r="C916" s="44"/>
      <c r="D916" s="44"/>
      <c r="E916" s="44"/>
      <c r="F916" s="44"/>
      <c r="G916" s="44"/>
      <c r="H916" s="44"/>
      <c r="I916" s="44"/>
      <c r="J916" s="44"/>
      <c r="K916" s="44"/>
      <c r="L916" s="44"/>
      <c r="M916" s="44"/>
      <c r="N916" s="44"/>
      <c r="O916" s="44"/>
    </row>
    <row r="917" spans="1:15" ht="17.25" customHeight="1">
      <c r="A917" s="44"/>
      <c r="B917" s="44"/>
      <c r="C917" s="44"/>
      <c r="D917" s="44"/>
      <c r="E917" s="44"/>
      <c r="F917" s="44"/>
      <c r="G917" s="44"/>
      <c r="H917" s="44"/>
      <c r="I917" s="44"/>
      <c r="J917" s="44"/>
      <c r="K917" s="44"/>
      <c r="L917" s="44"/>
      <c r="M917" s="44"/>
      <c r="N917" s="44"/>
      <c r="O917" s="44"/>
    </row>
    <row r="918" spans="1:15" ht="17.25" customHeight="1">
      <c r="A918" s="44"/>
      <c r="B918" s="44"/>
      <c r="C918" s="44"/>
      <c r="D918" s="44"/>
      <c r="E918" s="44"/>
      <c r="F918" s="44"/>
      <c r="G918" s="44"/>
      <c r="H918" s="44"/>
      <c r="I918" s="44"/>
      <c r="J918" s="44"/>
      <c r="K918" s="44"/>
      <c r="L918" s="44"/>
      <c r="M918" s="44"/>
      <c r="N918" s="44"/>
      <c r="O918" s="44"/>
    </row>
    <row r="919" spans="1:15" ht="17.25" customHeight="1">
      <c r="A919" s="44"/>
      <c r="B919" s="44"/>
      <c r="C919" s="44"/>
      <c r="D919" s="44"/>
      <c r="E919" s="44"/>
      <c r="F919" s="44"/>
      <c r="G919" s="44"/>
      <c r="H919" s="44"/>
      <c r="I919" s="44"/>
      <c r="J919" s="44"/>
      <c r="K919" s="44"/>
      <c r="L919" s="44"/>
      <c r="M919" s="44"/>
      <c r="N919" s="44"/>
      <c r="O919" s="44"/>
    </row>
    <row r="920" spans="1:15" ht="17.25" customHeight="1">
      <c r="A920" s="44"/>
      <c r="B920" s="44"/>
      <c r="C920" s="44"/>
      <c r="D920" s="44"/>
      <c r="E920" s="44"/>
      <c r="F920" s="44"/>
      <c r="G920" s="44"/>
      <c r="H920" s="44"/>
      <c r="I920" s="44"/>
      <c r="J920" s="44"/>
      <c r="K920" s="44"/>
      <c r="L920" s="44"/>
      <c r="M920" s="44"/>
      <c r="N920" s="44"/>
      <c r="O920" s="44"/>
    </row>
    <row r="921" spans="1:15" ht="17.25" customHeight="1">
      <c r="A921" s="44"/>
      <c r="B921" s="44"/>
      <c r="C921" s="44"/>
      <c r="D921" s="44"/>
      <c r="E921" s="44"/>
      <c r="F921" s="44"/>
      <c r="G921" s="44"/>
      <c r="H921" s="44"/>
      <c r="I921" s="44"/>
      <c r="J921" s="44"/>
      <c r="K921" s="44"/>
      <c r="L921" s="44"/>
      <c r="M921" s="44"/>
      <c r="N921" s="44"/>
      <c r="O921" s="44"/>
    </row>
    <row r="922" spans="1:15" ht="17.25" customHeight="1">
      <c r="A922" s="44"/>
      <c r="B922" s="44"/>
      <c r="C922" s="44"/>
      <c r="D922" s="44"/>
      <c r="E922" s="44"/>
      <c r="F922" s="44"/>
      <c r="G922" s="44"/>
      <c r="H922" s="44"/>
      <c r="I922" s="44"/>
      <c r="J922" s="44"/>
      <c r="K922" s="44"/>
      <c r="L922" s="44"/>
      <c r="M922" s="44"/>
      <c r="N922" s="44"/>
      <c r="O922" s="44"/>
    </row>
    <row r="923" spans="1:15" ht="17.25" customHeight="1">
      <c r="A923" s="44"/>
      <c r="B923" s="44"/>
      <c r="C923" s="44"/>
      <c r="D923" s="44"/>
      <c r="E923" s="44"/>
      <c r="F923" s="44"/>
      <c r="G923" s="44"/>
      <c r="H923" s="44"/>
      <c r="I923" s="44"/>
      <c r="J923" s="44"/>
      <c r="K923" s="44"/>
      <c r="L923" s="44"/>
      <c r="M923" s="44"/>
      <c r="N923" s="44"/>
      <c r="O923" s="44"/>
    </row>
    <row r="924" spans="1:15" ht="17.25" customHeight="1">
      <c r="A924" s="44"/>
      <c r="B924" s="44"/>
      <c r="C924" s="44"/>
      <c r="D924" s="44"/>
      <c r="E924" s="44"/>
      <c r="F924" s="44"/>
      <c r="G924" s="44"/>
      <c r="H924" s="44"/>
      <c r="I924" s="44"/>
      <c r="J924" s="44"/>
      <c r="K924" s="44"/>
      <c r="L924" s="44"/>
      <c r="M924" s="44"/>
      <c r="N924" s="44"/>
      <c r="O924" s="44"/>
    </row>
    <row r="925" spans="1:15" ht="17.25" customHeight="1">
      <c r="A925" s="44"/>
      <c r="B925" s="44"/>
      <c r="C925" s="44"/>
      <c r="D925" s="44"/>
      <c r="E925" s="44"/>
      <c r="F925" s="44"/>
      <c r="G925" s="44"/>
      <c r="H925" s="44"/>
      <c r="I925" s="44"/>
      <c r="J925" s="44"/>
      <c r="K925" s="44"/>
      <c r="L925" s="44"/>
      <c r="M925" s="44"/>
      <c r="N925" s="44"/>
      <c r="O925" s="44"/>
    </row>
    <row r="926" spans="1:15" ht="17.25" customHeight="1">
      <c r="A926" s="44"/>
      <c r="B926" s="44"/>
      <c r="C926" s="44"/>
      <c r="D926" s="44"/>
      <c r="E926" s="44"/>
      <c r="F926" s="44"/>
      <c r="G926" s="44"/>
      <c r="H926" s="44"/>
      <c r="I926" s="44"/>
      <c r="J926" s="44"/>
      <c r="K926" s="44"/>
      <c r="L926" s="44"/>
      <c r="M926" s="44"/>
      <c r="N926" s="44"/>
      <c r="O926" s="44"/>
    </row>
    <row r="927" spans="1:15" ht="17.25" customHeight="1">
      <c r="A927" s="44"/>
      <c r="B927" s="44"/>
      <c r="C927" s="44"/>
      <c r="D927" s="44"/>
      <c r="E927" s="44"/>
      <c r="F927" s="44"/>
      <c r="G927" s="44"/>
      <c r="H927" s="44"/>
      <c r="I927" s="44"/>
      <c r="J927" s="44"/>
      <c r="K927" s="44"/>
      <c r="L927" s="44"/>
      <c r="M927" s="44"/>
      <c r="N927" s="44"/>
      <c r="O927" s="44"/>
    </row>
    <row r="928" spans="1:15" ht="17.25" customHeight="1">
      <c r="A928" s="44"/>
      <c r="B928" s="44"/>
      <c r="C928" s="44"/>
      <c r="D928" s="44"/>
      <c r="E928" s="44"/>
      <c r="F928" s="44"/>
      <c r="G928" s="44"/>
      <c r="H928" s="44"/>
      <c r="I928" s="44"/>
      <c r="J928" s="44"/>
      <c r="K928" s="44"/>
      <c r="L928" s="44"/>
      <c r="M928" s="44"/>
      <c r="N928" s="44"/>
      <c r="O928" s="44"/>
    </row>
    <row r="929" spans="1:15" ht="17.25" customHeight="1">
      <c r="A929" s="44"/>
      <c r="B929" s="44"/>
      <c r="C929" s="44"/>
      <c r="D929" s="44"/>
      <c r="E929" s="44"/>
      <c r="F929" s="44"/>
      <c r="G929" s="44"/>
      <c r="H929" s="44"/>
      <c r="I929" s="44"/>
      <c r="J929" s="44"/>
      <c r="K929" s="44"/>
      <c r="L929" s="44"/>
      <c r="M929" s="44"/>
      <c r="N929" s="44"/>
      <c r="O929" s="44"/>
    </row>
    <row r="930" spans="1:15" ht="17.25" customHeight="1">
      <c r="A930" s="44"/>
      <c r="B930" s="44"/>
      <c r="C930" s="44"/>
      <c r="D930" s="44"/>
      <c r="E930" s="44"/>
      <c r="F930" s="44"/>
      <c r="G930" s="44"/>
      <c r="H930" s="44"/>
      <c r="I930" s="44"/>
      <c r="J930" s="44"/>
      <c r="K930" s="44"/>
      <c r="L930" s="44"/>
      <c r="M930" s="44"/>
      <c r="N930" s="44"/>
      <c r="O930" s="44"/>
    </row>
    <row r="931" spans="1:15" ht="17.25" customHeight="1">
      <c r="A931" s="44"/>
      <c r="B931" s="44"/>
      <c r="C931" s="44"/>
      <c r="D931" s="44"/>
      <c r="E931" s="44"/>
      <c r="F931" s="44"/>
      <c r="G931" s="44"/>
      <c r="H931" s="44"/>
      <c r="I931" s="44"/>
      <c r="J931" s="44"/>
      <c r="K931" s="44"/>
      <c r="L931" s="44"/>
      <c r="M931" s="44"/>
      <c r="N931" s="44"/>
      <c r="O931" s="44"/>
    </row>
    <row r="932" spans="1:15" ht="17.25" customHeight="1">
      <c r="A932" s="44"/>
      <c r="B932" s="44"/>
      <c r="C932" s="44"/>
      <c r="D932" s="44"/>
      <c r="E932" s="44"/>
      <c r="F932" s="44"/>
      <c r="G932" s="44"/>
      <c r="H932" s="44"/>
      <c r="I932" s="44"/>
      <c r="J932" s="44"/>
      <c r="K932" s="44"/>
      <c r="L932" s="44"/>
      <c r="M932" s="44"/>
      <c r="N932" s="44"/>
      <c r="O932" s="44"/>
    </row>
    <row r="933" spans="1:15" ht="17.25" customHeight="1">
      <c r="A933" s="44"/>
      <c r="B933" s="44"/>
      <c r="C933" s="44"/>
      <c r="D933" s="44"/>
      <c r="E933" s="44"/>
      <c r="F933" s="44"/>
      <c r="G933" s="44"/>
      <c r="H933" s="44"/>
      <c r="I933" s="44"/>
      <c r="J933" s="44"/>
      <c r="K933" s="44"/>
      <c r="L933" s="44"/>
      <c r="M933" s="44"/>
      <c r="N933" s="44"/>
      <c r="O933" s="44"/>
    </row>
    <row r="934" spans="1:15" ht="17.25" customHeight="1">
      <c r="A934" s="44"/>
      <c r="B934" s="44"/>
      <c r="C934" s="44"/>
      <c r="D934" s="44"/>
      <c r="E934" s="44"/>
      <c r="F934" s="44"/>
      <c r="G934" s="44"/>
      <c r="H934" s="44"/>
      <c r="I934" s="44"/>
      <c r="J934" s="44"/>
      <c r="K934" s="44"/>
      <c r="L934" s="44"/>
      <c r="M934" s="44"/>
      <c r="N934" s="44"/>
      <c r="O934" s="44"/>
    </row>
    <row r="935" spans="1:15" ht="17.25" customHeight="1">
      <c r="A935" s="44"/>
      <c r="B935" s="44"/>
      <c r="C935" s="44"/>
      <c r="D935" s="44"/>
      <c r="E935" s="44"/>
      <c r="F935" s="44"/>
      <c r="G935" s="44"/>
      <c r="H935" s="44"/>
      <c r="I935" s="44"/>
      <c r="J935" s="44"/>
      <c r="K935" s="44"/>
      <c r="L935" s="44"/>
      <c r="M935" s="44"/>
      <c r="N935" s="44"/>
      <c r="O935" s="44"/>
    </row>
    <row r="936" spans="1:15" ht="17.25" customHeight="1">
      <c r="A936" s="44"/>
      <c r="B936" s="44"/>
      <c r="C936" s="44"/>
      <c r="D936" s="44"/>
      <c r="E936" s="44"/>
      <c r="F936" s="44"/>
      <c r="G936" s="44"/>
      <c r="H936" s="44"/>
      <c r="I936" s="44"/>
      <c r="J936" s="44"/>
      <c r="K936" s="44"/>
      <c r="L936" s="44"/>
      <c r="M936" s="44"/>
      <c r="N936" s="44"/>
      <c r="O936" s="44"/>
    </row>
    <row r="937" spans="1:15" ht="17.25" customHeight="1">
      <c r="A937" s="44"/>
      <c r="B937" s="44"/>
      <c r="C937" s="44"/>
      <c r="D937" s="44"/>
      <c r="E937" s="44"/>
      <c r="F937" s="44"/>
      <c r="G937" s="44"/>
      <c r="H937" s="44"/>
      <c r="I937" s="44"/>
      <c r="J937" s="44"/>
      <c r="K937" s="44"/>
      <c r="L937" s="44"/>
      <c r="M937" s="44"/>
      <c r="N937" s="44"/>
      <c r="O937" s="44"/>
    </row>
    <row r="938" spans="1:15" ht="17.25" customHeight="1">
      <c r="A938" s="44"/>
      <c r="B938" s="44"/>
      <c r="C938" s="44"/>
      <c r="D938" s="44"/>
      <c r="E938" s="44"/>
      <c r="F938" s="44"/>
      <c r="G938" s="44"/>
      <c r="H938" s="44"/>
      <c r="I938" s="44"/>
      <c r="J938" s="44"/>
      <c r="K938" s="44"/>
      <c r="L938" s="44"/>
      <c r="M938" s="44"/>
      <c r="N938" s="44"/>
      <c r="O938" s="44"/>
    </row>
    <row r="939" spans="1:15" ht="17.25" customHeight="1">
      <c r="A939" s="44"/>
      <c r="B939" s="44"/>
      <c r="C939" s="44"/>
      <c r="D939" s="44"/>
      <c r="E939" s="44"/>
      <c r="F939" s="44"/>
      <c r="G939" s="44"/>
      <c r="H939" s="44"/>
      <c r="I939" s="44"/>
      <c r="J939" s="44"/>
      <c r="K939" s="44"/>
      <c r="L939" s="44"/>
      <c r="M939" s="44"/>
      <c r="N939" s="44"/>
      <c r="O939" s="44"/>
    </row>
    <row r="940" spans="1:15" ht="17.25" customHeight="1">
      <c r="A940" s="44"/>
      <c r="B940" s="44"/>
      <c r="C940" s="44"/>
      <c r="D940" s="44"/>
      <c r="E940" s="44"/>
      <c r="F940" s="44"/>
      <c r="G940" s="44"/>
      <c r="H940" s="44"/>
      <c r="I940" s="44"/>
      <c r="J940" s="44"/>
      <c r="K940" s="44"/>
      <c r="L940" s="44"/>
      <c r="M940" s="44"/>
      <c r="N940" s="44"/>
      <c r="O940" s="44"/>
    </row>
    <row r="941" spans="1:15" ht="17.25" customHeight="1">
      <c r="A941" s="44"/>
      <c r="B941" s="44"/>
      <c r="C941" s="44"/>
      <c r="D941" s="44"/>
      <c r="E941" s="44"/>
      <c r="F941" s="44"/>
      <c r="G941" s="44"/>
      <c r="H941" s="44"/>
      <c r="I941" s="44"/>
      <c r="J941" s="44"/>
      <c r="K941" s="44"/>
      <c r="L941" s="44"/>
      <c r="M941" s="44"/>
      <c r="N941" s="44"/>
      <c r="O941" s="44"/>
    </row>
    <row r="942" spans="1:15" ht="17.25" customHeight="1">
      <c r="A942" s="44"/>
      <c r="B942" s="44"/>
      <c r="C942" s="44"/>
      <c r="D942" s="44"/>
      <c r="E942" s="44"/>
      <c r="F942" s="44"/>
      <c r="G942" s="44"/>
      <c r="H942" s="44"/>
      <c r="I942" s="44"/>
      <c r="J942" s="44"/>
      <c r="K942" s="44"/>
      <c r="L942" s="44"/>
      <c r="M942" s="44"/>
      <c r="N942" s="44"/>
      <c r="O942" s="44"/>
    </row>
    <row r="943" spans="1:15" ht="17.25" customHeight="1">
      <c r="A943" s="44"/>
      <c r="B943" s="44"/>
      <c r="C943" s="44"/>
      <c r="D943" s="44"/>
      <c r="E943" s="44"/>
      <c r="F943" s="44"/>
      <c r="G943" s="44"/>
      <c r="H943" s="44"/>
      <c r="I943" s="44"/>
      <c r="J943" s="44"/>
      <c r="K943" s="44"/>
      <c r="L943" s="44"/>
      <c r="M943" s="44"/>
      <c r="N943" s="44"/>
      <c r="O943" s="44"/>
    </row>
    <row r="944" spans="1:15" ht="17.25" customHeight="1">
      <c r="A944" s="44"/>
      <c r="B944" s="44"/>
      <c r="C944" s="44"/>
      <c r="D944" s="44"/>
      <c r="E944" s="44"/>
      <c r="F944" s="44"/>
      <c r="G944" s="44"/>
      <c r="H944" s="44"/>
      <c r="I944" s="44"/>
      <c r="J944" s="44"/>
      <c r="K944" s="44"/>
      <c r="L944" s="44"/>
      <c r="M944" s="44"/>
      <c r="N944" s="44"/>
      <c r="O944" s="44"/>
    </row>
    <row r="945" spans="1:15" ht="17.25" customHeight="1">
      <c r="A945" s="44"/>
      <c r="B945" s="44"/>
      <c r="C945" s="44"/>
      <c r="D945" s="44"/>
      <c r="E945" s="44"/>
      <c r="F945" s="44"/>
      <c r="G945" s="44"/>
      <c r="H945" s="44"/>
      <c r="I945" s="44"/>
      <c r="J945" s="44"/>
      <c r="K945" s="44"/>
      <c r="L945" s="44"/>
      <c r="M945" s="44"/>
      <c r="N945" s="44"/>
      <c r="O945" s="44"/>
    </row>
    <row r="946" spans="1:15" ht="17.25" customHeight="1">
      <c r="A946" s="44"/>
      <c r="B946" s="44"/>
      <c r="C946" s="44"/>
      <c r="D946" s="44"/>
      <c r="E946" s="44"/>
      <c r="F946" s="44"/>
      <c r="G946" s="44"/>
      <c r="H946" s="44"/>
      <c r="I946" s="44"/>
      <c r="J946" s="44"/>
      <c r="K946" s="44"/>
      <c r="L946" s="44"/>
      <c r="M946" s="44"/>
      <c r="N946" s="44"/>
      <c r="O946" s="44"/>
    </row>
    <row r="947" spans="1:15" ht="17.25" customHeight="1">
      <c r="A947" s="44"/>
      <c r="B947" s="44"/>
      <c r="C947" s="44"/>
      <c r="D947" s="44"/>
      <c r="E947" s="44"/>
      <c r="F947" s="44"/>
      <c r="G947" s="44"/>
      <c r="H947" s="44"/>
      <c r="I947" s="44"/>
      <c r="J947" s="44"/>
      <c r="K947" s="44"/>
      <c r="L947" s="44"/>
      <c r="M947" s="44"/>
      <c r="N947" s="44"/>
      <c r="O947" s="44"/>
    </row>
    <row r="948" spans="1:15" ht="17.25" customHeight="1">
      <c r="A948" s="44"/>
      <c r="B948" s="44"/>
      <c r="C948" s="44"/>
      <c r="D948" s="44"/>
      <c r="E948" s="44"/>
      <c r="F948" s="44"/>
      <c r="G948" s="44"/>
      <c r="H948" s="44"/>
      <c r="I948" s="44"/>
      <c r="J948" s="44"/>
      <c r="K948" s="44"/>
      <c r="L948" s="44"/>
      <c r="M948" s="44"/>
      <c r="N948" s="44"/>
      <c r="O948" s="44"/>
    </row>
    <row r="949" spans="1:15" ht="17.25" customHeight="1">
      <c r="A949" s="44"/>
      <c r="B949" s="44"/>
      <c r="C949" s="44"/>
      <c r="D949" s="44"/>
      <c r="E949" s="44"/>
      <c r="F949" s="44"/>
      <c r="G949" s="44"/>
      <c r="H949" s="44"/>
      <c r="I949" s="44"/>
      <c r="J949" s="44"/>
      <c r="K949" s="44"/>
      <c r="L949" s="44"/>
      <c r="M949" s="44"/>
      <c r="N949" s="44"/>
      <c r="O949" s="44"/>
    </row>
    <row r="950" spans="1:15" ht="17.25" customHeight="1">
      <c r="A950" s="44"/>
      <c r="B950" s="44"/>
      <c r="C950" s="44"/>
      <c r="D950" s="44"/>
      <c r="E950" s="44"/>
      <c r="F950" s="44"/>
      <c r="G950" s="44"/>
      <c r="H950" s="44"/>
      <c r="I950" s="44"/>
      <c r="J950" s="44"/>
      <c r="K950" s="44"/>
      <c r="L950" s="44"/>
      <c r="M950" s="44"/>
      <c r="N950" s="44"/>
      <c r="O950" s="44"/>
    </row>
    <row r="951" spans="1:15" ht="17.25" customHeight="1">
      <c r="A951" s="44"/>
      <c r="B951" s="44"/>
      <c r="C951" s="44"/>
      <c r="D951" s="44"/>
      <c r="E951" s="44"/>
      <c r="F951" s="44"/>
      <c r="G951" s="44"/>
      <c r="H951" s="44"/>
      <c r="I951" s="44"/>
      <c r="J951" s="44"/>
      <c r="K951" s="44"/>
      <c r="L951" s="44"/>
      <c r="M951" s="44"/>
      <c r="N951" s="44"/>
      <c r="O951" s="44"/>
    </row>
    <row r="952" spans="1:15" ht="17.25" customHeight="1">
      <c r="A952" s="44"/>
      <c r="B952" s="44"/>
      <c r="C952" s="44"/>
      <c r="D952" s="44"/>
      <c r="E952" s="44"/>
      <c r="F952" s="44"/>
      <c r="G952" s="44"/>
      <c r="H952" s="44"/>
      <c r="I952" s="44"/>
      <c r="J952" s="44"/>
      <c r="K952" s="44"/>
      <c r="L952" s="44"/>
      <c r="M952" s="44"/>
      <c r="N952" s="44"/>
      <c r="O952" s="44"/>
    </row>
    <row r="953" spans="1:15" ht="17.25" customHeight="1">
      <c r="A953" s="44"/>
      <c r="B953" s="44"/>
      <c r="C953" s="44"/>
      <c r="D953" s="44"/>
      <c r="E953" s="44"/>
      <c r="F953" s="44"/>
      <c r="G953" s="44"/>
      <c r="H953" s="44"/>
      <c r="I953" s="44"/>
      <c r="J953" s="44"/>
      <c r="K953" s="44"/>
      <c r="L953" s="44"/>
      <c r="M953" s="44"/>
      <c r="N953" s="44"/>
      <c r="O953" s="44"/>
    </row>
    <row r="954" spans="1:15" ht="17.25" customHeight="1">
      <c r="A954" s="44"/>
      <c r="B954" s="44"/>
      <c r="C954" s="44"/>
      <c r="D954" s="44"/>
      <c r="E954" s="44"/>
      <c r="F954" s="44"/>
      <c r="G954" s="44"/>
      <c r="H954" s="44"/>
      <c r="I954" s="44"/>
      <c r="J954" s="44"/>
      <c r="K954" s="44"/>
      <c r="L954" s="44"/>
      <c r="M954" s="44"/>
      <c r="N954" s="44"/>
      <c r="O954" s="44"/>
    </row>
    <row r="955" spans="1:15" ht="17.25" customHeight="1">
      <c r="A955" s="44"/>
      <c r="B955" s="44"/>
      <c r="C955" s="44"/>
      <c r="D955" s="44"/>
      <c r="E955" s="44"/>
      <c r="F955" s="44"/>
      <c r="G955" s="44"/>
      <c r="H955" s="44"/>
      <c r="I955" s="44"/>
      <c r="J955" s="44"/>
      <c r="K955" s="44"/>
      <c r="L955" s="44"/>
      <c r="M955" s="44"/>
      <c r="N955" s="44"/>
      <c r="O955" s="44"/>
    </row>
    <row r="956" spans="1:15" ht="17.25" customHeight="1">
      <c r="A956" s="44"/>
      <c r="B956" s="44"/>
      <c r="C956" s="44"/>
      <c r="D956" s="44"/>
      <c r="E956" s="44"/>
      <c r="F956" s="44"/>
      <c r="G956" s="44"/>
      <c r="H956" s="44"/>
      <c r="I956" s="44"/>
      <c r="J956" s="44"/>
      <c r="K956" s="44"/>
      <c r="L956" s="44"/>
      <c r="M956" s="44"/>
      <c r="N956" s="44"/>
      <c r="O956" s="44"/>
    </row>
    <row r="957" spans="1:15" ht="17.25" customHeight="1">
      <c r="A957" s="44"/>
      <c r="B957" s="44"/>
      <c r="C957" s="44"/>
      <c r="D957" s="44"/>
      <c r="E957" s="44"/>
      <c r="F957" s="44"/>
      <c r="G957" s="44"/>
      <c r="H957" s="44"/>
      <c r="I957" s="44"/>
      <c r="J957" s="44"/>
      <c r="K957" s="44"/>
      <c r="L957" s="44"/>
      <c r="M957" s="44"/>
      <c r="N957" s="44"/>
      <c r="O957" s="44"/>
    </row>
    <row r="958" spans="1:15" ht="17.25" customHeight="1">
      <c r="A958" s="44"/>
      <c r="B958" s="44"/>
      <c r="C958" s="44"/>
      <c r="D958" s="44"/>
      <c r="E958" s="44"/>
      <c r="F958" s="44"/>
      <c r="G958" s="44"/>
      <c r="H958" s="44"/>
      <c r="I958" s="44"/>
      <c r="J958" s="44"/>
      <c r="K958" s="44"/>
      <c r="L958" s="44"/>
      <c r="M958" s="44"/>
      <c r="N958" s="44"/>
      <c r="O958" s="44"/>
    </row>
    <row r="959" spans="1:15" ht="17.25" customHeight="1">
      <c r="A959" s="44"/>
      <c r="B959" s="44"/>
      <c r="C959" s="44"/>
      <c r="D959" s="44"/>
      <c r="E959" s="44"/>
      <c r="F959" s="44"/>
      <c r="G959" s="44"/>
      <c r="H959" s="44"/>
      <c r="I959" s="44"/>
      <c r="J959" s="44"/>
      <c r="K959" s="44"/>
      <c r="L959" s="44"/>
      <c r="M959" s="44"/>
      <c r="N959" s="44"/>
      <c r="O959" s="44"/>
    </row>
    <row r="960" spans="1:15" ht="17.25" customHeight="1">
      <c r="A960" s="44"/>
      <c r="B960" s="44"/>
      <c r="C960" s="44"/>
      <c r="D960" s="44"/>
      <c r="E960" s="44"/>
      <c r="F960" s="44"/>
      <c r="G960" s="44"/>
      <c r="H960" s="44"/>
      <c r="I960" s="44"/>
      <c r="J960" s="44"/>
      <c r="K960" s="44"/>
      <c r="L960" s="44"/>
      <c r="M960" s="44"/>
      <c r="N960" s="44"/>
      <c r="O960" s="44"/>
    </row>
    <row r="961" spans="1:15" ht="17.25" customHeight="1">
      <c r="A961" s="44"/>
      <c r="B961" s="44"/>
      <c r="C961" s="44"/>
      <c r="D961" s="44"/>
      <c r="E961" s="44"/>
      <c r="F961" s="44"/>
      <c r="G961" s="44"/>
      <c r="H961" s="44"/>
      <c r="I961" s="44"/>
      <c r="J961" s="44"/>
      <c r="K961" s="44"/>
      <c r="L961" s="44"/>
      <c r="M961" s="44"/>
      <c r="N961" s="44"/>
      <c r="O961" s="44"/>
    </row>
    <row r="962" spans="1:15" ht="17.25" customHeight="1">
      <c r="A962" s="44"/>
      <c r="B962" s="44"/>
      <c r="C962" s="44"/>
      <c r="D962" s="44"/>
      <c r="E962" s="44"/>
      <c r="F962" s="44"/>
      <c r="G962" s="44"/>
      <c r="H962" s="44"/>
      <c r="I962" s="44"/>
      <c r="J962" s="44"/>
      <c r="K962" s="44"/>
      <c r="L962" s="44"/>
      <c r="M962" s="44"/>
      <c r="N962" s="44"/>
      <c r="O962" s="44"/>
    </row>
    <row r="963" spans="1:15" ht="17.25" customHeight="1">
      <c r="A963" s="44"/>
      <c r="B963" s="44"/>
      <c r="C963" s="44"/>
      <c r="D963" s="44"/>
      <c r="E963" s="44"/>
      <c r="F963" s="44"/>
      <c r="G963" s="44"/>
      <c r="H963" s="44"/>
      <c r="I963" s="44"/>
      <c r="J963" s="44"/>
      <c r="K963" s="44"/>
      <c r="L963" s="44"/>
      <c r="M963" s="44"/>
      <c r="N963" s="44"/>
      <c r="O963" s="44"/>
    </row>
    <row r="964" spans="1:15" ht="17.25" customHeight="1">
      <c r="A964" s="44"/>
      <c r="B964" s="44"/>
      <c r="C964" s="44"/>
      <c r="D964" s="44"/>
      <c r="E964" s="44"/>
      <c r="F964" s="44"/>
      <c r="G964" s="44"/>
      <c r="H964" s="44"/>
      <c r="I964" s="44"/>
      <c r="J964" s="44"/>
      <c r="K964" s="44"/>
      <c r="L964" s="44"/>
      <c r="M964" s="44"/>
      <c r="N964" s="44"/>
      <c r="O964" s="44"/>
    </row>
    <row r="965" spans="1:15" ht="17.25" customHeight="1">
      <c r="A965" s="44"/>
      <c r="B965" s="44"/>
      <c r="C965" s="44"/>
      <c r="D965" s="44"/>
      <c r="E965" s="44"/>
      <c r="F965" s="44"/>
      <c r="G965" s="44"/>
      <c r="H965" s="44"/>
      <c r="I965" s="44"/>
      <c r="J965" s="44"/>
      <c r="K965" s="44"/>
      <c r="L965" s="44"/>
      <c r="M965" s="44"/>
      <c r="N965" s="44"/>
      <c r="O965" s="44"/>
    </row>
    <row r="966" spans="1:15" ht="17.25" customHeight="1">
      <c r="A966" s="44"/>
      <c r="B966" s="44"/>
      <c r="C966" s="44"/>
      <c r="D966" s="44"/>
      <c r="E966" s="44"/>
      <c r="F966" s="44"/>
      <c r="G966" s="44"/>
      <c r="H966" s="44"/>
      <c r="I966" s="44"/>
      <c r="J966" s="44"/>
      <c r="K966" s="44"/>
      <c r="L966" s="44"/>
      <c r="M966" s="44"/>
      <c r="N966" s="44"/>
      <c r="O966" s="44"/>
    </row>
    <row r="967" spans="1:15" ht="17.25" customHeight="1">
      <c r="A967" s="44"/>
      <c r="B967" s="44"/>
      <c r="C967" s="44"/>
      <c r="D967" s="44"/>
      <c r="E967" s="44"/>
      <c r="F967" s="44"/>
      <c r="G967" s="44"/>
      <c r="H967" s="44"/>
      <c r="I967" s="44"/>
      <c r="J967" s="44"/>
      <c r="K967" s="44"/>
      <c r="L967" s="44"/>
      <c r="M967" s="44"/>
      <c r="N967" s="44"/>
      <c r="O967" s="44"/>
    </row>
    <row r="968" spans="1:15" ht="17.25" customHeight="1">
      <c r="A968" s="44"/>
      <c r="B968" s="44"/>
      <c r="C968" s="44"/>
      <c r="D968" s="44"/>
      <c r="E968" s="44"/>
      <c r="F968" s="44"/>
      <c r="G968" s="44"/>
      <c r="H968" s="44"/>
      <c r="I968" s="44"/>
      <c r="J968" s="44"/>
      <c r="K968" s="44"/>
      <c r="L968" s="44"/>
      <c r="M968" s="44"/>
      <c r="N968" s="44"/>
      <c r="O968" s="44"/>
    </row>
    <row r="969" spans="1:15" ht="17.25" customHeight="1">
      <c r="A969" s="44"/>
      <c r="B969" s="44"/>
      <c r="C969" s="44"/>
      <c r="D969" s="44"/>
      <c r="E969" s="44"/>
      <c r="F969" s="44"/>
      <c r="G969" s="44"/>
      <c r="H969" s="44"/>
      <c r="I969" s="44"/>
      <c r="J969" s="44"/>
      <c r="K969" s="44"/>
      <c r="L969" s="44"/>
      <c r="M969" s="44"/>
      <c r="N969" s="44"/>
      <c r="O969" s="44"/>
    </row>
    <row r="970" spans="1:15" ht="17.25" customHeight="1">
      <c r="A970" s="44"/>
      <c r="B970" s="44"/>
      <c r="C970" s="44"/>
      <c r="D970" s="44"/>
      <c r="E970" s="44"/>
      <c r="F970" s="44"/>
      <c r="G970" s="44"/>
      <c r="H970" s="44"/>
      <c r="I970" s="44"/>
      <c r="J970" s="44"/>
      <c r="K970" s="44"/>
      <c r="L970" s="44"/>
      <c r="M970" s="44"/>
      <c r="N970" s="44"/>
      <c r="O970" s="44"/>
    </row>
    <row r="971" spans="1:15" ht="17.25" customHeight="1">
      <c r="A971" s="44"/>
      <c r="B971" s="44"/>
      <c r="C971" s="44"/>
      <c r="D971" s="44"/>
      <c r="E971" s="44"/>
      <c r="F971" s="44"/>
      <c r="G971" s="44"/>
      <c r="H971" s="44"/>
      <c r="I971" s="44"/>
      <c r="J971" s="44"/>
      <c r="K971" s="44"/>
      <c r="L971" s="44"/>
      <c r="M971" s="44"/>
      <c r="N971" s="44"/>
      <c r="O971" s="44"/>
    </row>
    <row r="972" spans="1:15" ht="17.25" customHeight="1">
      <c r="A972" s="44"/>
      <c r="B972" s="44"/>
      <c r="C972" s="44"/>
      <c r="D972" s="44"/>
      <c r="E972" s="44"/>
      <c r="F972" s="44"/>
      <c r="G972" s="44"/>
      <c r="H972" s="44"/>
      <c r="I972" s="44"/>
      <c r="J972" s="44"/>
      <c r="K972" s="44"/>
      <c r="L972" s="44"/>
      <c r="M972" s="44"/>
      <c r="N972" s="44"/>
      <c r="O972" s="44"/>
    </row>
    <row r="973" spans="1:15" ht="17.25" customHeight="1">
      <c r="A973" s="44"/>
      <c r="B973" s="44"/>
      <c r="C973" s="44"/>
      <c r="D973" s="44"/>
      <c r="E973" s="44"/>
      <c r="F973" s="44"/>
      <c r="G973" s="44"/>
      <c r="H973" s="44"/>
      <c r="I973" s="44"/>
      <c r="J973" s="44"/>
      <c r="K973" s="44"/>
      <c r="L973" s="44"/>
      <c r="M973" s="44"/>
      <c r="N973" s="44"/>
      <c r="O973" s="44"/>
    </row>
    <row r="974" spans="1:15" ht="17.25" customHeight="1">
      <c r="A974" s="44"/>
      <c r="B974" s="44"/>
      <c r="C974" s="44"/>
      <c r="D974" s="44"/>
      <c r="E974" s="44"/>
      <c r="F974" s="44"/>
      <c r="G974" s="44"/>
      <c r="H974" s="44"/>
      <c r="I974" s="44"/>
      <c r="J974" s="44"/>
      <c r="K974" s="44"/>
      <c r="L974" s="44"/>
      <c r="M974" s="44"/>
      <c r="N974" s="44"/>
      <c r="O974" s="44"/>
    </row>
    <row r="975" spans="1:15" ht="17.25" customHeight="1">
      <c r="A975" s="44"/>
      <c r="B975" s="44"/>
      <c r="C975" s="44"/>
      <c r="D975" s="44"/>
      <c r="E975" s="44"/>
      <c r="F975" s="44"/>
      <c r="G975" s="44"/>
      <c r="H975" s="44"/>
      <c r="I975" s="44"/>
      <c r="J975" s="44"/>
      <c r="K975" s="44"/>
      <c r="L975" s="44"/>
      <c r="M975" s="44"/>
      <c r="N975" s="44"/>
      <c r="O975" s="44"/>
    </row>
    <row r="976" spans="1:15" ht="17.25" customHeight="1">
      <c r="A976" s="44"/>
      <c r="B976" s="44"/>
      <c r="C976" s="44"/>
      <c r="D976" s="44"/>
      <c r="E976" s="44"/>
      <c r="F976" s="44"/>
      <c r="G976" s="44"/>
      <c r="H976" s="44"/>
      <c r="I976" s="44"/>
      <c r="J976" s="44"/>
      <c r="K976" s="44"/>
      <c r="L976" s="44"/>
      <c r="M976" s="44"/>
      <c r="N976" s="44"/>
      <c r="O976" s="44"/>
    </row>
    <row r="977" spans="1:15" ht="17.25" customHeight="1">
      <c r="A977" s="44"/>
      <c r="B977" s="44"/>
      <c r="C977" s="44"/>
      <c r="D977" s="44"/>
      <c r="E977" s="44"/>
      <c r="F977" s="44"/>
      <c r="G977" s="44"/>
      <c r="H977" s="44"/>
      <c r="I977" s="44"/>
      <c r="J977" s="44"/>
      <c r="K977" s="44"/>
      <c r="L977" s="44"/>
      <c r="M977" s="44"/>
      <c r="N977" s="44"/>
      <c r="O977" s="44"/>
    </row>
    <row r="978" spans="1:15" ht="17.25" customHeight="1">
      <c r="A978" s="44"/>
      <c r="B978" s="44"/>
      <c r="C978" s="44"/>
      <c r="D978" s="44"/>
      <c r="E978" s="44"/>
      <c r="F978" s="44"/>
      <c r="G978" s="44"/>
      <c r="H978" s="44"/>
      <c r="I978" s="44"/>
      <c r="J978" s="44"/>
      <c r="K978" s="44"/>
      <c r="L978" s="44"/>
      <c r="M978" s="44"/>
      <c r="N978" s="44"/>
      <c r="O978" s="44"/>
    </row>
    <row r="979" spans="1:15" ht="17.25" customHeight="1">
      <c r="A979" s="44"/>
      <c r="B979" s="44"/>
      <c r="C979" s="44"/>
      <c r="D979" s="44"/>
      <c r="E979" s="44"/>
      <c r="F979" s="44"/>
      <c r="G979" s="44"/>
      <c r="H979" s="44"/>
      <c r="I979" s="44"/>
      <c r="J979" s="44"/>
      <c r="K979" s="44"/>
      <c r="L979" s="44"/>
      <c r="M979" s="44"/>
      <c r="N979" s="44"/>
      <c r="O979" s="44"/>
    </row>
    <row r="980" spans="1:15" ht="17.25" customHeight="1">
      <c r="A980" s="44"/>
      <c r="B980" s="44"/>
      <c r="C980" s="44"/>
      <c r="D980" s="44"/>
      <c r="E980" s="44"/>
      <c r="F980" s="44"/>
      <c r="G980" s="44"/>
      <c r="H980" s="44"/>
      <c r="I980" s="44"/>
      <c r="J980" s="44"/>
      <c r="K980" s="44"/>
      <c r="L980" s="44"/>
      <c r="M980" s="44"/>
      <c r="N980" s="44"/>
      <c r="O980" s="44"/>
    </row>
    <row r="981" spans="1:15" ht="17.25" customHeight="1">
      <c r="A981" s="44"/>
      <c r="B981" s="44"/>
      <c r="C981" s="44"/>
      <c r="D981" s="44"/>
      <c r="E981" s="44"/>
      <c r="F981" s="44"/>
      <c r="G981" s="44"/>
      <c r="H981" s="44"/>
      <c r="I981" s="44"/>
      <c r="J981" s="44"/>
      <c r="K981" s="44"/>
      <c r="L981" s="44"/>
      <c r="M981" s="44"/>
      <c r="N981" s="44"/>
      <c r="O981" s="44"/>
    </row>
    <row r="982" spans="1:15" ht="17.25" customHeight="1">
      <c r="A982" s="44"/>
      <c r="B982" s="44"/>
      <c r="C982" s="44"/>
      <c r="D982" s="44"/>
      <c r="E982" s="44"/>
      <c r="F982" s="44"/>
      <c r="G982" s="44"/>
      <c r="H982" s="44"/>
      <c r="I982" s="44"/>
      <c r="J982" s="44"/>
      <c r="K982" s="44"/>
      <c r="L982" s="44"/>
      <c r="M982" s="44"/>
      <c r="N982" s="44"/>
      <c r="O982" s="44"/>
    </row>
    <row r="983" spans="1:15" ht="17.25" customHeight="1">
      <c r="A983" s="44"/>
      <c r="B983" s="44"/>
      <c r="C983" s="44"/>
      <c r="D983" s="44"/>
      <c r="E983" s="44"/>
      <c r="F983" s="44"/>
      <c r="G983" s="44"/>
      <c r="H983" s="44"/>
      <c r="I983" s="44"/>
      <c r="J983" s="44"/>
      <c r="K983" s="44"/>
      <c r="L983" s="44"/>
      <c r="M983" s="44"/>
      <c r="N983" s="44"/>
      <c r="O983" s="44"/>
    </row>
    <row r="984" spans="1:15" ht="17.25" customHeight="1">
      <c r="A984" s="44"/>
      <c r="B984" s="44"/>
      <c r="C984" s="44"/>
      <c r="D984" s="44"/>
      <c r="E984" s="44"/>
      <c r="F984" s="44"/>
      <c r="G984" s="44"/>
      <c r="H984" s="44"/>
      <c r="I984" s="44"/>
      <c r="J984" s="44"/>
      <c r="K984" s="44"/>
      <c r="L984" s="44"/>
      <c r="M984" s="44"/>
      <c r="N984" s="44"/>
      <c r="O984" s="44"/>
    </row>
    <row r="985" spans="1:15" ht="17.25" customHeight="1">
      <c r="A985" s="44"/>
      <c r="B985" s="44"/>
      <c r="C985" s="44"/>
      <c r="D985" s="44"/>
      <c r="E985" s="44"/>
      <c r="F985" s="44"/>
      <c r="G985" s="44"/>
      <c r="H985" s="44"/>
      <c r="I985" s="44"/>
      <c r="J985" s="44"/>
      <c r="K985" s="44"/>
      <c r="L985" s="44"/>
      <c r="M985" s="44"/>
      <c r="N985" s="44"/>
      <c r="O985" s="44"/>
    </row>
    <row r="986" spans="1:15" ht="17.25" customHeight="1">
      <c r="A986" s="44"/>
      <c r="B986" s="44"/>
      <c r="C986" s="44"/>
      <c r="D986" s="44"/>
      <c r="E986" s="44"/>
      <c r="F986" s="44"/>
      <c r="G986" s="44"/>
      <c r="H986" s="44"/>
      <c r="I986" s="44"/>
      <c r="J986" s="44"/>
      <c r="K986" s="44"/>
      <c r="L986" s="44"/>
      <c r="M986" s="44"/>
      <c r="N986" s="44"/>
      <c r="O986" s="44"/>
    </row>
    <row r="987" spans="1:15" ht="15" customHeight="1"/>
    <row r="988" spans="1:15" ht="15" customHeight="1"/>
    <row r="989" spans="1:15" ht="15" customHeight="1"/>
    <row r="990" spans="1:15" ht="15" customHeight="1"/>
    <row r="991" spans="1:15" ht="15" customHeight="1"/>
    <row r="992" spans="1:15" ht="15" customHeight="1"/>
    <row r="993" ht="15" customHeight="1"/>
    <row r="994" ht="15" customHeight="1"/>
    <row r="995" ht="15" customHeight="1"/>
    <row r="996" ht="15" customHeight="1"/>
    <row r="997" ht="15" customHeight="1"/>
    <row r="998" ht="15" customHeight="1"/>
  </sheetData>
  <mergeCells count="2">
    <mergeCell ref="G1:J2"/>
    <mergeCell ref="B4:C4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98"/>
  <sheetViews>
    <sheetView showGridLines="0" workbookViewId="0">
      <selection activeCell="M25" sqref="M25"/>
    </sheetView>
  </sheetViews>
  <sheetFormatPr baseColWidth="10" defaultColWidth="14.42578125" defaultRowHeight="15"/>
  <cols>
    <col min="1" max="1" width="5.28515625" style="46" customWidth="1"/>
    <col min="2" max="3" width="12.42578125" style="46" customWidth="1"/>
    <col min="4" max="4" width="6.140625" style="46" customWidth="1"/>
    <col min="5" max="5" width="4.85546875" style="46" customWidth="1"/>
    <col min="6" max="6" width="3.28515625" style="46" customWidth="1"/>
    <col min="7" max="10" width="11.42578125" style="46" customWidth="1"/>
    <col min="11" max="11" width="8.42578125" style="46" customWidth="1"/>
    <col min="12" max="12" width="11.42578125" style="46" customWidth="1"/>
    <col min="13" max="13" width="7" style="46" customWidth="1"/>
    <col min="14" max="14" width="13.85546875" style="46" customWidth="1"/>
    <col min="15" max="15" width="3.140625" style="46" customWidth="1"/>
    <col min="16" max="16" width="30.85546875" style="46" customWidth="1"/>
    <col min="17" max="16384" width="14.42578125" style="46"/>
  </cols>
  <sheetData>
    <row r="1" spans="1:18" ht="21.75" customHeight="1">
      <c r="A1" s="44"/>
      <c r="B1" s="44"/>
      <c r="C1" s="44"/>
      <c r="D1" s="45"/>
      <c r="E1" s="45"/>
      <c r="F1" s="45"/>
      <c r="G1" s="156" t="s">
        <v>68</v>
      </c>
      <c r="H1" s="157"/>
      <c r="I1" s="157"/>
      <c r="J1" s="157"/>
      <c r="K1" s="44"/>
      <c r="L1" s="44"/>
      <c r="M1" s="44"/>
      <c r="N1" s="44"/>
      <c r="O1" s="44"/>
    </row>
    <row r="2" spans="1:18" ht="25.5" customHeight="1">
      <c r="A2" s="44"/>
      <c r="B2" s="44"/>
      <c r="C2" s="44"/>
      <c r="D2" s="47"/>
      <c r="E2" s="47"/>
      <c r="F2" s="47"/>
      <c r="G2" s="157"/>
      <c r="H2" s="157"/>
      <c r="I2" s="157"/>
      <c r="J2" s="157"/>
      <c r="K2" s="44"/>
      <c r="L2" s="44"/>
      <c r="M2" s="44"/>
      <c r="N2" s="44"/>
      <c r="O2" s="44"/>
      <c r="P2" s="46" t="s">
        <v>56</v>
      </c>
    </row>
    <row r="3" spans="1:18" ht="17.25" customHeight="1" thickBot="1">
      <c r="A3" s="44"/>
      <c r="B3" s="44"/>
      <c r="C3" s="44"/>
      <c r="D3" s="48"/>
      <c r="E3" s="48"/>
      <c r="F3" s="48"/>
      <c r="G3" s="44"/>
      <c r="H3" s="44"/>
      <c r="I3" s="44"/>
      <c r="J3" s="44"/>
      <c r="K3" s="44"/>
      <c r="L3" s="44"/>
      <c r="M3" s="44"/>
      <c r="N3" s="44"/>
      <c r="O3" s="44"/>
    </row>
    <row r="4" spans="1:18" ht="17.25" customHeight="1">
      <c r="A4" s="44"/>
      <c r="B4" s="158" t="s">
        <v>95</v>
      </c>
      <c r="C4" s="159"/>
      <c r="D4" s="48"/>
      <c r="E4" s="48"/>
      <c r="F4" s="48"/>
      <c r="G4" s="44"/>
      <c r="H4" s="44"/>
      <c r="I4" s="44"/>
      <c r="J4" s="44"/>
      <c r="K4" s="44"/>
      <c r="L4" s="44"/>
      <c r="M4" s="44"/>
      <c r="N4" s="44"/>
      <c r="O4" s="44"/>
      <c r="P4" s="49"/>
      <c r="Q4" s="49" t="s">
        <v>69</v>
      </c>
      <c r="R4" s="49" t="s">
        <v>70</v>
      </c>
    </row>
    <row r="5" spans="1:18" ht="17.25" customHeight="1">
      <c r="A5" s="50" t="s">
        <v>71</v>
      </c>
      <c r="B5" s="50" t="s">
        <v>69</v>
      </c>
      <c r="C5" s="50" t="s">
        <v>70</v>
      </c>
      <c r="D5" s="48"/>
      <c r="E5" s="48"/>
      <c r="F5" s="48"/>
      <c r="G5" s="44"/>
      <c r="H5" s="44"/>
      <c r="I5" s="44"/>
      <c r="J5" s="44"/>
      <c r="K5" s="44"/>
      <c r="L5" s="44"/>
      <c r="M5" s="44"/>
      <c r="N5" s="44"/>
      <c r="O5" s="44"/>
      <c r="P5" s="51" t="s">
        <v>57</v>
      </c>
      <c r="Q5" s="52">
        <v>0.44317958101850902</v>
      </c>
      <c r="R5" s="52">
        <v>0.28883252777777418</v>
      </c>
    </row>
    <row r="6" spans="1:18" ht="17.25" customHeight="1">
      <c r="A6" s="53">
        <v>1</v>
      </c>
      <c r="B6" s="125">
        <v>8.5652999999979329E-2</v>
      </c>
      <c r="C6" s="125">
        <v>0.179945250000003</v>
      </c>
      <c r="D6" s="48"/>
      <c r="E6" s="48"/>
      <c r="F6" s="48"/>
      <c r="G6" s="44" t="s">
        <v>72</v>
      </c>
      <c r="H6" s="44"/>
      <c r="I6" s="44"/>
      <c r="J6" s="44"/>
      <c r="K6" s="44"/>
      <c r="L6" s="44"/>
      <c r="M6" s="44"/>
      <c r="N6" s="44"/>
      <c r="O6" s="44"/>
      <c r="P6" s="51" t="s">
        <v>58</v>
      </c>
      <c r="Q6" s="54">
        <v>0.14537412548986117</v>
      </c>
      <c r="R6" s="54">
        <v>3.3513903219751534E-2</v>
      </c>
    </row>
    <row r="7" spans="1:18" ht="17.25" customHeight="1">
      <c r="A7" s="53">
        <v>2</v>
      </c>
      <c r="B7" s="125">
        <v>0.17696949999998399</v>
      </c>
      <c r="C7" s="125">
        <v>8.8220874999990428E-2</v>
      </c>
      <c r="D7" s="48"/>
      <c r="E7" s="48"/>
      <c r="F7" s="48"/>
      <c r="G7" s="44"/>
      <c r="H7" s="44"/>
      <c r="I7" s="55" t="s">
        <v>73</v>
      </c>
      <c r="J7" s="56">
        <f>AVERAGE(B6:B23)</f>
        <v>0.20418766666665539</v>
      </c>
      <c r="K7" s="57" t="s">
        <v>74</v>
      </c>
      <c r="L7" s="58">
        <f>COUNT(B6:B23)</f>
        <v>18</v>
      </c>
      <c r="M7" s="57" t="s">
        <v>73</v>
      </c>
      <c r="N7" s="59">
        <f>_xlfn.VAR.S(B6:B23)</f>
        <v>2.5477216404546504E-2</v>
      </c>
      <c r="O7" s="44"/>
      <c r="P7" s="51" t="s">
        <v>59</v>
      </c>
      <c r="Q7" s="51">
        <v>18</v>
      </c>
      <c r="R7" s="51">
        <v>18</v>
      </c>
    </row>
    <row r="8" spans="1:18" ht="17.25" customHeight="1">
      <c r="A8" s="53">
        <v>3</v>
      </c>
      <c r="B8" s="125">
        <v>1.7499750000013099E-2</v>
      </c>
      <c r="C8" s="125">
        <v>2.49451250000448E-2</v>
      </c>
      <c r="D8" s="48"/>
      <c r="E8" s="48"/>
      <c r="F8" s="48"/>
      <c r="G8" s="44"/>
      <c r="H8" s="44"/>
      <c r="I8" s="60" t="s">
        <v>73</v>
      </c>
      <c r="J8" s="56">
        <f>AVERAGE(C6:C23)</f>
        <v>0.27994781944445257</v>
      </c>
      <c r="K8" s="57" t="s">
        <v>75</v>
      </c>
      <c r="L8" s="58">
        <f>COUNT(C6:C23)</f>
        <v>18</v>
      </c>
      <c r="M8" s="57" t="s">
        <v>73</v>
      </c>
      <c r="N8" s="59">
        <f>_xlfn.VAR.S(C6:C23)</f>
        <v>3.1177703683695074E-2</v>
      </c>
      <c r="O8" s="44"/>
      <c r="P8" s="51" t="s">
        <v>60</v>
      </c>
      <c r="Q8" s="54">
        <v>8.9444014354806353E-2</v>
      </c>
      <c r="R8" s="51"/>
    </row>
    <row r="9" spans="1:18" ht="17.25" customHeight="1">
      <c r="A9" s="53">
        <v>4</v>
      </c>
      <c r="B9" s="125">
        <v>0.30546562500001073</v>
      </c>
      <c r="C9" s="125">
        <v>2.69779999999855E-2</v>
      </c>
      <c r="D9" s="48"/>
      <c r="E9" s="48"/>
      <c r="F9" s="48"/>
      <c r="G9" s="44"/>
      <c r="H9" s="44"/>
      <c r="I9" s="44"/>
      <c r="J9" s="44"/>
      <c r="K9" s="44"/>
      <c r="L9" s="44"/>
      <c r="M9" s="57" t="s">
        <v>73</v>
      </c>
      <c r="N9" s="59">
        <f>((L7-1)*N7+(L8-1)*N8)/(L7+L8-2)</f>
        <v>2.8327460044120789E-2</v>
      </c>
      <c r="O9" s="44"/>
      <c r="P9" s="51" t="s">
        <v>61</v>
      </c>
      <c r="Q9" s="51">
        <v>0</v>
      </c>
      <c r="R9" s="51"/>
    </row>
    <row r="10" spans="1:18" ht="17.25" customHeight="1">
      <c r="A10" s="53">
        <v>5</v>
      </c>
      <c r="B10" s="125">
        <v>2.1233999999992648E-2</v>
      </c>
      <c r="C10" s="125">
        <v>0.13822387499993699</v>
      </c>
      <c r="D10" s="48"/>
      <c r="E10" s="48"/>
      <c r="F10" s="48"/>
      <c r="G10" s="44"/>
      <c r="H10" s="44"/>
      <c r="I10" s="57" t="s">
        <v>76</v>
      </c>
      <c r="J10" s="61">
        <f>ABS((J7-J8)/SQRT(N7/L7+N8/L8))</f>
        <v>1.3503870941657428</v>
      </c>
      <c r="K10" s="44"/>
      <c r="L10" s="44"/>
      <c r="M10" s="44"/>
      <c r="N10" s="44"/>
      <c r="O10" s="44"/>
      <c r="P10" s="51" t="s">
        <v>62</v>
      </c>
      <c r="Q10" s="51">
        <v>34</v>
      </c>
      <c r="R10" s="51"/>
    </row>
    <row r="11" spans="1:18" ht="17.25" customHeight="1" thickBot="1">
      <c r="A11" s="53">
        <v>6</v>
      </c>
      <c r="B11" s="125">
        <v>1.3854999999978201E-2</v>
      </c>
      <c r="C11" s="125">
        <v>0.2361643749999871</v>
      </c>
      <c r="D11" s="48"/>
      <c r="E11" s="48"/>
      <c r="F11" s="48"/>
      <c r="G11" s="44"/>
      <c r="H11" s="44"/>
      <c r="I11" s="44"/>
      <c r="J11" s="44"/>
      <c r="K11" s="44"/>
      <c r="L11" s="44"/>
      <c r="M11" s="62"/>
      <c r="N11" s="44">
        <f>J10</f>
        <v>1.3503870941657428</v>
      </c>
      <c r="O11" s="44"/>
      <c r="P11" s="51" t="s">
        <v>63</v>
      </c>
      <c r="Q11" s="81">
        <v>1.5482602214075776</v>
      </c>
      <c r="R11" s="51"/>
    </row>
    <row r="12" spans="1:18" ht="17.25" customHeight="1">
      <c r="A12" s="53">
        <v>1</v>
      </c>
      <c r="B12" s="30">
        <v>5.9487499999590909E-3</v>
      </c>
      <c r="C12" s="30">
        <v>0.38354062499996644</v>
      </c>
      <c r="D12" s="48"/>
      <c r="E12" s="48"/>
      <c r="F12" s="48"/>
      <c r="G12" s="44"/>
      <c r="H12" s="44"/>
      <c r="I12" s="44"/>
      <c r="J12" s="44"/>
      <c r="K12" s="44"/>
      <c r="L12" s="44"/>
      <c r="M12" s="62"/>
      <c r="N12" s="44"/>
      <c r="O12" s="44"/>
      <c r="P12" s="51" t="s">
        <v>64</v>
      </c>
      <c r="Q12" s="51">
        <v>6.5409292048025119E-2</v>
      </c>
      <c r="R12" s="51"/>
    </row>
    <row r="13" spans="1:18" ht="17.25" customHeight="1">
      <c r="A13" s="53">
        <v>2</v>
      </c>
      <c r="B13" s="125">
        <v>0.332456250000007</v>
      </c>
      <c r="C13" s="125">
        <v>0.57799200000005158</v>
      </c>
      <c r="D13" s="48"/>
      <c r="E13" s="48"/>
      <c r="F13" s="48"/>
      <c r="G13" s="63" t="s">
        <v>77</v>
      </c>
      <c r="H13" s="63"/>
      <c r="I13" s="64" t="s">
        <v>78</v>
      </c>
      <c r="J13" s="65">
        <f>L7+L8-2</f>
        <v>34</v>
      </c>
      <c r="K13" s="44"/>
      <c r="L13" s="44"/>
      <c r="M13" s="62"/>
      <c r="N13" s="66"/>
      <c r="O13" s="44"/>
      <c r="P13" s="51" t="s">
        <v>65</v>
      </c>
      <c r="Q13" s="51">
        <v>1.6909242551868542</v>
      </c>
      <c r="R13" s="51"/>
    </row>
    <row r="14" spans="1:18" ht="17.25" customHeight="1">
      <c r="A14" s="53">
        <v>3</v>
      </c>
      <c r="B14" s="125">
        <v>0.3213804999999752</v>
      </c>
      <c r="C14" s="125">
        <v>0.39535412499998301</v>
      </c>
      <c r="D14" s="48"/>
      <c r="E14" s="48"/>
      <c r="F14" s="48"/>
      <c r="G14" s="63"/>
      <c r="H14" s="63"/>
      <c r="I14" s="80" t="s">
        <v>79</v>
      </c>
      <c r="J14" s="67">
        <v>0.05</v>
      </c>
      <c r="K14" s="68">
        <f>J14</f>
        <v>0.05</v>
      </c>
      <c r="L14" s="44"/>
      <c r="M14" s="44"/>
      <c r="N14" s="66"/>
      <c r="O14" s="44"/>
      <c r="P14" s="51" t="s">
        <v>66</v>
      </c>
      <c r="Q14" s="54">
        <v>0.13081858409605024</v>
      </c>
      <c r="R14" s="51"/>
    </row>
    <row r="15" spans="1:18" ht="17.25" customHeight="1" thickBot="1">
      <c r="A15" s="53">
        <v>4</v>
      </c>
      <c r="B15" s="125">
        <v>0.47857662499995968</v>
      </c>
      <c r="C15" s="125">
        <v>0.5034512500000119</v>
      </c>
      <c r="D15" s="48"/>
      <c r="E15" s="48"/>
      <c r="F15" s="48"/>
      <c r="G15" s="63"/>
      <c r="H15" s="63"/>
      <c r="I15" s="63"/>
      <c r="J15" s="63"/>
      <c r="K15" s="44"/>
      <c r="L15" s="44"/>
      <c r="M15" s="44"/>
      <c r="N15" s="44"/>
      <c r="O15" s="44"/>
      <c r="P15" s="69" t="s">
        <v>67</v>
      </c>
      <c r="Q15" s="70">
        <v>2.0322445093177191</v>
      </c>
      <c r="R15" s="69"/>
    </row>
    <row r="16" spans="1:18" ht="17.25" customHeight="1">
      <c r="A16" s="53">
        <v>5</v>
      </c>
      <c r="B16" s="125">
        <v>0.29090362499999856</v>
      </c>
      <c r="C16" s="125">
        <v>0.49793900000003077</v>
      </c>
      <c r="D16" s="48"/>
      <c r="E16" s="48"/>
      <c r="F16" s="48"/>
      <c r="G16" s="63"/>
      <c r="H16" s="63"/>
      <c r="I16" s="71" t="s">
        <v>73</v>
      </c>
      <c r="J16" s="72">
        <f>_xlfn.T.INV.2T(J14,J13)</f>
        <v>2.0322445093177191</v>
      </c>
      <c r="K16" s="73"/>
      <c r="L16" s="62">
        <f>-J16</f>
        <v>-2.0322445093177191</v>
      </c>
      <c r="M16" s="44"/>
      <c r="N16" s="74">
        <f>J16</f>
        <v>2.0322445093177191</v>
      </c>
      <c r="O16" s="44"/>
    </row>
    <row r="17" spans="1:15" ht="17.25" customHeight="1" thickBot="1">
      <c r="A17" s="53">
        <v>6</v>
      </c>
      <c r="B17" s="34">
        <v>0.14066612499999565</v>
      </c>
      <c r="C17" s="34">
        <v>0.48262212500009127</v>
      </c>
      <c r="D17" s="48"/>
      <c r="E17" s="48"/>
      <c r="F17" s="48"/>
      <c r="G17" s="63"/>
      <c r="H17" s="63"/>
      <c r="I17" s="63" t="s">
        <v>80</v>
      </c>
      <c r="J17" s="72">
        <f>_xlfn.T.DIST.2T(J10,J13)</f>
        <v>0.18581253708627041</v>
      </c>
      <c r="K17" s="44" t="s">
        <v>83</v>
      </c>
      <c r="L17" s="44"/>
      <c r="M17" s="44"/>
      <c r="N17" s="44"/>
      <c r="O17" s="44"/>
    </row>
    <row r="18" spans="1:15" ht="17.25" customHeight="1">
      <c r="A18" s="53">
        <v>1</v>
      </c>
      <c r="B18" s="30">
        <v>0.446215500000051</v>
      </c>
      <c r="C18" s="30">
        <v>0.415399749999949</v>
      </c>
      <c r="D18" s="48"/>
      <c r="E18" s="48"/>
      <c r="F18" s="48"/>
      <c r="G18" s="44"/>
      <c r="H18" s="75"/>
      <c r="I18" s="44"/>
      <c r="J18" s="44"/>
      <c r="K18" s="44"/>
      <c r="L18" s="44"/>
      <c r="M18" s="44"/>
      <c r="N18" s="44"/>
      <c r="O18" s="44"/>
    </row>
    <row r="19" spans="1:15" ht="17.25" customHeight="1">
      <c r="A19" s="53">
        <v>2</v>
      </c>
      <c r="B19" s="125">
        <v>0.422980124999981</v>
      </c>
      <c r="C19" s="125">
        <v>0.33221187500004101</v>
      </c>
      <c r="D19" s="48"/>
      <c r="E19" s="48"/>
      <c r="F19" s="48"/>
      <c r="G19" s="57" t="s">
        <v>81</v>
      </c>
      <c r="H19" s="76" t="s">
        <v>116</v>
      </c>
      <c r="I19" s="44"/>
      <c r="J19" s="44"/>
      <c r="K19" s="44"/>
      <c r="L19" s="44"/>
      <c r="M19" s="44"/>
      <c r="N19" s="44"/>
      <c r="O19" s="44"/>
    </row>
    <row r="20" spans="1:15" ht="17.25" customHeight="1">
      <c r="A20" s="53">
        <v>3</v>
      </c>
      <c r="B20" s="125">
        <v>0.125152374999914</v>
      </c>
      <c r="C20" s="125">
        <v>0.28642712499998901</v>
      </c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</row>
    <row r="21" spans="1:15" ht="17.25" customHeight="1">
      <c r="A21" s="53">
        <v>4</v>
      </c>
      <c r="B21" s="125">
        <v>0.20509637499998201</v>
      </c>
      <c r="C21" s="125">
        <v>6.19218749999959E-2</v>
      </c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</row>
    <row r="22" spans="1:15" ht="17.25" customHeight="1">
      <c r="A22" s="53">
        <v>5</v>
      </c>
      <c r="B22" s="125">
        <v>0.25867512500002499</v>
      </c>
      <c r="C22" s="125">
        <v>0.18693550000006098</v>
      </c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</row>
    <row r="23" spans="1:15" ht="17.25" customHeight="1" thickBot="1">
      <c r="A23" s="53">
        <v>6</v>
      </c>
      <c r="B23" s="34">
        <v>2.6649749999990001E-2</v>
      </c>
      <c r="C23" s="34">
        <v>0.2207880000000273</v>
      </c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</row>
    <row r="24" spans="1:15" ht="17.25" customHeight="1">
      <c r="A24" s="44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</row>
    <row r="25" spans="1:15" ht="17.25" customHeight="1">
      <c r="A25" s="44"/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</row>
    <row r="26" spans="1:15" ht="17.25" customHeight="1">
      <c r="A26" s="44"/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</row>
    <row r="27" spans="1:15" ht="17.25" customHeight="1">
      <c r="A27" s="44"/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</row>
    <row r="28" spans="1:15" ht="17.25" customHeight="1">
      <c r="A28" s="44"/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</row>
    <row r="29" spans="1:15" ht="17.25" customHeight="1">
      <c r="A29" s="44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</row>
    <row r="30" spans="1:15" ht="17.25" customHeight="1">
      <c r="A30" s="44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</row>
    <row r="31" spans="1:15" ht="17.25" customHeight="1">
      <c r="A31" s="44"/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</row>
    <row r="32" spans="1:15" ht="17.25" customHeight="1">
      <c r="A32" s="44"/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</row>
    <row r="33" spans="1:15" ht="17.25" customHeight="1">
      <c r="A33" s="44"/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</row>
    <row r="34" spans="1:15" ht="17.25" customHeight="1">
      <c r="A34" s="44"/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</row>
    <row r="35" spans="1:15" ht="17.25" customHeight="1">
      <c r="A35" s="44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</row>
    <row r="36" spans="1:15" ht="17.25" customHeight="1">
      <c r="A36" s="44"/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</row>
    <row r="37" spans="1:15" ht="17.25" customHeight="1">
      <c r="A37" s="44"/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</row>
    <row r="38" spans="1:15" ht="17.25" customHeight="1">
      <c r="A38" s="44"/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</row>
    <row r="39" spans="1:15" ht="17.25" customHeight="1">
      <c r="A39" s="44"/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</row>
    <row r="40" spans="1:15" ht="17.25" customHeight="1">
      <c r="A40" s="44"/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</row>
    <row r="41" spans="1:15" ht="17.25" customHeight="1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</row>
    <row r="42" spans="1:15" ht="17.25" customHeight="1">
      <c r="A42" s="44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</row>
    <row r="43" spans="1:15" ht="17.25" customHeight="1">
      <c r="A43" s="44"/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</row>
    <row r="44" spans="1:15" ht="17.25" customHeight="1">
      <c r="A44" s="44"/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</row>
    <row r="45" spans="1:15" ht="17.25" customHeight="1">
      <c r="A45" s="44"/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</row>
    <row r="46" spans="1:15" ht="17.25" customHeight="1">
      <c r="A46" s="44"/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</row>
    <row r="47" spans="1:15" ht="17.25" customHeight="1">
      <c r="A47" s="44"/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</row>
    <row r="48" spans="1:15" ht="17.25" customHeight="1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</row>
    <row r="49" spans="1:15" ht="17.25" customHeight="1">
      <c r="A49" s="44"/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</row>
    <row r="50" spans="1:15" ht="17.25" customHeight="1">
      <c r="A50" s="44"/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</row>
    <row r="51" spans="1:15" ht="17.25" customHeight="1">
      <c r="A51" s="44"/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</row>
    <row r="52" spans="1:15" ht="17.25" customHeight="1">
      <c r="A52" s="44"/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</row>
    <row r="53" spans="1:15" ht="17.25" customHeight="1">
      <c r="A53" s="44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</row>
    <row r="54" spans="1:15" ht="17.25" customHeight="1">
      <c r="A54" s="44"/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</row>
    <row r="55" spans="1:15" ht="17.25" customHeight="1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</row>
    <row r="56" spans="1:15" ht="17.25" customHeight="1">
      <c r="A56" s="44"/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</row>
    <row r="57" spans="1:15" ht="17.25" customHeight="1">
      <c r="A57" s="44"/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</row>
    <row r="58" spans="1:15" ht="17.25" customHeight="1">
      <c r="A58" s="44"/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</row>
    <row r="59" spans="1:15" ht="17.25" customHeight="1">
      <c r="A59" s="44"/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</row>
    <row r="60" spans="1:15" ht="17.25" customHeight="1">
      <c r="A60" s="44"/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</row>
    <row r="61" spans="1:15" ht="17.25" customHeight="1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</row>
    <row r="62" spans="1:15" ht="17.25" customHeight="1">
      <c r="A62" s="44"/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</row>
    <row r="63" spans="1:15" ht="17.25" customHeight="1">
      <c r="A63" s="44"/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</row>
    <row r="64" spans="1:15" ht="17.25" customHeight="1">
      <c r="A64" s="44"/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</row>
    <row r="65" spans="1:15" ht="17.25" customHeight="1">
      <c r="A65" s="44"/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</row>
    <row r="66" spans="1:15" ht="17.25" customHeight="1">
      <c r="A66" s="44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</row>
    <row r="67" spans="1:15" ht="17.25" customHeight="1">
      <c r="A67" s="44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</row>
    <row r="68" spans="1:15" ht="17.25" customHeight="1">
      <c r="A68" s="44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</row>
    <row r="69" spans="1:15" ht="17.25" customHeight="1">
      <c r="A69" s="44"/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</row>
    <row r="70" spans="1:15" ht="17.25" customHeight="1">
      <c r="A70" s="44"/>
      <c r="B70" s="44"/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</row>
    <row r="71" spans="1:15" ht="17.25" customHeight="1">
      <c r="A71" s="44"/>
      <c r="B71" s="44"/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</row>
    <row r="72" spans="1:15" ht="17.25" customHeight="1">
      <c r="A72" s="44"/>
      <c r="B72" s="44"/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</row>
    <row r="73" spans="1:15" ht="17.25" customHeight="1">
      <c r="A73" s="44"/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</row>
    <row r="74" spans="1:15" ht="17.25" customHeight="1">
      <c r="A74" s="44"/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</row>
    <row r="75" spans="1:15" ht="17.25" customHeight="1">
      <c r="A75" s="44"/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</row>
    <row r="76" spans="1:15" ht="17.25" customHeight="1">
      <c r="A76" s="44"/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</row>
    <row r="77" spans="1:15" ht="17.25" customHeight="1">
      <c r="A77" s="44"/>
      <c r="B77" s="44"/>
      <c r="C77" s="44"/>
      <c r="D77" s="44"/>
      <c r="E77" s="44"/>
      <c r="F77" s="44"/>
      <c r="G77" s="44"/>
      <c r="H77" s="44"/>
      <c r="I77" s="44"/>
      <c r="J77" s="44"/>
      <c r="K77" s="44"/>
      <c r="L77" s="44"/>
      <c r="M77" s="44"/>
      <c r="N77" s="44"/>
      <c r="O77" s="44"/>
    </row>
    <row r="78" spans="1:15" ht="17.25" customHeight="1">
      <c r="A78" s="44"/>
      <c r="B78" s="44"/>
      <c r="C78" s="44"/>
      <c r="D78" s="44"/>
      <c r="E78" s="44"/>
      <c r="F78" s="44"/>
      <c r="G78" s="44"/>
      <c r="H78" s="44"/>
      <c r="I78" s="44"/>
      <c r="J78" s="44"/>
      <c r="K78" s="44"/>
      <c r="L78" s="44"/>
      <c r="M78" s="44"/>
      <c r="N78" s="44"/>
      <c r="O78" s="44"/>
    </row>
    <row r="79" spans="1:15" ht="17.25" customHeight="1">
      <c r="A79" s="44"/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</row>
    <row r="80" spans="1:15" ht="17.25" customHeight="1">
      <c r="A80" s="44"/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</row>
    <row r="81" spans="1:15" ht="17.25" customHeight="1">
      <c r="A81" s="44"/>
      <c r="B81" s="44"/>
      <c r="C81" s="44"/>
      <c r="D81" s="44"/>
      <c r="E81" s="44"/>
      <c r="F81" s="44"/>
      <c r="G81" s="44"/>
      <c r="H81" s="44"/>
      <c r="I81" s="44"/>
      <c r="J81" s="44"/>
      <c r="K81" s="44"/>
      <c r="L81" s="44"/>
      <c r="M81" s="44"/>
      <c r="N81" s="44"/>
      <c r="O81" s="44"/>
    </row>
    <row r="82" spans="1:15" ht="17.25" customHeight="1">
      <c r="A82" s="44"/>
      <c r="B82" s="44"/>
      <c r="C82" s="44"/>
      <c r="D82" s="44"/>
      <c r="E82" s="44"/>
      <c r="F82" s="44"/>
      <c r="G82" s="44"/>
      <c r="H82" s="44"/>
      <c r="I82" s="44"/>
      <c r="J82" s="44"/>
      <c r="K82" s="44"/>
      <c r="L82" s="44"/>
      <c r="M82" s="44"/>
      <c r="N82" s="44"/>
      <c r="O82" s="44"/>
    </row>
    <row r="83" spans="1:15" ht="17.25" customHeight="1">
      <c r="A83" s="44"/>
      <c r="B83" s="44"/>
      <c r="C83" s="44"/>
      <c r="D83" s="44"/>
      <c r="E83" s="44"/>
      <c r="F83" s="44"/>
      <c r="G83" s="44"/>
      <c r="H83" s="44"/>
      <c r="I83" s="44"/>
      <c r="J83" s="44"/>
      <c r="K83" s="44"/>
      <c r="L83" s="44"/>
      <c r="M83" s="44"/>
      <c r="N83" s="44"/>
      <c r="O83" s="44"/>
    </row>
    <row r="84" spans="1:15" ht="17.25" customHeight="1">
      <c r="A84" s="44"/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M84" s="44"/>
      <c r="N84" s="44"/>
      <c r="O84" s="44"/>
    </row>
    <row r="85" spans="1:15" ht="17.25" customHeight="1">
      <c r="A85" s="44"/>
      <c r="B85" s="44"/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</row>
    <row r="86" spans="1:15" ht="17.25" customHeight="1">
      <c r="A86" s="44"/>
      <c r="B86" s="44"/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</row>
    <row r="87" spans="1:15" ht="17.25" customHeight="1">
      <c r="A87" s="44"/>
      <c r="B87" s="44"/>
      <c r="C87" s="44"/>
      <c r="D87" s="44"/>
      <c r="E87" s="44"/>
      <c r="F87" s="44"/>
      <c r="G87" s="44"/>
      <c r="H87" s="44"/>
      <c r="I87" s="44"/>
      <c r="J87" s="44"/>
      <c r="K87" s="44"/>
      <c r="L87" s="44"/>
      <c r="M87" s="44"/>
      <c r="N87" s="44"/>
      <c r="O87" s="44"/>
    </row>
    <row r="88" spans="1:15" ht="17.25" customHeight="1">
      <c r="A88" s="44"/>
      <c r="B88" s="44"/>
      <c r="C88" s="44"/>
      <c r="D88" s="44"/>
      <c r="E88" s="44"/>
      <c r="F88" s="44"/>
      <c r="G88" s="44"/>
      <c r="H88" s="44"/>
      <c r="I88" s="44"/>
      <c r="J88" s="44"/>
      <c r="K88" s="44"/>
      <c r="L88" s="44"/>
      <c r="M88" s="44"/>
      <c r="N88" s="44"/>
      <c r="O88" s="44"/>
    </row>
    <row r="89" spans="1:15" ht="17.25" customHeight="1">
      <c r="A89" s="44"/>
      <c r="B89" s="44"/>
      <c r="C89" s="44"/>
      <c r="D89" s="44"/>
      <c r="E89" s="44"/>
      <c r="F89" s="44"/>
      <c r="G89" s="44"/>
      <c r="H89" s="44"/>
      <c r="I89" s="44"/>
      <c r="J89" s="44"/>
      <c r="K89" s="44"/>
      <c r="L89" s="44"/>
      <c r="M89" s="44"/>
      <c r="N89" s="44"/>
      <c r="O89" s="44"/>
    </row>
    <row r="90" spans="1:15" ht="17.25" customHeight="1">
      <c r="A90" s="44"/>
      <c r="B90" s="44"/>
      <c r="C90" s="44"/>
      <c r="D90" s="44"/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44"/>
    </row>
    <row r="91" spans="1:15" ht="17.25" customHeight="1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</row>
    <row r="92" spans="1:15" ht="17.25" customHeight="1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</row>
    <row r="93" spans="1:15" ht="17.25" customHeight="1">
      <c r="A93" s="44"/>
      <c r="B93" s="44"/>
      <c r="C93" s="44"/>
      <c r="D93" s="44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</row>
    <row r="94" spans="1:15" ht="17.25" customHeight="1">
      <c r="A94" s="44"/>
      <c r="B94" s="44"/>
      <c r="C94" s="44"/>
      <c r="D94" s="44"/>
      <c r="E94" s="44"/>
      <c r="F94" s="44"/>
      <c r="G94" s="44"/>
      <c r="H94" s="44"/>
      <c r="I94" s="44"/>
      <c r="J94" s="44"/>
      <c r="K94" s="44"/>
      <c r="L94" s="44"/>
      <c r="M94" s="44"/>
      <c r="N94" s="44"/>
      <c r="O94" s="44"/>
    </row>
    <row r="95" spans="1:15" ht="17.25" customHeight="1">
      <c r="A95" s="44"/>
      <c r="B95" s="44"/>
      <c r="C95" s="44"/>
      <c r="D95" s="44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</row>
    <row r="96" spans="1:15" ht="17.25" customHeight="1">
      <c r="A96" s="44"/>
      <c r="B96" s="44"/>
      <c r="C96" s="44"/>
      <c r="D96" s="44"/>
      <c r="E96" s="44"/>
      <c r="F96" s="44"/>
      <c r="G96" s="44"/>
      <c r="H96" s="44"/>
      <c r="I96" s="44"/>
      <c r="J96" s="44"/>
      <c r="K96" s="44"/>
      <c r="L96" s="44"/>
      <c r="M96" s="44"/>
      <c r="N96" s="44"/>
      <c r="O96" s="44"/>
    </row>
    <row r="97" spans="1:15" ht="17.25" customHeight="1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</row>
    <row r="98" spans="1:15" ht="17.25" customHeight="1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</row>
    <row r="99" spans="1:15" ht="17.25" customHeight="1">
      <c r="A99" s="44"/>
      <c r="B99" s="44"/>
      <c r="C99" s="44"/>
      <c r="D99" s="44"/>
      <c r="E99" s="44"/>
      <c r="F99" s="44"/>
      <c r="G99" s="44"/>
      <c r="H99" s="44"/>
      <c r="I99" s="44"/>
      <c r="J99" s="44"/>
      <c r="K99" s="44"/>
      <c r="L99" s="44"/>
      <c r="M99" s="44"/>
      <c r="N99" s="44"/>
      <c r="O99" s="44"/>
    </row>
    <row r="100" spans="1:15" ht="17.25" customHeight="1">
      <c r="A100" s="44"/>
      <c r="B100" s="44"/>
      <c r="C100" s="44"/>
      <c r="D100" s="44"/>
      <c r="E100" s="44"/>
      <c r="F100" s="44"/>
      <c r="G100" s="44"/>
      <c r="H100" s="44"/>
      <c r="I100" s="44"/>
      <c r="J100" s="44"/>
      <c r="K100" s="44"/>
      <c r="L100" s="44"/>
      <c r="M100" s="44"/>
      <c r="N100" s="44"/>
      <c r="O100" s="44"/>
    </row>
    <row r="101" spans="1:15" ht="17.25" customHeight="1">
      <c r="A101" s="44"/>
      <c r="B101" s="44"/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44"/>
    </row>
    <row r="102" spans="1:15" ht="17.25" customHeight="1">
      <c r="A102" s="44"/>
      <c r="B102" s="44"/>
      <c r="C102" s="44"/>
      <c r="D102" s="44"/>
      <c r="E102" s="44"/>
      <c r="F102" s="44"/>
      <c r="G102" s="44"/>
      <c r="H102" s="44"/>
      <c r="I102" s="44"/>
      <c r="J102" s="44"/>
      <c r="K102" s="44"/>
      <c r="L102" s="44"/>
      <c r="M102" s="44"/>
      <c r="N102" s="44"/>
      <c r="O102" s="44"/>
    </row>
    <row r="103" spans="1:15" ht="17.25" customHeight="1">
      <c r="A103" s="44"/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</row>
    <row r="104" spans="1:15" ht="17.25" customHeight="1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</row>
    <row r="105" spans="1:15" ht="17.25" customHeight="1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</row>
    <row r="106" spans="1:15" ht="17.25" customHeight="1">
      <c r="A106" s="44"/>
      <c r="B106" s="44"/>
      <c r="C106" s="44"/>
      <c r="D106" s="44"/>
      <c r="E106" s="44"/>
      <c r="F106" s="44"/>
      <c r="G106" s="44"/>
      <c r="H106" s="44"/>
      <c r="I106" s="44"/>
      <c r="J106" s="44"/>
      <c r="K106" s="44"/>
      <c r="L106" s="44"/>
      <c r="M106" s="44"/>
      <c r="N106" s="44"/>
      <c r="O106" s="44"/>
    </row>
    <row r="107" spans="1:15" ht="17.25" customHeight="1">
      <c r="A107" s="44"/>
      <c r="B107" s="44"/>
      <c r="C107" s="44"/>
      <c r="D107" s="44"/>
      <c r="E107" s="44"/>
      <c r="F107" s="44"/>
      <c r="G107" s="44"/>
      <c r="H107" s="44"/>
      <c r="I107" s="44"/>
      <c r="J107" s="44"/>
      <c r="K107" s="44"/>
      <c r="L107" s="44"/>
      <c r="M107" s="44"/>
      <c r="N107" s="44"/>
      <c r="O107" s="44"/>
    </row>
    <row r="108" spans="1:15" ht="17.25" customHeight="1">
      <c r="A108" s="44"/>
      <c r="B108" s="44"/>
      <c r="C108" s="44"/>
      <c r="D108" s="44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</row>
    <row r="109" spans="1:15" ht="17.25" customHeight="1">
      <c r="A109" s="44"/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  <c r="N109" s="44"/>
      <c r="O109" s="44"/>
    </row>
    <row r="110" spans="1:15" ht="17.25" customHeight="1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</row>
    <row r="111" spans="1:15" ht="17.25" customHeight="1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</row>
    <row r="112" spans="1:15" ht="17.25" customHeight="1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</row>
    <row r="113" spans="1:15" ht="17.25" customHeight="1">
      <c r="A113" s="44"/>
      <c r="B113" s="44"/>
      <c r="C113" s="44"/>
      <c r="D113" s="44"/>
      <c r="E113" s="44"/>
      <c r="F113" s="44"/>
      <c r="G113" s="44"/>
      <c r="H113" s="44"/>
      <c r="I113" s="44"/>
      <c r="J113" s="44"/>
      <c r="K113" s="44"/>
      <c r="L113" s="44"/>
      <c r="M113" s="44"/>
      <c r="N113" s="44"/>
      <c r="O113" s="44"/>
    </row>
    <row r="114" spans="1:15" ht="17.25" customHeight="1">
      <c r="A114" s="44"/>
      <c r="B114" s="44"/>
      <c r="C114" s="44"/>
      <c r="D114" s="44"/>
      <c r="E114" s="44"/>
      <c r="F114" s="44"/>
      <c r="G114" s="44"/>
      <c r="H114" s="44"/>
      <c r="I114" s="44"/>
      <c r="J114" s="44"/>
      <c r="K114" s="44"/>
      <c r="L114" s="44"/>
      <c r="M114" s="44"/>
      <c r="N114" s="44"/>
      <c r="O114" s="44"/>
    </row>
    <row r="115" spans="1:15" ht="17.25" customHeight="1">
      <c r="A115" s="44"/>
      <c r="B115" s="44"/>
      <c r="C115" s="44"/>
      <c r="D115" s="44"/>
      <c r="E115" s="44"/>
      <c r="F115" s="44"/>
      <c r="G115" s="44"/>
      <c r="H115" s="44"/>
      <c r="I115" s="44"/>
      <c r="J115" s="44"/>
      <c r="K115" s="44"/>
      <c r="L115" s="44"/>
      <c r="M115" s="44"/>
      <c r="N115" s="44"/>
      <c r="O115" s="44"/>
    </row>
    <row r="116" spans="1:15" ht="17.25" customHeight="1">
      <c r="A116" s="44"/>
      <c r="B116" s="44"/>
      <c r="C116" s="44"/>
      <c r="D116" s="44"/>
      <c r="E116" s="44"/>
      <c r="F116" s="44"/>
      <c r="G116" s="44"/>
      <c r="H116" s="44"/>
      <c r="I116" s="44"/>
      <c r="J116" s="44"/>
      <c r="K116" s="44"/>
      <c r="L116" s="44"/>
      <c r="M116" s="44"/>
      <c r="N116" s="44"/>
      <c r="O116" s="44"/>
    </row>
    <row r="117" spans="1:15" ht="17.25" customHeight="1">
      <c r="A117" s="44"/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</row>
    <row r="118" spans="1:15" ht="17.25" customHeight="1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</row>
    <row r="119" spans="1:15" ht="17.25" customHeight="1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</row>
    <row r="120" spans="1:15" ht="17.25" customHeight="1">
      <c r="A120" s="44"/>
      <c r="B120" s="44"/>
      <c r="C120" s="44"/>
      <c r="D120" s="44"/>
      <c r="E120" s="44"/>
      <c r="F120" s="44"/>
      <c r="G120" s="44"/>
      <c r="H120" s="44"/>
      <c r="I120" s="44"/>
      <c r="J120" s="44"/>
      <c r="K120" s="44"/>
      <c r="L120" s="44"/>
      <c r="M120" s="44"/>
      <c r="N120" s="44"/>
      <c r="O120" s="44"/>
    </row>
    <row r="121" spans="1:15" ht="17.25" customHeight="1">
      <c r="A121" s="44"/>
      <c r="B121" s="44"/>
      <c r="C121" s="44"/>
      <c r="D121" s="44"/>
      <c r="E121" s="44"/>
      <c r="F121" s="44"/>
      <c r="G121" s="44"/>
      <c r="H121" s="44"/>
      <c r="I121" s="44"/>
      <c r="J121" s="44"/>
      <c r="K121" s="44"/>
      <c r="L121" s="44"/>
      <c r="M121" s="44"/>
      <c r="N121" s="44"/>
      <c r="O121" s="44"/>
    </row>
    <row r="122" spans="1:15" ht="17.25" customHeight="1">
      <c r="A122" s="44"/>
      <c r="B122" s="44"/>
      <c r="C122" s="44"/>
      <c r="D122" s="44"/>
      <c r="E122" s="44"/>
      <c r="F122" s="44"/>
      <c r="G122" s="44"/>
      <c r="H122" s="44"/>
      <c r="I122" s="44"/>
      <c r="J122" s="44"/>
      <c r="K122" s="44"/>
      <c r="L122" s="44"/>
      <c r="M122" s="44"/>
      <c r="N122" s="44"/>
      <c r="O122" s="44"/>
    </row>
    <row r="123" spans="1:15" ht="17.25" customHeight="1">
      <c r="A123" s="44"/>
      <c r="B123" s="44"/>
      <c r="C123" s="44"/>
      <c r="D123" s="44"/>
      <c r="E123" s="44"/>
      <c r="F123" s="44"/>
      <c r="G123" s="44"/>
      <c r="H123" s="44"/>
      <c r="I123" s="44"/>
      <c r="J123" s="44"/>
      <c r="K123" s="44"/>
      <c r="L123" s="44"/>
      <c r="M123" s="44"/>
      <c r="N123" s="44"/>
      <c r="O123" s="44"/>
    </row>
    <row r="124" spans="1:15" ht="17.25" customHeight="1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</row>
    <row r="125" spans="1:15" ht="17.25" customHeight="1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</row>
    <row r="126" spans="1:15" ht="17.25" customHeight="1">
      <c r="A126" s="44"/>
      <c r="B126" s="44"/>
      <c r="C126" s="44"/>
      <c r="D126" s="44"/>
      <c r="E126" s="44"/>
      <c r="F126" s="44"/>
      <c r="G126" s="44"/>
      <c r="H126" s="44"/>
      <c r="I126" s="44"/>
      <c r="J126" s="44"/>
      <c r="K126" s="44"/>
      <c r="L126" s="44"/>
      <c r="M126" s="44"/>
      <c r="N126" s="44"/>
      <c r="O126" s="44"/>
    </row>
    <row r="127" spans="1:15" ht="17.25" customHeight="1">
      <c r="A127" s="44"/>
      <c r="B127" s="44"/>
      <c r="C127" s="44"/>
      <c r="D127" s="44"/>
      <c r="E127" s="44"/>
      <c r="F127" s="44"/>
      <c r="G127" s="44"/>
      <c r="H127" s="44"/>
      <c r="I127" s="44"/>
      <c r="J127" s="44"/>
      <c r="K127" s="44"/>
      <c r="L127" s="44"/>
      <c r="M127" s="44"/>
      <c r="N127" s="44"/>
      <c r="O127" s="44"/>
    </row>
    <row r="128" spans="1:15" ht="17.25" customHeight="1">
      <c r="A128" s="44"/>
      <c r="B128" s="44"/>
      <c r="C128" s="44"/>
      <c r="D128" s="44"/>
      <c r="E128" s="44"/>
      <c r="F128" s="44"/>
      <c r="G128" s="44"/>
      <c r="H128" s="44"/>
      <c r="I128" s="44"/>
      <c r="J128" s="44"/>
      <c r="K128" s="44"/>
      <c r="L128" s="44"/>
      <c r="M128" s="44"/>
      <c r="N128" s="44"/>
      <c r="O128" s="44"/>
    </row>
    <row r="129" spans="1:15" ht="17.25" customHeight="1">
      <c r="A129" s="44"/>
      <c r="B129" s="44"/>
      <c r="C129" s="44"/>
      <c r="D129" s="44"/>
      <c r="E129" s="44"/>
      <c r="F129" s="44"/>
      <c r="G129" s="44"/>
      <c r="H129" s="44"/>
      <c r="I129" s="44"/>
      <c r="J129" s="44"/>
      <c r="K129" s="44"/>
      <c r="L129" s="44"/>
      <c r="M129" s="44"/>
      <c r="N129" s="44"/>
      <c r="O129" s="44"/>
    </row>
    <row r="130" spans="1:15" ht="17.25" customHeight="1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</row>
    <row r="131" spans="1:15" ht="17.25" customHeight="1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</row>
    <row r="132" spans="1:15" ht="17.25" customHeight="1">
      <c r="A132" s="44"/>
      <c r="B132" s="44"/>
      <c r="C132" s="44"/>
      <c r="D132" s="44"/>
      <c r="E132" s="44"/>
      <c r="F132" s="44"/>
      <c r="G132" s="44"/>
      <c r="H132" s="44"/>
      <c r="I132" s="44"/>
      <c r="J132" s="44"/>
      <c r="K132" s="44"/>
      <c r="L132" s="44"/>
      <c r="M132" s="44"/>
      <c r="N132" s="44"/>
      <c r="O132" s="44"/>
    </row>
    <row r="133" spans="1:15" ht="17.25" customHeight="1">
      <c r="A133" s="44"/>
      <c r="B133" s="44"/>
      <c r="C133" s="44"/>
      <c r="D133" s="44"/>
      <c r="E133" s="44"/>
      <c r="F133" s="44"/>
      <c r="G133" s="44"/>
      <c r="H133" s="44"/>
      <c r="I133" s="44"/>
      <c r="J133" s="44"/>
      <c r="K133" s="44"/>
      <c r="L133" s="44"/>
      <c r="M133" s="44"/>
      <c r="N133" s="44"/>
      <c r="O133" s="44"/>
    </row>
    <row r="134" spans="1:15" ht="17.25" customHeight="1">
      <c r="A134" s="44"/>
      <c r="B134" s="44"/>
      <c r="C134" s="44"/>
      <c r="D134" s="44"/>
      <c r="E134" s="44"/>
      <c r="F134" s="44"/>
      <c r="G134" s="44"/>
      <c r="H134" s="44"/>
      <c r="I134" s="44"/>
      <c r="J134" s="44"/>
      <c r="K134" s="44"/>
      <c r="L134" s="44"/>
      <c r="M134" s="44"/>
      <c r="N134" s="44"/>
      <c r="O134" s="44"/>
    </row>
    <row r="135" spans="1:15" ht="17.25" customHeight="1">
      <c r="A135" s="44"/>
      <c r="B135" s="44"/>
      <c r="C135" s="44"/>
      <c r="D135" s="44"/>
      <c r="E135" s="44"/>
      <c r="F135" s="44"/>
      <c r="G135" s="44"/>
      <c r="H135" s="44"/>
      <c r="I135" s="44"/>
      <c r="J135" s="44"/>
      <c r="K135" s="44"/>
      <c r="L135" s="44"/>
      <c r="M135" s="44"/>
      <c r="N135" s="44"/>
      <c r="O135" s="44"/>
    </row>
    <row r="136" spans="1:15" ht="17.25" customHeight="1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</row>
    <row r="137" spans="1:15" ht="17.25" customHeight="1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</row>
    <row r="138" spans="1:15" ht="17.25" customHeight="1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</row>
    <row r="139" spans="1:15" ht="17.25" customHeight="1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</row>
    <row r="140" spans="1:15" ht="17.25" customHeight="1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</row>
    <row r="141" spans="1:15" ht="17.25" customHeight="1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</row>
    <row r="142" spans="1:15" ht="17.25" customHeight="1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</row>
    <row r="143" spans="1:15" ht="17.25" customHeight="1">
      <c r="A143" s="44"/>
      <c r="B143" s="44"/>
      <c r="C143" s="44"/>
      <c r="D143" s="44"/>
      <c r="E143" s="44"/>
      <c r="F143" s="44"/>
      <c r="G143" s="44"/>
      <c r="H143" s="44"/>
      <c r="I143" s="44"/>
      <c r="J143" s="44"/>
      <c r="K143" s="44"/>
      <c r="L143" s="44"/>
      <c r="M143" s="44"/>
      <c r="N143" s="44"/>
      <c r="O143" s="44"/>
    </row>
    <row r="144" spans="1:15" ht="17.25" customHeight="1">
      <c r="A144" s="44"/>
      <c r="B144" s="44"/>
      <c r="C144" s="44"/>
      <c r="D144" s="44"/>
      <c r="E144" s="44"/>
      <c r="F144" s="44"/>
      <c r="G144" s="44"/>
      <c r="H144" s="44"/>
      <c r="I144" s="44"/>
      <c r="J144" s="44"/>
      <c r="K144" s="44"/>
      <c r="L144" s="44"/>
      <c r="M144" s="44"/>
      <c r="N144" s="44"/>
      <c r="O144" s="44"/>
    </row>
    <row r="145" spans="1:15" ht="17.25" customHeight="1">
      <c r="A145" s="44"/>
      <c r="B145" s="44"/>
      <c r="C145" s="44"/>
      <c r="D145" s="44"/>
      <c r="E145" s="44"/>
      <c r="F145" s="44"/>
      <c r="G145" s="44"/>
      <c r="H145" s="44"/>
      <c r="I145" s="44"/>
      <c r="J145" s="44"/>
      <c r="K145" s="44"/>
      <c r="L145" s="44"/>
      <c r="M145" s="44"/>
      <c r="N145" s="44"/>
      <c r="O145" s="44"/>
    </row>
    <row r="146" spans="1:15" ht="17.25" customHeight="1">
      <c r="A146" s="44"/>
      <c r="B146" s="44"/>
      <c r="C146" s="44"/>
      <c r="D146" s="44"/>
      <c r="E146" s="44"/>
      <c r="F146" s="44"/>
      <c r="G146" s="44"/>
      <c r="H146" s="44"/>
      <c r="I146" s="44"/>
      <c r="J146" s="44"/>
      <c r="K146" s="44"/>
      <c r="L146" s="44"/>
      <c r="M146" s="44"/>
      <c r="N146" s="44"/>
      <c r="O146" s="44"/>
    </row>
    <row r="147" spans="1:15" ht="17.25" customHeight="1">
      <c r="A147" s="44"/>
      <c r="B147" s="44"/>
      <c r="C147" s="44"/>
      <c r="D147" s="44"/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44"/>
    </row>
    <row r="148" spans="1:15" ht="17.25" customHeight="1">
      <c r="A148" s="44"/>
      <c r="B148" s="44"/>
      <c r="C148" s="44"/>
      <c r="D148" s="44"/>
      <c r="E148" s="44"/>
      <c r="F148" s="44"/>
      <c r="G148" s="44"/>
      <c r="H148" s="44"/>
      <c r="I148" s="44"/>
      <c r="J148" s="44"/>
      <c r="K148" s="44"/>
      <c r="L148" s="44"/>
      <c r="M148" s="44"/>
      <c r="N148" s="44"/>
      <c r="O148" s="44"/>
    </row>
    <row r="149" spans="1:15" ht="17.25" customHeight="1">
      <c r="A149" s="44"/>
      <c r="B149" s="44"/>
      <c r="C149" s="44"/>
      <c r="D149" s="44"/>
      <c r="E149" s="44"/>
      <c r="F149" s="44"/>
      <c r="G149" s="44"/>
      <c r="H149" s="44"/>
      <c r="I149" s="44"/>
      <c r="J149" s="44"/>
      <c r="K149" s="44"/>
      <c r="L149" s="44"/>
      <c r="M149" s="44"/>
      <c r="N149" s="44"/>
      <c r="O149" s="44"/>
    </row>
    <row r="150" spans="1:15" ht="17.25" customHeight="1">
      <c r="A150" s="44"/>
      <c r="B150" s="44"/>
      <c r="C150" s="44"/>
      <c r="D150" s="44"/>
      <c r="E150" s="44"/>
      <c r="F150" s="44"/>
      <c r="G150" s="44"/>
      <c r="H150" s="44"/>
      <c r="I150" s="44"/>
      <c r="J150" s="44"/>
      <c r="K150" s="44"/>
      <c r="L150" s="44"/>
      <c r="M150" s="44"/>
      <c r="N150" s="44"/>
      <c r="O150" s="44"/>
    </row>
    <row r="151" spans="1:15" ht="17.25" customHeight="1">
      <c r="A151" s="44"/>
      <c r="B151" s="44"/>
      <c r="C151" s="44"/>
      <c r="D151" s="44"/>
      <c r="E151" s="44"/>
      <c r="F151" s="44"/>
      <c r="G151" s="44"/>
      <c r="H151" s="44"/>
      <c r="I151" s="44"/>
      <c r="J151" s="44"/>
      <c r="K151" s="44"/>
      <c r="L151" s="44"/>
      <c r="M151" s="44"/>
      <c r="N151" s="44"/>
      <c r="O151" s="44"/>
    </row>
    <row r="152" spans="1:15" ht="17.25" customHeight="1">
      <c r="A152" s="44"/>
      <c r="B152" s="44"/>
      <c r="C152" s="44"/>
      <c r="D152" s="44"/>
      <c r="E152" s="44"/>
      <c r="F152" s="44"/>
      <c r="G152" s="44"/>
      <c r="H152" s="44"/>
      <c r="I152" s="44"/>
      <c r="J152" s="44"/>
      <c r="K152" s="44"/>
      <c r="L152" s="44"/>
      <c r="M152" s="44"/>
      <c r="N152" s="44"/>
      <c r="O152" s="44"/>
    </row>
    <row r="153" spans="1:15" ht="17.25" customHeight="1">
      <c r="A153" s="44"/>
      <c r="B153" s="44"/>
      <c r="C153" s="44"/>
      <c r="D153" s="44"/>
      <c r="E153" s="44"/>
      <c r="F153" s="44"/>
      <c r="G153" s="44"/>
      <c r="H153" s="44"/>
      <c r="I153" s="44"/>
      <c r="J153" s="44"/>
      <c r="K153" s="44"/>
      <c r="L153" s="44"/>
      <c r="M153" s="44"/>
      <c r="N153" s="44"/>
      <c r="O153" s="44"/>
    </row>
    <row r="154" spans="1:15" ht="17.25" customHeight="1">
      <c r="A154" s="44"/>
      <c r="B154" s="44"/>
      <c r="C154" s="44"/>
      <c r="D154" s="44"/>
      <c r="E154" s="44"/>
      <c r="F154" s="44"/>
      <c r="G154" s="44"/>
      <c r="H154" s="44"/>
      <c r="I154" s="44"/>
      <c r="J154" s="44"/>
      <c r="K154" s="44"/>
      <c r="L154" s="44"/>
      <c r="M154" s="44"/>
      <c r="N154" s="44"/>
      <c r="O154" s="44"/>
    </row>
    <row r="155" spans="1:15" ht="17.25" customHeight="1">
      <c r="A155" s="44"/>
      <c r="B155" s="44"/>
      <c r="C155" s="44"/>
      <c r="D155" s="44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</row>
    <row r="156" spans="1:15" ht="17.25" customHeight="1">
      <c r="A156" s="44"/>
      <c r="B156" s="44"/>
      <c r="C156" s="44"/>
      <c r="D156" s="44"/>
      <c r="E156" s="44"/>
      <c r="F156" s="44"/>
      <c r="G156" s="44"/>
      <c r="H156" s="44"/>
      <c r="I156" s="44"/>
      <c r="J156" s="44"/>
      <c r="K156" s="44"/>
      <c r="L156" s="44"/>
      <c r="M156" s="44"/>
      <c r="N156" s="44"/>
      <c r="O156" s="44"/>
    </row>
    <row r="157" spans="1:15" ht="17.25" customHeight="1">
      <c r="A157" s="44"/>
      <c r="B157" s="44"/>
      <c r="C157" s="44"/>
      <c r="D157" s="44"/>
      <c r="E157" s="44"/>
      <c r="F157" s="44"/>
      <c r="G157" s="44"/>
      <c r="H157" s="44"/>
      <c r="I157" s="44"/>
      <c r="J157" s="44"/>
      <c r="K157" s="44"/>
      <c r="L157" s="44"/>
      <c r="M157" s="44"/>
      <c r="N157" s="44"/>
      <c r="O157" s="44"/>
    </row>
    <row r="158" spans="1:15" ht="17.25" customHeight="1">
      <c r="A158" s="44"/>
      <c r="B158" s="44"/>
      <c r="C158" s="44"/>
      <c r="D158" s="44"/>
      <c r="E158" s="44"/>
      <c r="F158" s="44"/>
      <c r="G158" s="44"/>
      <c r="H158" s="44"/>
      <c r="I158" s="44"/>
      <c r="J158" s="44"/>
      <c r="K158" s="44"/>
      <c r="L158" s="44"/>
      <c r="M158" s="44"/>
      <c r="N158" s="44"/>
      <c r="O158" s="44"/>
    </row>
    <row r="159" spans="1:15" ht="17.25" customHeight="1">
      <c r="A159" s="44"/>
      <c r="B159" s="44"/>
      <c r="C159" s="44"/>
      <c r="D159" s="44"/>
      <c r="E159" s="44"/>
      <c r="F159" s="44"/>
      <c r="G159" s="44"/>
      <c r="H159" s="44"/>
      <c r="I159" s="44"/>
      <c r="J159" s="44"/>
      <c r="K159" s="44"/>
      <c r="L159" s="44"/>
      <c r="M159" s="44"/>
      <c r="N159" s="44"/>
      <c r="O159" s="44"/>
    </row>
    <row r="160" spans="1:15" ht="17.25" customHeight="1">
      <c r="A160" s="44"/>
      <c r="B160" s="44"/>
      <c r="C160" s="44"/>
      <c r="D160" s="44"/>
      <c r="E160" s="44"/>
      <c r="F160" s="44"/>
      <c r="G160" s="44"/>
      <c r="H160" s="44"/>
      <c r="I160" s="44"/>
      <c r="J160" s="44"/>
      <c r="K160" s="44"/>
      <c r="L160" s="44"/>
      <c r="M160" s="44"/>
      <c r="N160" s="44"/>
      <c r="O160" s="44"/>
    </row>
    <row r="161" spans="1:15" ht="17.25" customHeight="1">
      <c r="A161" s="44"/>
      <c r="B161" s="44"/>
      <c r="C161" s="44"/>
      <c r="D161" s="44"/>
      <c r="E161" s="44"/>
      <c r="F161" s="44"/>
      <c r="G161" s="44"/>
      <c r="H161" s="44"/>
      <c r="I161" s="44"/>
      <c r="J161" s="44"/>
      <c r="K161" s="44"/>
      <c r="L161" s="44"/>
      <c r="M161" s="44"/>
      <c r="N161" s="44"/>
      <c r="O161" s="44"/>
    </row>
    <row r="162" spans="1:15" ht="17.25" customHeight="1">
      <c r="A162" s="44"/>
      <c r="B162" s="44"/>
      <c r="C162" s="44"/>
      <c r="D162" s="44"/>
      <c r="E162" s="44"/>
      <c r="F162" s="44"/>
      <c r="G162" s="44"/>
      <c r="H162" s="44"/>
      <c r="I162" s="44"/>
      <c r="J162" s="44"/>
      <c r="K162" s="44"/>
      <c r="L162" s="44"/>
      <c r="M162" s="44"/>
      <c r="N162" s="44"/>
      <c r="O162" s="44"/>
    </row>
    <row r="163" spans="1:15" ht="17.25" customHeight="1">
      <c r="A163" s="44"/>
      <c r="B163" s="44"/>
      <c r="C163" s="44"/>
      <c r="D163" s="44"/>
      <c r="E163" s="44"/>
      <c r="F163" s="44"/>
      <c r="G163" s="44"/>
      <c r="H163" s="44"/>
      <c r="I163" s="44"/>
      <c r="J163" s="44"/>
      <c r="K163" s="44"/>
      <c r="L163" s="44"/>
      <c r="M163" s="44"/>
      <c r="N163" s="44"/>
      <c r="O163" s="44"/>
    </row>
    <row r="164" spans="1:15" ht="17.25" customHeight="1">
      <c r="A164" s="44"/>
      <c r="B164" s="44"/>
      <c r="C164" s="44"/>
      <c r="D164" s="44"/>
      <c r="E164" s="44"/>
      <c r="F164" s="44"/>
      <c r="G164" s="44"/>
      <c r="H164" s="44"/>
      <c r="I164" s="44"/>
      <c r="J164" s="44"/>
      <c r="K164" s="44"/>
      <c r="L164" s="44"/>
      <c r="M164" s="44"/>
      <c r="N164" s="44"/>
      <c r="O164" s="44"/>
    </row>
    <row r="165" spans="1:15" ht="17.25" customHeight="1">
      <c r="A165" s="44"/>
      <c r="B165" s="44"/>
      <c r="C165" s="44"/>
      <c r="D165" s="44"/>
      <c r="E165" s="44"/>
      <c r="F165" s="44"/>
      <c r="G165" s="44"/>
      <c r="H165" s="44"/>
      <c r="I165" s="44"/>
      <c r="J165" s="44"/>
      <c r="K165" s="44"/>
      <c r="L165" s="44"/>
      <c r="M165" s="44"/>
      <c r="N165" s="44"/>
      <c r="O165" s="44"/>
    </row>
    <row r="166" spans="1:15" ht="17.25" customHeight="1">
      <c r="A166" s="44"/>
      <c r="B166" s="44"/>
      <c r="C166" s="44"/>
      <c r="D166" s="44"/>
      <c r="E166" s="44"/>
      <c r="F166" s="44"/>
      <c r="G166" s="44"/>
      <c r="H166" s="44"/>
      <c r="I166" s="44"/>
      <c r="J166" s="44"/>
      <c r="K166" s="44"/>
      <c r="L166" s="44"/>
      <c r="M166" s="44"/>
      <c r="N166" s="44"/>
      <c r="O166" s="44"/>
    </row>
    <row r="167" spans="1:15" ht="17.25" customHeight="1">
      <c r="A167" s="44"/>
      <c r="B167" s="44"/>
      <c r="C167" s="44"/>
      <c r="D167" s="44"/>
      <c r="E167" s="44"/>
      <c r="F167" s="44"/>
      <c r="G167" s="44"/>
      <c r="H167" s="44"/>
      <c r="I167" s="44"/>
      <c r="J167" s="44"/>
      <c r="K167" s="44"/>
      <c r="L167" s="44"/>
      <c r="M167" s="44"/>
      <c r="N167" s="44"/>
      <c r="O167" s="44"/>
    </row>
    <row r="168" spans="1:15" ht="17.25" customHeight="1">
      <c r="A168" s="44"/>
      <c r="B168" s="44"/>
      <c r="C168" s="44"/>
      <c r="D168" s="44"/>
      <c r="E168" s="44"/>
      <c r="F168" s="44"/>
      <c r="G168" s="44"/>
      <c r="H168" s="44"/>
      <c r="I168" s="44"/>
      <c r="J168" s="44"/>
      <c r="K168" s="44"/>
      <c r="L168" s="44"/>
      <c r="M168" s="44"/>
      <c r="N168" s="44"/>
      <c r="O168" s="44"/>
    </row>
    <row r="169" spans="1:15" ht="17.25" customHeight="1">
      <c r="A169" s="44"/>
      <c r="B169" s="44"/>
      <c r="C169" s="44"/>
      <c r="D169" s="44"/>
      <c r="E169" s="44"/>
      <c r="F169" s="44"/>
      <c r="G169" s="44"/>
      <c r="H169" s="44"/>
      <c r="I169" s="44"/>
      <c r="J169" s="44"/>
      <c r="K169" s="44"/>
      <c r="L169" s="44"/>
      <c r="M169" s="44"/>
      <c r="N169" s="44"/>
      <c r="O169" s="44"/>
    </row>
    <row r="170" spans="1:15" ht="17.25" customHeight="1">
      <c r="A170" s="44"/>
      <c r="B170" s="44"/>
      <c r="C170" s="44"/>
      <c r="D170" s="44"/>
      <c r="E170" s="44"/>
      <c r="F170" s="44"/>
      <c r="G170" s="44"/>
      <c r="H170" s="44"/>
      <c r="I170" s="44"/>
      <c r="J170" s="44"/>
      <c r="K170" s="44"/>
      <c r="L170" s="44"/>
      <c r="M170" s="44"/>
      <c r="N170" s="44"/>
      <c r="O170" s="44"/>
    </row>
    <row r="171" spans="1:15" ht="17.25" customHeight="1">
      <c r="A171" s="44"/>
      <c r="B171" s="44"/>
      <c r="C171" s="44"/>
      <c r="D171" s="44"/>
      <c r="E171" s="44"/>
      <c r="F171" s="44"/>
      <c r="G171" s="44"/>
      <c r="H171" s="44"/>
      <c r="I171" s="44"/>
      <c r="J171" s="44"/>
      <c r="K171" s="44"/>
      <c r="L171" s="44"/>
      <c r="M171" s="44"/>
      <c r="N171" s="44"/>
      <c r="O171" s="44"/>
    </row>
    <row r="172" spans="1:15" ht="17.25" customHeight="1">
      <c r="A172" s="44"/>
      <c r="B172" s="44"/>
      <c r="C172" s="44"/>
      <c r="D172" s="44"/>
      <c r="E172" s="44"/>
      <c r="F172" s="44"/>
      <c r="G172" s="44"/>
      <c r="H172" s="44"/>
      <c r="I172" s="44"/>
      <c r="J172" s="44"/>
      <c r="K172" s="44"/>
      <c r="L172" s="44"/>
      <c r="M172" s="44"/>
      <c r="N172" s="44"/>
      <c r="O172" s="44"/>
    </row>
    <row r="173" spans="1:15" ht="17.25" customHeight="1">
      <c r="A173" s="44"/>
      <c r="B173" s="44"/>
      <c r="C173" s="44"/>
      <c r="D173" s="44"/>
      <c r="E173" s="44"/>
      <c r="F173" s="44"/>
      <c r="G173" s="44"/>
      <c r="H173" s="44"/>
      <c r="I173" s="44"/>
      <c r="J173" s="44"/>
      <c r="K173" s="44"/>
      <c r="L173" s="44"/>
      <c r="M173" s="44"/>
      <c r="N173" s="44"/>
      <c r="O173" s="44"/>
    </row>
    <row r="174" spans="1:15" ht="17.25" customHeight="1">
      <c r="A174" s="44"/>
      <c r="B174" s="44"/>
      <c r="C174" s="44"/>
      <c r="D174" s="44"/>
      <c r="E174" s="44"/>
      <c r="F174" s="44"/>
      <c r="G174" s="44"/>
      <c r="H174" s="44"/>
      <c r="I174" s="44"/>
      <c r="J174" s="44"/>
      <c r="K174" s="44"/>
      <c r="L174" s="44"/>
      <c r="M174" s="44"/>
      <c r="N174" s="44"/>
      <c r="O174" s="44"/>
    </row>
    <row r="175" spans="1:15" ht="17.25" customHeight="1">
      <c r="A175" s="44"/>
      <c r="B175" s="44"/>
      <c r="C175" s="44"/>
      <c r="D175" s="44"/>
      <c r="E175" s="44"/>
      <c r="F175" s="44"/>
      <c r="G175" s="44"/>
      <c r="H175" s="44"/>
      <c r="I175" s="44"/>
      <c r="J175" s="44"/>
      <c r="K175" s="44"/>
      <c r="L175" s="44"/>
      <c r="M175" s="44"/>
      <c r="N175" s="44"/>
      <c r="O175" s="44"/>
    </row>
    <row r="176" spans="1:15" ht="17.25" customHeight="1">
      <c r="A176" s="44"/>
      <c r="B176" s="44"/>
      <c r="C176" s="44"/>
      <c r="D176" s="44"/>
      <c r="E176" s="44"/>
      <c r="F176" s="44"/>
      <c r="G176" s="44"/>
      <c r="H176" s="44"/>
      <c r="I176" s="44"/>
      <c r="J176" s="44"/>
      <c r="K176" s="44"/>
      <c r="L176" s="44"/>
      <c r="M176" s="44"/>
      <c r="N176" s="44"/>
      <c r="O176" s="44"/>
    </row>
    <row r="177" spans="1:15" ht="17.25" customHeight="1">
      <c r="A177" s="44"/>
      <c r="B177" s="44"/>
      <c r="C177" s="44"/>
      <c r="D177" s="44"/>
      <c r="E177" s="44"/>
      <c r="F177" s="44"/>
      <c r="G177" s="44"/>
      <c r="H177" s="44"/>
      <c r="I177" s="44"/>
      <c r="J177" s="44"/>
      <c r="K177" s="44"/>
      <c r="L177" s="44"/>
      <c r="M177" s="44"/>
      <c r="N177" s="44"/>
      <c r="O177" s="44"/>
    </row>
    <row r="178" spans="1:15" ht="17.25" customHeight="1">
      <c r="A178" s="44"/>
      <c r="B178" s="44"/>
      <c r="C178" s="44"/>
      <c r="D178" s="44"/>
      <c r="E178" s="44"/>
      <c r="F178" s="44"/>
      <c r="G178" s="44"/>
      <c r="H178" s="44"/>
      <c r="I178" s="44"/>
      <c r="J178" s="44"/>
      <c r="K178" s="44"/>
      <c r="L178" s="44"/>
      <c r="M178" s="44"/>
      <c r="N178" s="44"/>
      <c r="O178" s="44"/>
    </row>
    <row r="179" spans="1:15" ht="17.25" customHeight="1">
      <c r="A179" s="44"/>
      <c r="B179" s="44"/>
      <c r="C179" s="44"/>
      <c r="D179" s="44"/>
      <c r="E179" s="44"/>
      <c r="F179" s="44"/>
      <c r="G179" s="44"/>
      <c r="H179" s="44"/>
      <c r="I179" s="44"/>
      <c r="J179" s="44"/>
      <c r="K179" s="44"/>
      <c r="L179" s="44"/>
      <c r="M179" s="44"/>
      <c r="N179" s="44"/>
      <c r="O179" s="44"/>
    </row>
    <row r="180" spans="1:15" ht="17.25" customHeight="1">
      <c r="A180" s="44"/>
      <c r="B180" s="44"/>
      <c r="C180" s="44"/>
      <c r="D180" s="44"/>
      <c r="E180" s="44"/>
      <c r="F180" s="44"/>
      <c r="G180" s="44"/>
      <c r="H180" s="44"/>
      <c r="I180" s="44"/>
      <c r="J180" s="44"/>
      <c r="K180" s="44"/>
      <c r="L180" s="44"/>
      <c r="M180" s="44"/>
      <c r="N180" s="44"/>
      <c r="O180" s="44"/>
    </row>
    <row r="181" spans="1:15" ht="17.25" customHeight="1">
      <c r="A181" s="44"/>
      <c r="B181" s="44"/>
      <c r="C181" s="44"/>
      <c r="D181" s="44"/>
      <c r="E181" s="44"/>
      <c r="F181" s="44"/>
      <c r="G181" s="44"/>
      <c r="H181" s="44"/>
      <c r="I181" s="44"/>
      <c r="J181" s="44"/>
      <c r="K181" s="44"/>
      <c r="L181" s="44"/>
      <c r="M181" s="44"/>
      <c r="N181" s="44"/>
      <c r="O181" s="44"/>
    </row>
    <row r="182" spans="1:15" ht="17.25" customHeight="1">
      <c r="A182" s="44"/>
      <c r="B182" s="44"/>
      <c r="C182" s="44"/>
      <c r="D182" s="44"/>
      <c r="E182" s="44"/>
      <c r="F182" s="44"/>
      <c r="G182" s="44"/>
      <c r="H182" s="44"/>
      <c r="I182" s="44"/>
      <c r="J182" s="44"/>
      <c r="K182" s="44"/>
      <c r="L182" s="44"/>
      <c r="M182" s="44"/>
      <c r="N182" s="44"/>
      <c r="O182" s="44"/>
    </row>
    <row r="183" spans="1:15" ht="17.25" customHeight="1">
      <c r="A183" s="44"/>
      <c r="B183" s="44"/>
      <c r="C183" s="44"/>
      <c r="D183" s="44"/>
      <c r="E183" s="44"/>
      <c r="F183" s="44"/>
      <c r="G183" s="44"/>
      <c r="H183" s="44"/>
      <c r="I183" s="44"/>
      <c r="J183" s="44"/>
      <c r="K183" s="44"/>
      <c r="L183" s="44"/>
      <c r="M183" s="44"/>
      <c r="N183" s="44"/>
      <c r="O183" s="44"/>
    </row>
    <row r="184" spans="1:15" ht="17.25" customHeight="1">
      <c r="A184" s="44"/>
      <c r="B184" s="44"/>
      <c r="C184" s="44"/>
      <c r="D184" s="44"/>
      <c r="E184" s="44"/>
      <c r="F184" s="44"/>
      <c r="G184" s="44"/>
      <c r="H184" s="44"/>
      <c r="I184" s="44"/>
      <c r="J184" s="44"/>
      <c r="K184" s="44"/>
      <c r="L184" s="44"/>
      <c r="M184" s="44"/>
      <c r="N184" s="44"/>
      <c r="O184" s="44"/>
    </row>
    <row r="185" spans="1:15" ht="17.25" customHeight="1">
      <c r="A185" s="44"/>
      <c r="B185" s="44"/>
      <c r="C185" s="44"/>
      <c r="D185" s="44"/>
      <c r="E185" s="44"/>
      <c r="F185" s="44"/>
      <c r="G185" s="44"/>
      <c r="H185" s="44"/>
      <c r="I185" s="44"/>
      <c r="J185" s="44"/>
      <c r="K185" s="44"/>
      <c r="L185" s="44"/>
      <c r="M185" s="44"/>
      <c r="N185" s="44"/>
      <c r="O185" s="44"/>
    </row>
    <row r="186" spans="1:15" ht="17.25" customHeight="1">
      <c r="A186" s="44"/>
      <c r="B186" s="44"/>
      <c r="C186" s="44"/>
      <c r="D186" s="44"/>
      <c r="E186" s="44"/>
      <c r="F186" s="44"/>
      <c r="G186" s="44"/>
      <c r="H186" s="44"/>
      <c r="I186" s="44"/>
      <c r="J186" s="44"/>
      <c r="K186" s="44"/>
      <c r="L186" s="44"/>
      <c r="M186" s="44"/>
      <c r="N186" s="44"/>
      <c r="O186" s="44"/>
    </row>
    <row r="187" spans="1:15" ht="17.25" customHeight="1">
      <c r="A187" s="44"/>
      <c r="B187" s="44"/>
      <c r="C187" s="44"/>
      <c r="D187" s="44"/>
      <c r="E187" s="44"/>
      <c r="F187" s="44"/>
      <c r="G187" s="44"/>
      <c r="H187" s="44"/>
      <c r="I187" s="44"/>
      <c r="J187" s="44"/>
      <c r="K187" s="44"/>
      <c r="L187" s="44"/>
      <c r="M187" s="44"/>
      <c r="N187" s="44"/>
      <c r="O187" s="44"/>
    </row>
    <row r="188" spans="1:15" ht="17.25" customHeight="1">
      <c r="A188" s="44"/>
      <c r="B188" s="44"/>
      <c r="C188" s="44"/>
      <c r="D188" s="44"/>
      <c r="E188" s="44"/>
      <c r="F188" s="44"/>
      <c r="G188" s="44"/>
      <c r="H188" s="44"/>
      <c r="I188" s="44"/>
      <c r="J188" s="44"/>
      <c r="K188" s="44"/>
      <c r="L188" s="44"/>
      <c r="M188" s="44"/>
      <c r="N188" s="44"/>
      <c r="O188" s="44"/>
    </row>
    <row r="189" spans="1:15" ht="17.25" customHeight="1">
      <c r="A189" s="44"/>
      <c r="B189" s="44"/>
      <c r="C189" s="44"/>
      <c r="D189" s="44"/>
      <c r="E189" s="44"/>
      <c r="F189" s="44"/>
      <c r="G189" s="44"/>
      <c r="H189" s="44"/>
      <c r="I189" s="44"/>
      <c r="J189" s="44"/>
      <c r="K189" s="44"/>
      <c r="L189" s="44"/>
      <c r="M189" s="44"/>
      <c r="N189" s="44"/>
      <c r="O189" s="44"/>
    </row>
    <row r="190" spans="1:15" ht="17.25" customHeight="1">
      <c r="A190" s="44"/>
      <c r="B190" s="44"/>
      <c r="C190" s="44"/>
      <c r="D190" s="44"/>
      <c r="E190" s="44"/>
      <c r="F190" s="44"/>
      <c r="G190" s="44"/>
      <c r="H190" s="44"/>
      <c r="I190" s="44"/>
      <c r="J190" s="44"/>
      <c r="K190" s="44"/>
      <c r="L190" s="44"/>
      <c r="M190" s="44"/>
      <c r="N190" s="44"/>
      <c r="O190" s="44"/>
    </row>
    <row r="191" spans="1:15" ht="17.25" customHeight="1">
      <c r="A191" s="44"/>
      <c r="B191" s="44"/>
      <c r="C191" s="44"/>
      <c r="D191" s="44"/>
      <c r="E191" s="44"/>
      <c r="F191" s="44"/>
      <c r="G191" s="44"/>
      <c r="H191" s="44"/>
      <c r="I191" s="44"/>
      <c r="J191" s="44"/>
      <c r="K191" s="44"/>
      <c r="L191" s="44"/>
      <c r="M191" s="44"/>
      <c r="N191" s="44"/>
      <c r="O191" s="44"/>
    </row>
    <row r="192" spans="1:15" ht="17.25" customHeight="1">
      <c r="A192" s="44"/>
      <c r="B192" s="44"/>
      <c r="C192" s="44"/>
      <c r="D192" s="44"/>
      <c r="E192" s="44"/>
      <c r="F192" s="44"/>
      <c r="G192" s="44"/>
      <c r="H192" s="44"/>
      <c r="I192" s="44"/>
      <c r="J192" s="44"/>
      <c r="K192" s="44"/>
      <c r="L192" s="44"/>
      <c r="M192" s="44"/>
      <c r="N192" s="44"/>
      <c r="O192" s="44"/>
    </row>
    <row r="193" spans="1:15" ht="17.25" customHeight="1">
      <c r="A193" s="44"/>
      <c r="B193" s="44"/>
      <c r="C193" s="44"/>
      <c r="D193" s="44"/>
      <c r="E193" s="44"/>
      <c r="F193" s="44"/>
      <c r="G193" s="44"/>
      <c r="H193" s="44"/>
      <c r="I193" s="44"/>
      <c r="J193" s="44"/>
      <c r="K193" s="44"/>
      <c r="L193" s="44"/>
      <c r="M193" s="44"/>
      <c r="N193" s="44"/>
      <c r="O193" s="44"/>
    </row>
    <row r="194" spans="1:15" ht="17.25" customHeight="1">
      <c r="A194" s="44"/>
      <c r="B194" s="44"/>
      <c r="C194" s="44"/>
      <c r="D194" s="44"/>
      <c r="E194" s="44"/>
      <c r="F194" s="44"/>
      <c r="G194" s="44"/>
      <c r="H194" s="44"/>
      <c r="I194" s="44"/>
      <c r="J194" s="44"/>
      <c r="K194" s="44"/>
      <c r="L194" s="44"/>
      <c r="M194" s="44"/>
      <c r="N194" s="44"/>
      <c r="O194" s="44"/>
    </row>
    <row r="195" spans="1:15" ht="17.25" customHeight="1">
      <c r="A195" s="44"/>
      <c r="B195" s="44"/>
      <c r="C195" s="44"/>
      <c r="D195" s="44"/>
      <c r="E195" s="44"/>
      <c r="F195" s="44"/>
      <c r="G195" s="44"/>
      <c r="H195" s="44"/>
      <c r="I195" s="44"/>
      <c r="J195" s="44"/>
      <c r="K195" s="44"/>
      <c r="L195" s="44"/>
      <c r="M195" s="44"/>
      <c r="N195" s="44"/>
      <c r="O195" s="44"/>
    </row>
    <row r="196" spans="1:15" ht="17.25" customHeight="1">
      <c r="A196" s="44"/>
      <c r="B196" s="44"/>
      <c r="C196" s="44"/>
      <c r="D196" s="44"/>
      <c r="E196" s="44"/>
      <c r="F196" s="44"/>
      <c r="G196" s="44"/>
      <c r="H196" s="44"/>
      <c r="I196" s="44"/>
      <c r="J196" s="44"/>
      <c r="K196" s="44"/>
      <c r="L196" s="44"/>
      <c r="M196" s="44"/>
      <c r="N196" s="44"/>
      <c r="O196" s="44"/>
    </row>
    <row r="197" spans="1:15" ht="17.25" customHeight="1">
      <c r="A197" s="44"/>
      <c r="B197" s="44"/>
      <c r="C197" s="44"/>
      <c r="D197" s="44"/>
      <c r="E197" s="44"/>
      <c r="F197" s="44"/>
      <c r="G197" s="44"/>
      <c r="H197" s="44"/>
      <c r="I197" s="44"/>
      <c r="J197" s="44"/>
      <c r="K197" s="44"/>
      <c r="L197" s="44"/>
      <c r="M197" s="44"/>
      <c r="N197" s="44"/>
      <c r="O197" s="44"/>
    </row>
    <row r="198" spans="1:15" ht="17.25" customHeight="1">
      <c r="A198" s="44"/>
      <c r="B198" s="44"/>
      <c r="C198" s="44"/>
      <c r="D198" s="44"/>
      <c r="E198" s="44"/>
      <c r="F198" s="44"/>
      <c r="G198" s="44"/>
      <c r="H198" s="44"/>
      <c r="I198" s="44"/>
      <c r="J198" s="44"/>
      <c r="K198" s="44"/>
      <c r="L198" s="44"/>
      <c r="M198" s="44"/>
      <c r="N198" s="44"/>
      <c r="O198" s="44"/>
    </row>
    <row r="199" spans="1:15" ht="17.25" customHeight="1">
      <c r="A199" s="44"/>
      <c r="B199" s="44"/>
      <c r="C199" s="44"/>
      <c r="D199" s="44"/>
      <c r="E199" s="44"/>
      <c r="F199" s="44"/>
      <c r="G199" s="44"/>
      <c r="H199" s="44"/>
      <c r="I199" s="44"/>
      <c r="J199" s="44"/>
      <c r="K199" s="44"/>
      <c r="L199" s="44"/>
      <c r="M199" s="44"/>
      <c r="N199" s="44"/>
      <c r="O199" s="44"/>
    </row>
    <row r="200" spans="1:15" ht="17.25" customHeight="1">
      <c r="A200" s="44"/>
      <c r="B200" s="44"/>
      <c r="C200" s="44"/>
      <c r="D200" s="44"/>
      <c r="E200" s="44"/>
      <c r="F200" s="44"/>
      <c r="G200" s="44"/>
      <c r="H200" s="44"/>
      <c r="I200" s="44"/>
      <c r="J200" s="44"/>
      <c r="K200" s="44"/>
      <c r="L200" s="44"/>
      <c r="M200" s="44"/>
      <c r="N200" s="44"/>
      <c r="O200" s="44"/>
    </row>
    <row r="201" spans="1:15" ht="17.25" customHeight="1">
      <c r="A201" s="44"/>
      <c r="B201" s="44"/>
      <c r="C201" s="44"/>
      <c r="D201" s="44"/>
      <c r="E201" s="44"/>
      <c r="F201" s="44"/>
      <c r="G201" s="44"/>
      <c r="H201" s="44"/>
      <c r="I201" s="44"/>
      <c r="J201" s="44"/>
      <c r="K201" s="44"/>
      <c r="L201" s="44"/>
      <c r="M201" s="44"/>
      <c r="N201" s="44"/>
      <c r="O201" s="44"/>
    </row>
    <row r="202" spans="1:15" ht="17.25" customHeight="1">
      <c r="A202" s="44"/>
      <c r="B202" s="44"/>
      <c r="C202" s="44"/>
      <c r="D202" s="44"/>
      <c r="E202" s="44"/>
      <c r="F202" s="44"/>
      <c r="G202" s="44"/>
      <c r="H202" s="44"/>
      <c r="I202" s="44"/>
      <c r="J202" s="44"/>
      <c r="K202" s="44"/>
      <c r="L202" s="44"/>
      <c r="M202" s="44"/>
      <c r="N202" s="44"/>
      <c r="O202" s="44"/>
    </row>
    <row r="203" spans="1:15" ht="17.25" customHeight="1">
      <c r="A203" s="44"/>
      <c r="B203" s="44"/>
      <c r="C203" s="44"/>
      <c r="D203" s="44"/>
      <c r="E203" s="44"/>
      <c r="F203" s="44"/>
      <c r="G203" s="44"/>
      <c r="H203" s="44"/>
      <c r="I203" s="44"/>
      <c r="J203" s="44"/>
      <c r="K203" s="44"/>
      <c r="L203" s="44"/>
      <c r="M203" s="44"/>
      <c r="N203" s="44"/>
      <c r="O203" s="44"/>
    </row>
    <row r="204" spans="1:15" ht="17.25" customHeight="1">
      <c r="A204" s="44"/>
      <c r="B204" s="44"/>
      <c r="C204" s="44"/>
      <c r="D204" s="44"/>
      <c r="E204" s="44"/>
      <c r="F204" s="44"/>
      <c r="G204" s="44"/>
      <c r="H204" s="44"/>
      <c r="I204" s="44"/>
      <c r="J204" s="44"/>
      <c r="K204" s="44"/>
      <c r="L204" s="44"/>
      <c r="M204" s="44"/>
      <c r="N204" s="44"/>
      <c r="O204" s="44"/>
    </row>
    <row r="205" spans="1:15" ht="17.25" customHeight="1">
      <c r="A205" s="44"/>
      <c r="B205" s="44"/>
      <c r="C205" s="44"/>
      <c r="D205" s="44"/>
      <c r="E205" s="44"/>
      <c r="F205" s="44"/>
      <c r="G205" s="44"/>
      <c r="H205" s="44"/>
      <c r="I205" s="44"/>
      <c r="J205" s="44"/>
      <c r="K205" s="44"/>
      <c r="L205" s="44"/>
      <c r="M205" s="44"/>
      <c r="N205" s="44"/>
      <c r="O205" s="44"/>
    </row>
    <row r="206" spans="1:15" ht="17.25" customHeight="1">
      <c r="A206" s="44"/>
      <c r="B206" s="44"/>
      <c r="C206" s="44"/>
      <c r="D206" s="44"/>
      <c r="E206" s="44"/>
      <c r="F206" s="44"/>
      <c r="G206" s="44"/>
      <c r="H206" s="44"/>
      <c r="I206" s="44"/>
      <c r="J206" s="44"/>
      <c r="K206" s="44"/>
      <c r="L206" s="44"/>
      <c r="M206" s="44"/>
      <c r="N206" s="44"/>
      <c r="O206" s="44"/>
    </row>
    <row r="207" spans="1:15" ht="17.25" customHeight="1">
      <c r="A207" s="44"/>
      <c r="B207" s="44"/>
      <c r="C207" s="44"/>
      <c r="D207" s="44"/>
      <c r="E207" s="44"/>
      <c r="F207" s="44"/>
      <c r="G207" s="44"/>
      <c r="H207" s="44"/>
      <c r="I207" s="44"/>
      <c r="J207" s="44"/>
      <c r="K207" s="44"/>
      <c r="L207" s="44"/>
      <c r="M207" s="44"/>
      <c r="N207" s="44"/>
      <c r="O207" s="44"/>
    </row>
    <row r="208" spans="1:15" ht="17.25" customHeight="1">
      <c r="A208" s="44"/>
      <c r="B208" s="44"/>
      <c r="C208" s="44"/>
      <c r="D208" s="44"/>
      <c r="E208" s="44"/>
      <c r="F208" s="44"/>
      <c r="G208" s="44"/>
      <c r="H208" s="44"/>
      <c r="I208" s="44"/>
      <c r="J208" s="44"/>
      <c r="K208" s="44"/>
      <c r="L208" s="44"/>
      <c r="M208" s="44"/>
      <c r="N208" s="44"/>
      <c r="O208" s="44"/>
    </row>
    <row r="209" spans="1:15" ht="17.25" customHeight="1">
      <c r="A209" s="44"/>
      <c r="B209" s="44"/>
      <c r="C209" s="44"/>
      <c r="D209" s="44"/>
      <c r="E209" s="44"/>
      <c r="F209" s="44"/>
      <c r="G209" s="44"/>
      <c r="H209" s="44"/>
      <c r="I209" s="44"/>
      <c r="J209" s="44"/>
      <c r="K209" s="44"/>
      <c r="L209" s="44"/>
      <c r="M209" s="44"/>
      <c r="N209" s="44"/>
      <c r="O209" s="44"/>
    </row>
    <row r="210" spans="1:15" ht="17.25" customHeight="1">
      <c r="A210" s="44"/>
      <c r="B210" s="44"/>
      <c r="C210" s="44"/>
      <c r="D210" s="44"/>
      <c r="E210" s="44"/>
      <c r="F210" s="44"/>
      <c r="G210" s="44"/>
      <c r="H210" s="44"/>
      <c r="I210" s="44"/>
      <c r="J210" s="44"/>
      <c r="K210" s="44"/>
      <c r="L210" s="44"/>
      <c r="M210" s="44"/>
      <c r="N210" s="44"/>
      <c r="O210" s="44"/>
    </row>
    <row r="211" spans="1:15" ht="17.25" customHeight="1">
      <c r="A211" s="44"/>
      <c r="B211" s="44"/>
      <c r="C211" s="44"/>
      <c r="D211" s="44"/>
      <c r="E211" s="44"/>
      <c r="F211" s="44"/>
      <c r="G211" s="44"/>
      <c r="H211" s="44"/>
      <c r="I211" s="44"/>
      <c r="J211" s="44"/>
      <c r="K211" s="44"/>
      <c r="L211" s="44"/>
      <c r="M211" s="44"/>
      <c r="N211" s="44"/>
      <c r="O211" s="44"/>
    </row>
    <row r="212" spans="1:15" ht="17.25" customHeight="1">
      <c r="A212" s="44"/>
      <c r="B212" s="44"/>
      <c r="C212" s="44"/>
      <c r="D212" s="44"/>
      <c r="E212" s="44"/>
      <c r="F212" s="44"/>
      <c r="G212" s="44"/>
      <c r="H212" s="44"/>
      <c r="I212" s="44"/>
      <c r="J212" s="44"/>
      <c r="K212" s="44"/>
      <c r="L212" s="44"/>
      <c r="M212" s="44"/>
      <c r="N212" s="44"/>
      <c r="O212" s="44"/>
    </row>
    <row r="213" spans="1:15" ht="17.25" customHeight="1">
      <c r="A213" s="44"/>
      <c r="B213" s="44"/>
      <c r="C213" s="44"/>
      <c r="D213" s="44"/>
      <c r="E213" s="44"/>
      <c r="F213" s="44"/>
      <c r="G213" s="44"/>
      <c r="H213" s="44"/>
      <c r="I213" s="44"/>
      <c r="J213" s="44"/>
      <c r="K213" s="44"/>
      <c r="L213" s="44"/>
      <c r="M213" s="44"/>
      <c r="N213" s="44"/>
      <c r="O213" s="44"/>
    </row>
    <row r="214" spans="1:15" ht="17.25" customHeight="1">
      <c r="A214" s="44"/>
      <c r="B214" s="44"/>
      <c r="C214" s="44"/>
      <c r="D214" s="44"/>
      <c r="E214" s="44"/>
      <c r="F214" s="44"/>
      <c r="G214" s="44"/>
      <c r="H214" s="44"/>
      <c r="I214" s="44"/>
      <c r="J214" s="44"/>
      <c r="K214" s="44"/>
      <c r="L214" s="44"/>
      <c r="M214" s="44"/>
      <c r="N214" s="44"/>
      <c r="O214" s="44"/>
    </row>
    <row r="215" spans="1:15" ht="17.25" customHeight="1">
      <c r="A215" s="44"/>
      <c r="B215" s="44"/>
      <c r="C215" s="44"/>
      <c r="D215" s="44"/>
      <c r="E215" s="44"/>
      <c r="F215" s="44"/>
      <c r="G215" s="44"/>
      <c r="H215" s="44"/>
      <c r="I215" s="44"/>
      <c r="J215" s="44"/>
      <c r="K215" s="44"/>
      <c r="L215" s="44"/>
      <c r="M215" s="44"/>
      <c r="N215" s="44"/>
      <c r="O215" s="44"/>
    </row>
    <row r="216" spans="1:15" ht="17.25" customHeight="1">
      <c r="A216" s="44"/>
      <c r="B216" s="44"/>
      <c r="C216" s="44"/>
      <c r="D216" s="44"/>
      <c r="E216" s="44"/>
      <c r="F216" s="44"/>
      <c r="G216" s="44"/>
      <c r="H216" s="44"/>
      <c r="I216" s="44"/>
      <c r="J216" s="44"/>
      <c r="K216" s="44"/>
      <c r="L216" s="44"/>
      <c r="M216" s="44"/>
      <c r="N216" s="44"/>
      <c r="O216" s="44"/>
    </row>
    <row r="217" spans="1:15" ht="17.25" customHeight="1">
      <c r="A217" s="44"/>
      <c r="B217" s="44"/>
      <c r="C217" s="44"/>
      <c r="D217" s="44"/>
      <c r="E217" s="44"/>
      <c r="F217" s="44"/>
      <c r="G217" s="44"/>
      <c r="H217" s="44"/>
      <c r="I217" s="44"/>
      <c r="J217" s="44"/>
      <c r="K217" s="44"/>
      <c r="L217" s="44"/>
      <c r="M217" s="44"/>
      <c r="N217" s="44"/>
      <c r="O217" s="44"/>
    </row>
    <row r="218" spans="1:15" ht="17.25" customHeight="1">
      <c r="A218" s="44"/>
      <c r="B218" s="44"/>
      <c r="C218" s="44"/>
      <c r="D218" s="44"/>
      <c r="E218" s="44"/>
      <c r="F218" s="44"/>
      <c r="G218" s="44"/>
      <c r="H218" s="44"/>
      <c r="I218" s="44"/>
      <c r="J218" s="44"/>
      <c r="K218" s="44"/>
      <c r="L218" s="44"/>
      <c r="M218" s="44"/>
      <c r="N218" s="44"/>
      <c r="O218" s="44"/>
    </row>
    <row r="219" spans="1:15" ht="17.25" customHeight="1">
      <c r="A219" s="44"/>
      <c r="B219" s="44"/>
      <c r="C219" s="44"/>
      <c r="D219" s="44"/>
      <c r="E219" s="44"/>
      <c r="F219" s="44"/>
      <c r="G219" s="44"/>
      <c r="H219" s="44"/>
      <c r="I219" s="44"/>
      <c r="J219" s="44"/>
      <c r="K219" s="44"/>
      <c r="L219" s="44"/>
      <c r="M219" s="44"/>
      <c r="N219" s="44"/>
      <c r="O219" s="44"/>
    </row>
    <row r="220" spans="1:15" ht="17.25" customHeight="1">
      <c r="A220" s="44"/>
      <c r="B220" s="44"/>
      <c r="C220" s="44"/>
      <c r="D220" s="44"/>
      <c r="E220" s="44"/>
      <c r="F220" s="44"/>
      <c r="G220" s="44"/>
      <c r="H220" s="44"/>
      <c r="I220" s="44"/>
      <c r="J220" s="44"/>
      <c r="K220" s="44"/>
      <c r="L220" s="44"/>
      <c r="M220" s="44"/>
      <c r="N220" s="44"/>
      <c r="O220" s="44"/>
    </row>
    <row r="221" spans="1:15" ht="17.25" customHeight="1">
      <c r="A221" s="44"/>
      <c r="B221" s="44"/>
      <c r="C221" s="44"/>
      <c r="D221" s="44"/>
      <c r="E221" s="44"/>
      <c r="F221" s="44"/>
      <c r="G221" s="44"/>
      <c r="H221" s="44"/>
      <c r="I221" s="44"/>
      <c r="J221" s="44"/>
      <c r="K221" s="44"/>
      <c r="L221" s="44"/>
      <c r="M221" s="44"/>
      <c r="N221" s="44"/>
      <c r="O221" s="44"/>
    </row>
    <row r="222" spans="1:15" ht="17.25" customHeight="1">
      <c r="A222" s="44"/>
      <c r="B222" s="44"/>
      <c r="C222" s="44"/>
      <c r="D222" s="44"/>
      <c r="E222" s="44"/>
      <c r="F222" s="44"/>
      <c r="G222" s="44"/>
      <c r="H222" s="44"/>
      <c r="I222" s="44"/>
      <c r="J222" s="44"/>
      <c r="K222" s="44"/>
      <c r="L222" s="44"/>
      <c r="M222" s="44"/>
      <c r="N222" s="44"/>
      <c r="O222" s="44"/>
    </row>
    <row r="223" spans="1:15" ht="17.25" customHeight="1">
      <c r="A223" s="44"/>
      <c r="B223" s="44"/>
      <c r="C223" s="44"/>
      <c r="D223" s="44"/>
      <c r="E223" s="44"/>
      <c r="F223" s="44"/>
      <c r="G223" s="44"/>
      <c r="H223" s="44"/>
      <c r="I223" s="44"/>
      <c r="J223" s="44"/>
      <c r="K223" s="44"/>
      <c r="L223" s="44"/>
      <c r="M223" s="44"/>
      <c r="N223" s="44"/>
      <c r="O223" s="44"/>
    </row>
    <row r="224" spans="1:15" ht="17.25" customHeight="1">
      <c r="A224" s="44"/>
      <c r="B224" s="44"/>
      <c r="C224" s="44"/>
      <c r="D224" s="44"/>
      <c r="E224" s="44"/>
      <c r="F224" s="44"/>
      <c r="G224" s="44"/>
      <c r="H224" s="44"/>
      <c r="I224" s="44"/>
      <c r="J224" s="44"/>
      <c r="K224" s="44"/>
      <c r="L224" s="44"/>
      <c r="M224" s="44"/>
      <c r="N224" s="44"/>
      <c r="O224" s="44"/>
    </row>
    <row r="225" spans="1:15" ht="17.25" customHeight="1">
      <c r="A225" s="44"/>
      <c r="B225" s="44"/>
      <c r="C225" s="44"/>
      <c r="D225" s="44"/>
      <c r="E225" s="44"/>
      <c r="F225" s="44"/>
      <c r="G225" s="44"/>
      <c r="H225" s="44"/>
      <c r="I225" s="44"/>
      <c r="J225" s="44"/>
      <c r="K225" s="44"/>
      <c r="L225" s="44"/>
      <c r="M225" s="44"/>
      <c r="N225" s="44"/>
      <c r="O225" s="44"/>
    </row>
    <row r="226" spans="1:15" ht="17.25" customHeight="1">
      <c r="A226" s="44"/>
      <c r="B226" s="44"/>
      <c r="C226" s="44"/>
      <c r="D226" s="44"/>
      <c r="E226" s="44"/>
      <c r="F226" s="44"/>
      <c r="G226" s="44"/>
      <c r="H226" s="44"/>
      <c r="I226" s="44"/>
      <c r="J226" s="44"/>
      <c r="K226" s="44"/>
      <c r="L226" s="44"/>
      <c r="M226" s="44"/>
      <c r="N226" s="44"/>
      <c r="O226" s="44"/>
    </row>
    <row r="227" spans="1:15" ht="17.25" customHeight="1">
      <c r="A227" s="44"/>
      <c r="B227" s="44"/>
      <c r="C227" s="44"/>
      <c r="D227" s="44"/>
      <c r="E227" s="44"/>
      <c r="F227" s="44"/>
      <c r="G227" s="44"/>
      <c r="H227" s="44"/>
      <c r="I227" s="44"/>
      <c r="J227" s="44"/>
      <c r="K227" s="44"/>
      <c r="L227" s="44"/>
      <c r="M227" s="44"/>
      <c r="N227" s="44"/>
      <c r="O227" s="44"/>
    </row>
    <row r="228" spans="1:15" ht="17.25" customHeight="1">
      <c r="A228" s="44"/>
      <c r="B228" s="44"/>
      <c r="C228" s="44"/>
      <c r="D228" s="44"/>
      <c r="E228" s="44"/>
      <c r="F228" s="44"/>
      <c r="G228" s="44"/>
      <c r="H228" s="44"/>
      <c r="I228" s="44"/>
      <c r="J228" s="44"/>
      <c r="K228" s="44"/>
      <c r="L228" s="44"/>
      <c r="M228" s="44"/>
      <c r="N228" s="44"/>
      <c r="O228" s="44"/>
    </row>
    <row r="229" spans="1:15" ht="17.25" customHeight="1">
      <c r="A229" s="44"/>
      <c r="B229" s="44"/>
      <c r="C229" s="44"/>
      <c r="D229" s="44"/>
      <c r="E229" s="44"/>
      <c r="F229" s="44"/>
      <c r="G229" s="44"/>
      <c r="H229" s="44"/>
      <c r="I229" s="44"/>
      <c r="J229" s="44"/>
      <c r="K229" s="44"/>
      <c r="L229" s="44"/>
      <c r="M229" s="44"/>
      <c r="N229" s="44"/>
      <c r="O229" s="44"/>
    </row>
    <row r="230" spans="1:15" ht="17.25" customHeight="1">
      <c r="A230" s="44"/>
      <c r="B230" s="44"/>
      <c r="C230" s="44"/>
      <c r="D230" s="44"/>
      <c r="E230" s="44"/>
      <c r="F230" s="44"/>
      <c r="G230" s="44"/>
      <c r="H230" s="44"/>
      <c r="I230" s="44"/>
      <c r="J230" s="44"/>
      <c r="K230" s="44"/>
      <c r="L230" s="44"/>
      <c r="M230" s="44"/>
      <c r="N230" s="44"/>
      <c r="O230" s="44"/>
    </row>
    <row r="231" spans="1:15" ht="17.25" customHeight="1">
      <c r="A231" s="44"/>
      <c r="B231" s="44"/>
      <c r="C231" s="44"/>
      <c r="D231" s="44"/>
      <c r="E231" s="44"/>
      <c r="F231" s="44"/>
      <c r="G231" s="44"/>
      <c r="H231" s="44"/>
      <c r="I231" s="44"/>
      <c r="J231" s="44"/>
      <c r="K231" s="44"/>
      <c r="L231" s="44"/>
      <c r="M231" s="44"/>
      <c r="N231" s="44"/>
      <c r="O231" s="44"/>
    </row>
    <row r="232" spans="1:15" ht="17.25" customHeight="1">
      <c r="A232" s="44"/>
      <c r="B232" s="44"/>
      <c r="C232" s="44"/>
      <c r="D232" s="44"/>
      <c r="E232" s="44"/>
      <c r="F232" s="44"/>
      <c r="G232" s="44"/>
      <c r="H232" s="44"/>
      <c r="I232" s="44"/>
      <c r="J232" s="44"/>
      <c r="K232" s="44"/>
      <c r="L232" s="44"/>
      <c r="M232" s="44"/>
      <c r="N232" s="44"/>
      <c r="O232" s="44"/>
    </row>
    <row r="233" spans="1:15" ht="17.25" customHeight="1">
      <c r="A233" s="44"/>
      <c r="B233" s="44"/>
      <c r="C233" s="44"/>
      <c r="D233" s="44"/>
      <c r="E233" s="44"/>
      <c r="F233" s="44"/>
      <c r="G233" s="44"/>
      <c r="H233" s="44"/>
      <c r="I233" s="44"/>
      <c r="J233" s="44"/>
      <c r="K233" s="44"/>
      <c r="L233" s="44"/>
      <c r="M233" s="44"/>
      <c r="N233" s="44"/>
      <c r="O233" s="44"/>
    </row>
    <row r="234" spans="1:15" ht="17.25" customHeight="1">
      <c r="A234" s="44"/>
      <c r="B234" s="44"/>
      <c r="C234" s="44"/>
      <c r="D234" s="44"/>
      <c r="E234" s="44"/>
      <c r="F234" s="44"/>
      <c r="G234" s="44"/>
      <c r="H234" s="44"/>
      <c r="I234" s="44"/>
      <c r="J234" s="44"/>
      <c r="K234" s="44"/>
      <c r="L234" s="44"/>
      <c r="M234" s="44"/>
      <c r="N234" s="44"/>
      <c r="O234" s="44"/>
    </row>
    <row r="235" spans="1:15" ht="17.25" customHeight="1">
      <c r="A235" s="44"/>
      <c r="B235" s="44"/>
      <c r="C235" s="44"/>
      <c r="D235" s="44"/>
      <c r="E235" s="44"/>
      <c r="F235" s="44"/>
      <c r="G235" s="44"/>
      <c r="H235" s="44"/>
      <c r="I235" s="44"/>
      <c r="J235" s="44"/>
      <c r="K235" s="44"/>
      <c r="L235" s="44"/>
      <c r="M235" s="44"/>
      <c r="N235" s="44"/>
      <c r="O235" s="44"/>
    </row>
    <row r="236" spans="1:15" ht="17.25" customHeight="1">
      <c r="A236" s="44"/>
      <c r="B236" s="44"/>
      <c r="C236" s="44"/>
      <c r="D236" s="44"/>
      <c r="E236" s="44"/>
      <c r="F236" s="44"/>
      <c r="G236" s="44"/>
      <c r="H236" s="44"/>
      <c r="I236" s="44"/>
      <c r="J236" s="44"/>
      <c r="K236" s="44"/>
      <c r="L236" s="44"/>
      <c r="M236" s="44"/>
      <c r="N236" s="44"/>
      <c r="O236" s="44"/>
    </row>
    <row r="237" spans="1:15" ht="17.25" customHeight="1">
      <c r="A237" s="44"/>
      <c r="B237" s="44"/>
      <c r="C237" s="44"/>
      <c r="D237" s="44"/>
      <c r="E237" s="44"/>
      <c r="F237" s="44"/>
      <c r="G237" s="44"/>
      <c r="H237" s="44"/>
      <c r="I237" s="44"/>
      <c r="J237" s="44"/>
      <c r="K237" s="44"/>
      <c r="L237" s="44"/>
      <c r="M237" s="44"/>
      <c r="N237" s="44"/>
      <c r="O237" s="44"/>
    </row>
    <row r="238" spans="1:15" ht="17.25" customHeight="1">
      <c r="A238" s="44"/>
      <c r="B238" s="44"/>
      <c r="C238" s="44"/>
      <c r="D238" s="44"/>
      <c r="E238" s="44"/>
      <c r="F238" s="44"/>
      <c r="G238" s="44"/>
      <c r="H238" s="44"/>
      <c r="I238" s="44"/>
      <c r="J238" s="44"/>
      <c r="K238" s="44"/>
      <c r="L238" s="44"/>
      <c r="M238" s="44"/>
      <c r="N238" s="44"/>
      <c r="O238" s="44"/>
    </row>
    <row r="239" spans="1:15" ht="17.25" customHeight="1">
      <c r="A239" s="44"/>
      <c r="B239" s="44"/>
      <c r="C239" s="44"/>
      <c r="D239" s="44"/>
      <c r="E239" s="44"/>
      <c r="F239" s="44"/>
      <c r="G239" s="44"/>
      <c r="H239" s="44"/>
      <c r="I239" s="44"/>
      <c r="J239" s="44"/>
      <c r="K239" s="44"/>
      <c r="L239" s="44"/>
      <c r="M239" s="44"/>
      <c r="N239" s="44"/>
      <c r="O239" s="44"/>
    </row>
    <row r="240" spans="1:15" ht="17.25" customHeight="1">
      <c r="A240" s="44"/>
      <c r="B240" s="44"/>
      <c r="C240" s="44"/>
      <c r="D240" s="44"/>
      <c r="E240" s="44"/>
      <c r="F240" s="44"/>
      <c r="G240" s="44"/>
      <c r="H240" s="44"/>
      <c r="I240" s="44"/>
      <c r="J240" s="44"/>
      <c r="K240" s="44"/>
      <c r="L240" s="44"/>
      <c r="M240" s="44"/>
      <c r="N240" s="44"/>
      <c r="O240" s="44"/>
    </row>
    <row r="241" spans="1:15" ht="17.25" customHeight="1">
      <c r="A241" s="44"/>
      <c r="B241" s="44"/>
      <c r="C241" s="44"/>
      <c r="D241" s="44"/>
      <c r="E241" s="44"/>
      <c r="F241" s="44"/>
      <c r="G241" s="44"/>
      <c r="H241" s="44"/>
      <c r="I241" s="44"/>
      <c r="J241" s="44"/>
      <c r="K241" s="44"/>
      <c r="L241" s="44"/>
      <c r="M241" s="44"/>
      <c r="N241" s="44"/>
      <c r="O241" s="44"/>
    </row>
    <row r="242" spans="1:15" ht="17.25" customHeight="1">
      <c r="A242" s="44"/>
      <c r="B242" s="44"/>
      <c r="C242" s="44"/>
      <c r="D242" s="44"/>
      <c r="E242" s="44"/>
      <c r="F242" s="44"/>
      <c r="G242" s="44"/>
      <c r="H242" s="44"/>
      <c r="I242" s="44"/>
      <c r="J242" s="44"/>
      <c r="K242" s="44"/>
      <c r="L242" s="44"/>
      <c r="M242" s="44"/>
      <c r="N242" s="44"/>
      <c r="O242" s="44"/>
    </row>
    <row r="243" spans="1:15" ht="17.25" customHeight="1">
      <c r="A243" s="44"/>
      <c r="B243" s="44"/>
      <c r="C243" s="44"/>
      <c r="D243" s="44"/>
      <c r="E243" s="44"/>
      <c r="F243" s="44"/>
      <c r="G243" s="44"/>
      <c r="H243" s="44"/>
      <c r="I243" s="44"/>
      <c r="J243" s="44"/>
      <c r="K243" s="44"/>
      <c r="L243" s="44"/>
      <c r="M243" s="44"/>
      <c r="N243" s="44"/>
      <c r="O243" s="44"/>
    </row>
    <row r="244" spans="1:15" ht="17.25" customHeight="1">
      <c r="A244" s="44"/>
      <c r="B244" s="44"/>
      <c r="C244" s="44"/>
      <c r="D244" s="44"/>
      <c r="E244" s="44"/>
      <c r="F244" s="44"/>
      <c r="G244" s="44"/>
      <c r="H244" s="44"/>
      <c r="I244" s="44"/>
      <c r="J244" s="44"/>
      <c r="K244" s="44"/>
      <c r="L244" s="44"/>
      <c r="M244" s="44"/>
      <c r="N244" s="44"/>
      <c r="O244" s="44"/>
    </row>
    <row r="245" spans="1:15" ht="17.25" customHeight="1">
      <c r="A245" s="44"/>
      <c r="B245" s="44"/>
      <c r="C245" s="44"/>
      <c r="D245" s="44"/>
      <c r="E245" s="44"/>
      <c r="F245" s="44"/>
      <c r="G245" s="44"/>
      <c r="H245" s="44"/>
      <c r="I245" s="44"/>
      <c r="J245" s="44"/>
      <c r="K245" s="44"/>
      <c r="L245" s="44"/>
      <c r="M245" s="44"/>
      <c r="N245" s="44"/>
      <c r="O245" s="44"/>
    </row>
    <row r="246" spans="1:15" ht="17.25" customHeight="1">
      <c r="A246" s="44"/>
      <c r="B246" s="44"/>
      <c r="C246" s="44"/>
      <c r="D246" s="44"/>
      <c r="E246" s="44"/>
      <c r="F246" s="44"/>
      <c r="G246" s="44"/>
      <c r="H246" s="44"/>
      <c r="I246" s="44"/>
      <c r="J246" s="44"/>
      <c r="K246" s="44"/>
      <c r="L246" s="44"/>
      <c r="M246" s="44"/>
      <c r="N246" s="44"/>
      <c r="O246" s="44"/>
    </row>
    <row r="247" spans="1:15" ht="17.25" customHeight="1">
      <c r="A247" s="44"/>
      <c r="B247" s="44"/>
      <c r="C247" s="44"/>
      <c r="D247" s="44"/>
      <c r="E247" s="44"/>
      <c r="F247" s="44"/>
      <c r="G247" s="44"/>
      <c r="H247" s="44"/>
      <c r="I247" s="44"/>
      <c r="J247" s="44"/>
      <c r="K247" s="44"/>
      <c r="L247" s="44"/>
      <c r="M247" s="44"/>
      <c r="N247" s="44"/>
      <c r="O247" s="44"/>
    </row>
    <row r="248" spans="1:15" ht="17.25" customHeight="1">
      <c r="A248" s="44"/>
      <c r="B248" s="44"/>
      <c r="C248" s="44"/>
      <c r="D248" s="44"/>
      <c r="E248" s="44"/>
      <c r="F248" s="44"/>
      <c r="G248" s="44"/>
      <c r="H248" s="44"/>
      <c r="I248" s="44"/>
      <c r="J248" s="44"/>
      <c r="K248" s="44"/>
      <c r="L248" s="44"/>
      <c r="M248" s="44"/>
      <c r="N248" s="44"/>
      <c r="O248" s="44"/>
    </row>
    <row r="249" spans="1:15" ht="17.25" customHeight="1">
      <c r="A249" s="44"/>
      <c r="B249" s="44"/>
      <c r="C249" s="44"/>
      <c r="D249" s="44"/>
      <c r="E249" s="44"/>
      <c r="F249" s="44"/>
      <c r="G249" s="44"/>
      <c r="H249" s="44"/>
      <c r="I249" s="44"/>
      <c r="J249" s="44"/>
      <c r="K249" s="44"/>
      <c r="L249" s="44"/>
      <c r="M249" s="44"/>
      <c r="N249" s="44"/>
      <c r="O249" s="44"/>
    </row>
    <row r="250" spans="1:15" ht="17.25" customHeight="1">
      <c r="A250" s="44"/>
      <c r="B250" s="44"/>
      <c r="C250" s="44"/>
      <c r="D250" s="44"/>
      <c r="E250" s="44"/>
      <c r="F250" s="44"/>
      <c r="G250" s="44"/>
      <c r="H250" s="44"/>
      <c r="I250" s="44"/>
      <c r="J250" s="44"/>
      <c r="K250" s="44"/>
      <c r="L250" s="44"/>
      <c r="M250" s="44"/>
      <c r="N250" s="44"/>
      <c r="O250" s="44"/>
    </row>
    <row r="251" spans="1:15" ht="17.25" customHeight="1">
      <c r="A251" s="44"/>
      <c r="B251" s="44"/>
      <c r="C251" s="44"/>
      <c r="D251" s="44"/>
      <c r="E251" s="44"/>
      <c r="F251" s="44"/>
      <c r="G251" s="44"/>
      <c r="H251" s="44"/>
      <c r="I251" s="44"/>
      <c r="J251" s="44"/>
      <c r="K251" s="44"/>
      <c r="L251" s="44"/>
      <c r="M251" s="44"/>
      <c r="N251" s="44"/>
      <c r="O251" s="44"/>
    </row>
    <row r="252" spans="1:15" ht="17.25" customHeight="1">
      <c r="A252" s="44"/>
      <c r="B252" s="44"/>
      <c r="C252" s="44"/>
      <c r="D252" s="44"/>
      <c r="E252" s="44"/>
      <c r="F252" s="44"/>
      <c r="G252" s="44"/>
      <c r="H252" s="44"/>
      <c r="I252" s="44"/>
      <c r="J252" s="44"/>
      <c r="K252" s="44"/>
      <c r="L252" s="44"/>
      <c r="M252" s="44"/>
      <c r="N252" s="44"/>
      <c r="O252" s="44"/>
    </row>
    <row r="253" spans="1:15" ht="17.25" customHeight="1">
      <c r="A253" s="44"/>
      <c r="B253" s="44"/>
      <c r="C253" s="44"/>
      <c r="D253" s="44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4"/>
    </row>
    <row r="254" spans="1:15" ht="17.25" customHeight="1">
      <c r="A254" s="44"/>
      <c r="B254" s="44"/>
      <c r="C254" s="44"/>
      <c r="D254" s="44"/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O254" s="44"/>
    </row>
    <row r="255" spans="1:15" ht="17.25" customHeight="1">
      <c r="A255" s="44"/>
      <c r="B255" s="44"/>
      <c r="C255" s="44"/>
      <c r="D255" s="44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</row>
    <row r="256" spans="1:15" ht="17.25" customHeight="1">
      <c r="A256" s="44"/>
      <c r="B256" s="44"/>
      <c r="C256" s="44"/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</row>
    <row r="257" spans="1:15" ht="17.25" customHeight="1">
      <c r="A257" s="44"/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</row>
    <row r="258" spans="1:15" ht="17.25" customHeight="1">
      <c r="A258" s="44"/>
      <c r="B258" s="44"/>
      <c r="C258" s="44"/>
      <c r="D258" s="44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</row>
    <row r="259" spans="1:15" ht="17.25" customHeight="1">
      <c r="A259" s="44"/>
      <c r="B259" s="44"/>
      <c r="C259" s="44"/>
      <c r="D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</row>
    <row r="260" spans="1:15" ht="17.25" customHeight="1">
      <c r="A260" s="44"/>
      <c r="B260" s="44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</row>
    <row r="261" spans="1:15" ht="17.25" customHeight="1">
      <c r="A261" s="44"/>
      <c r="B261" s="44"/>
      <c r="C261" s="44"/>
      <c r="D261" s="44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</row>
    <row r="262" spans="1:15" ht="17.25" customHeight="1">
      <c r="A262" s="44"/>
      <c r="B262" s="44"/>
      <c r="C262" s="44"/>
      <c r="D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</row>
    <row r="263" spans="1:15" ht="17.25" customHeight="1">
      <c r="A263" s="44"/>
      <c r="B263" s="44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</row>
    <row r="264" spans="1:15" ht="17.25" customHeight="1">
      <c r="A264" s="44"/>
      <c r="B264" s="44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</row>
    <row r="265" spans="1:15" ht="17.25" customHeight="1">
      <c r="A265" s="44"/>
      <c r="B265" s="44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</row>
    <row r="266" spans="1:15" ht="17.25" customHeight="1">
      <c r="A266" s="44"/>
      <c r="B266" s="44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</row>
    <row r="267" spans="1:15" ht="17.25" customHeight="1">
      <c r="A267" s="44"/>
      <c r="B267" s="44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</row>
    <row r="268" spans="1:15" ht="17.25" customHeight="1">
      <c r="A268" s="44"/>
      <c r="B268" s="44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</row>
    <row r="269" spans="1:15" ht="17.25" customHeight="1">
      <c r="A269" s="44"/>
      <c r="B269" s="44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</row>
    <row r="270" spans="1:15" ht="17.25" customHeight="1">
      <c r="A270" s="44"/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</row>
    <row r="271" spans="1:15" ht="17.25" customHeight="1">
      <c r="A271" s="44"/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</row>
    <row r="272" spans="1:15" ht="17.25" customHeight="1">
      <c r="A272" s="44"/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</row>
    <row r="273" spans="1:15" ht="17.25" customHeight="1">
      <c r="A273" s="44"/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</row>
    <row r="274" spans="1:15" ht="17.25" customHeight="1">
      <c r="A274" s="44"/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</row>
    <row r="275" spans="1:15" ht="17.25" customHeight="1">
      <c r="A275" s="44"/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</row>
    <row r="276" spans="1:15" ht="17.25" customHeight="1">
      <c r="A276" s="44"/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</row>
    <row r="277" spans="1:15" ht="17.25" customHeight="1">
      <c r="A277" s="44"/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</row>
    <row r="278" spans="1:15" ht="17.25" customHeight="1">
      <c r="A278" s="44"/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</row>
    <row r="279" spans="1:15" ht="17.25" customHeight="1">
      <c r="A279" s="44"/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</row>
    <row r="280" spans="1:15" ht="17.25" customHeight="1">
      <c r="A280" s="44"/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</row>
    <row r="281" spans="1:15" ht="17.25" customHeight="1">
      <c r="A281" s="44"/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</row>
    <row r="282" spans="1:15" ht="17.25" customHeight="1">
      <c r="A282" s="44"/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</row>
    <row r="283" spans="1:15" ht="17.25" customHeight="1">
      <c r="A283" s="44"/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</row>
    <row r="284" spans="1:15" ht="17.25" customHeight="1">
      <c r="A284" s="44"/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</row>
    <row r="285" spans="1:15" ht="17.25" customHeight="1">
      <c r="A285" s="44"/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</row>
    <row r="286" spans="1:15" ht="17.25" customHeight="1">
      <c r="A286" s="44"/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</row>
    <row r="287" spans="1:15" ht="17.25" customHeight="1">
      <c r="A287" s="44"/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</row>
    <row r="288" spans="1:15" ht="17.25" customHeight="1">
      <c r="A288" s="44"/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</row>
    <row r="289" spans="1:15" ht="17.25" customHeight="1">
      <c r="A289" s="44"/>
      <c r="B289" s="44"/>
      <c r="C289" s="44"/>
      <c r="D289" s="44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</row>
    <row r="290" spans="1:15" ht="17.25" customHeight="1">
      <c r="A290" s="44"/>
      <c r="B290" s="44"/>
      <c r="C290" s="44"/>
      <c r="D290" s="44"/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44"/>
    </row>
    <row r="291" spans="1:15" ht="17.25" customHeight="1">
      <c r="A291" s="44"/>
      <c r="B291" s="44"/>
      <c r="C291" s="44"/>
      <c r="D291" s="44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</row>
    <row r="292" spans="1:15" ht="17.25" customHeight="1">
      <c r="A292" s="44"/>
      <c r="B292" s="44"/>
      <c r="C292" s="44"/>
      <c r="D292" s="44"/>
      <c r="E292" s="44"/>
      <c r="F292" s="44"/>
      <c r="G292" s="44"/>
      <c r="H292" s="44"/>
      <c r="I292" s="44"/>
      <c r="J292" s="44"/>
      <c r="K292" s="44"/>
      <c r="L292" s="44"/>
      <c r="M292" s="44"/>
      <c r="N292" s="44"/>
      <c r="O292" s="44"/>
    </row>
    <row r="293" spans="1:15" ht="17.25" customHeight="1">
      <c r="A293" s="44"/>
      <c r="B293" s="44"/>
      <c r="C293" s="44"/>
      <c r="D293" s="44"/>
      <c r="E293" s="44"/>
      <c r="F293" s="44"/>
      <c r="G293" s="44"/>
      <c r="H293" s="44"/>
      <c r="I293" s="44"/>
      <c r="J293" s="44"/>
      <c r="K293" s="44"/>
      <c r="L293" s="44"/>
      <c r="M293" s="44"/>
      <c r="N293" s="44"/>
      <c r="O293" s="44"/>
    </row>
    <row r="294" spans="1:15" ht="17.25" customHeight="1">
      <c r="A294" s="44"/>
      <c r="B294" s="44"/>
      <c r="C294" s="44"/>
      <c r="D294" s="44"/>
      <c r="E294" s="44"/>
      <c r="F294" s="44"/>
      <c r="G294" s="44"/>
      <c r="H294" s="44"/>
      <c r="I294" s="44"/>
      <c r="J294" s="44"/>
      <c r="K294" s="44"/>
      <c r="L294" s="44"/>
      <c r="M294" s="44"/>
      <c r="N294" s="44"/>
      <c r="O294" s="44"/>
    </row>
    <row r="295" spans="1:15" ht="17.25" customHeight="1">
      <c r="A295" s="44"/>
      <c r="B295" s="44"/>
      <c r="C295" s="44"/>
      <c r="D295" s="44"/>
      <c r="E295" s="44"/>
      <c r="F295" s="44"/>
      <c r="G295" s="44"/>
      <c r="H295" s="44"/>
      <c r="I295" s="44"/>
      <c r="J295" s="44"/>
      <c r="K295" s="44"/>
      <c r="L295" s="44"/>
      <c r="M295" s="44"/>
      <c r="N295" s="44"/>
      <c r="O295" s="44"/>
    </row>
    <row r="296" spans="1:15" ht="17.25" customHeight="1">
      <c r="A296" s="44"/>
      <c r="B296" s="44"/>
      <c r="C296" s="44"/>
      <c r="D296" s="44"/>
      <c r="E296" s="44"/>
      <c r="F296" s="44"/>
      <c r="G296" s="44"/>
      <c r="H296" s="44"/>
      <c r="I296" s="44"/>
      <c r="J296" s="44"/>
      <c r="K296" s="44"/>
      <c r="L296" s="44"/>
      <c r="M296" s="44"/>
      <c r="N296" s="44"/>
      <c r="O296" s="44"/>
    </row>
    <row r="297" spans="1:15" ht="17.25" customHeight="1">
      <c r="A297" s="44"/>
      <c r="B297" s="44"/>
      <c r="C297" s="44"/>
      <c r="D297" s="44"/>
      <c r="E297" s="44"/>
      <c r="F297" s="44"/>
      <c r="G297" s="44"/>
      <c r="H297" s="44"/>
      <c r="I297" s="44"/>
      <c r="J297" s="44"/>
      <c r="K297" s="44"/>
      <c r="L297" s="44"/>
      <c r="M297" s="44"/>
      <c r="N297" s="44"/>
      <c r="O297" s="44"/>
    </row>
    <row r="298" spans="1:15" ht="17.25" customHeight="1">
      <c r="A298" s="44"/>
      <c r="B298" s="44"/>
      <c r="C298" s="44"/>
      <c r="D298" s="44"/>
      <c r="E298" s="44"/>
      <c r="F298" s="44"/>
      <c r="G298" s="44"/>
      <c r="H298" s="44"/>
      <c r="I298" s="44"/>
      <c r="J298" s="44"/>
      <c r="K298" s="44"/>
      <c r="L298" s="44"/>
      <c r="M298" s="44"/>
      <c r="N298" s="44"/>
      <c r="O298" s="44"/>
    </row>
    <row r="299" spans="1:15" ht="17.25" customHeight="1">
      <c r="A299" s="44"/>
      <c r="B299" s="44"/>
      <c r="C299" s="44"/>
      <c r="D299" s="44"/>
      <c r="E299" s="44"/>
      <c r="F299" s="44"/>
      <c r="G299" s="44"/>
      <c r="H299" s="44"/>
      <c r="I299" s="44"/>
      <c r="J299" s="44"/>
      <c r="K299" s="44"/>
      <c r="L299" s="44"/>
      <c r="M299" s="44"/>
      <c r="N299" s="44"/>
      <c r="O299" s="44"/>
    </row>
    <row r="300" spans="1:15" ht="17.25" customHeight="1">
      <c r="A300" s="44"/>
      <c r="B300" s="44"/>
      <c r="C300" s="44"/>
      <c r="D300" s="44"/>
      <c r="E300" s="44"/>
      <c r="F300" s="44"/>
      <c r="G300" s="44"/>
      <c r="H300" s="44"/>
      <c r="I300" s="44"/>
      <c r="J300" s="44"/>
      <c r="K300" s="44"/>
      <c r="L300" s="44"/>
      <c r="M300" s="44"/>
      <c r="N300" s="44"/>
      <c r="O300" s="44"/>
    </row>
    <row r="301" spans="1:15" ht="17.25" customHeight="1">
      <c r="A301" s="44"/>
      <c r="B301" s="44"/>
      <c r="C301" s="44"/>
      <c r="D301" s="44"/>
      <c r="E301" s="44"/>
      <c r="F301" s="44"/>
      <c r="G301" s="44"/>
      <c r="H301" s="44"/>
      <c r="I301" s="44"/>
      <c r="J301" s="44"/>
      <c r="K301" s="44"/>
      <c r="L301" s="44"/>
      <c r="M301" s="44"/>
      <c r="N301" s="44"/>
      <c r="O301" s="44"/>
    </row>
    <row r="302" spans="1:15" ht="17.25" customHeight="1">
      <c r="A302" s="44"/>
      <c r="B302" s="44"/>
      <c r="C302" s="44"/>
      <c r="D302" s="44"/>
      <c r="E302" s="44"/>
      <c r="F302" s="44"/>
      <c r="G302" s="44"/>
      <c r="H302" s="44"/>
      <c r="I302" s="44"/>
      <c r="J302" s="44"/>
      <c r="K302" s="44"/>
      <c r="L302" s="44"/>
      <c r="M302" s="44"/>
      <c r="N302" s="44"/>
      <c r="O302" s="44"/>
    </row>
    <row r="303" spans="1:15" ht="17.25" customHeight="1">
      <c r="A303" s="44"/>
      <c r="B303" s="44"/>
      <c r="C303" s="44"/>
      <c r="D303" s="44"/>
      <c r="E303" s="44"/>
      <c r="F303" s="44"/>
      <c r="G303" s="44"/>
      <c r="H303" s="44"/>
      <c r="I303" s="44"/>
      <c r="J303" s="44"/>
      <c r="K303" s="44"/>
      <c r="L303" s="44"/>
      <c r="M303" s="44"/>
      <c r="N303" s="44"/>
      <c r="O303" s="44"/>
    </row>
    <row r="304" spans="1:15" ht="17.25" customHeight="1">
      <c r="A304" s="44"/>
      <c r="B304" s="44"/>
      <c r="C304" s="44"/>
      <c r="D304" s="44"/>
      <c r="E304" s="44"/>
      <c r="F304" s="44"/>
      <c r="G304" s="44"/>
      <c r="H304" s="44"/>
      <c r="I304" s="44"/>
      <c r="J304" s="44"/>
      <c r="K304" s="44"/>
      <c r="L304" s="44"/>
      <c r="M304" s="44"/>
      <c r="N304" s="44"/>
      <c r="O304" s="44"/>
    </row>
    <row r="305" spans="1:15" ht="17.25" customHeight="1">
      <c r="A305" s="44"/>
      <c r="B305" s="44"/>
      <c r="C305" s="44"/>
      <c r="D305" s="44"/>
      <c r="E305" s="44"/>
      <c r="F305" s="44"/>
      <c r="G305" s="44"/>
      <c r="H305" s="44"/>
      <c r="I305" s="44"/>
      <c r="J305" s="44"/>
      <c r="K305" s="44"/>
      <c r="L305" s="44"/>
      <c r="M305" s="44"/>
      <c r="N305" s="44"/>
      <c r="O305" s="44"/>
    </row>
    <row r="306" spans="1:15" ht="17.25" customHeight="1">
      <c r="A306" s="44"/>
      <c r="B306" s="44"/>
      <c r="C306" s="44"/>
      <c r="D306" s="44"/>
      <c r="E306" s="44"/>
      <c r="F306" s="44"/>
      <c r="G306" s="44"/>
      <c r="H306" s="44"/>
      <c r="I306" s="44"/>
      <c r="J306" s="44"/>
      <c r="K306" s="44"/>
      <c r="L306" s="44"/>
      <c r="M306" s="44"/>
      <c r="N306" s="44"/>
      <c r="O306" s="44"/>
    </row>
    <row r="307" spans="1:15" ht="17.25" customHeight="1">
      <c r="A307" s="44"/>
      <c r="B307" s="44"/>
      <c r="C307" s="44"/>
      <c r="D307" s="44"/>
      <c r="E307" s="44"/>
      <c r="F307" s="44"/>
      <c r="G307" s="44"/>
      <c r="H307" s="44"/>
      <c r="I307" s="44"/>
      <c r="J307" s="44"/>
      <c r="K307" s="44"/>
      <c r="L307" s="44"/>
      <c r="M307" s="44"/>
      <c r="N307" s="44"/>
      <c r="O307" s="44"/>
    </row>
    <row r="308" spans="1:15" ht="17.25" customHeight="1">
      <c r="A308" s="44"/>
      <c r="B308" s="44"/>
      <c r="C308" s="44"/>
      <c r="D308" s="44"/>
      <c r="E308" s="44"/>
      <c r="F308" s="44"/>
      <c r="G308" s="44"/>
      <c r="H308" s="44"/>
      <c r="I308" s="44"/>
      <c r="J308" s="44"/>
      <c r="K308" s="44"/>
      <c r="L308" s="44"/>
      <c r="M308" s="44"/>
      <c r="N308" s="44"/>
      <c r="O308" s="44"/>
    </row>
    <row r="309" spans="1:15" ht="17.25" customHeight="1">
      <c r="A309" s="44"/>
      <c r="B309" s="44"/>
      <c r="C309" s="44"/>
      <c r="D309" s="44"/>
      <c r="E309" s="44"/>
      <c r="F309" s="44"/>
      <c r="G309" s="44"/>
      <c r="H309" s="44"/>
      <c r="I309" s="44"/>
      <c r="J309" s="44"/>
      <c r="K309" s="44"/>
      <c r="L309" s="44"/>
      <c r="M309" s="44"/>
      <c r="N309" s="44"/>
      <c r="O309" s="44"/>
    </row>
    <row r="310" spans="1:15" ht="17.25" customHeight="1">
      <c r="A310" s="44"/>
      <c r="B310" s="44"/>
      <c r="C310" s="44"/>
      <c r="D310" s="44"/>
      <c r="E310" s="44"/>
      <c r="F310" s="44"/>
      <c r="G310" s="44"/>
      <c r="H310" s="44"/>
      <c r="I310" s="44"/>
      <c r="J310" s="44"/>
      <c r="K310" s="44"/>
      <c r="L310" s="44"/>
      <c r="M310" s="44"/>
      <c r="N310" s="44"/>
      <c r="O310" s="44"/>
    </row>
    <row r="311" spans="1:15" ht="17.25" customHeight="1">
      <c r="A311" s="44"/>
      <c r="B311" s="44"/>
      <c r="C311" s="44"/>
      <c r="D311" s="44"/>
      <c r="E311" s="44"/>
      <c r="F311" s="44"/>
      <c r="G311" s="44"/>
      <c r="H311" s="44"/>
      <c r="I311" s="44"/>
      <c r="J311" s="44"/>
      <c r="K311" s="44"/>
      <c r="L311" s="44"/>
      <c r="M311" s="44"/>
      <c r="N311" s="44"/>
      <c r="O311" s="44"/>
    </row>
    <row r="312" spans="1:15" ht="17.25" customHeight="1">
      <c r="A312" s="44"/>
      <c r="B312" s="44"/>
      <c r="C312" s="44"/>
      <c r="D312" s="44"/>
      <c r="E312" s="44"/>
      <c r="F312" s="44"/>
      <c r="G312" s="44"/>
      <c r="H312" s="44"/>
      <c r="I312" s="44"/>
      <c r="J312" s="44"/>
      <c r="K312" s="44"/>
      <c r="L312" s="44"/>
      <c r="M312" s="44"/>
      <c r="N312" s="44"/>
      <c r="O312" s="44"/>
    </row>
    <row r="313" spans="1:15" ht="17.25" customHeight="1">
      <c r="A313" s="44"/>
      <c r="B313" s="44"/>
      <c r="C313" s="44"/>
      <c r="D313" s="44"/>
      <c r="E313" s="44"/>
      <c r="F313" s="44"/>
      <c r="G313" s="44"/>
      <c r="H313" s="44"/>
      <c r="I313" s="44"/>
      <c r="J313" s="44"/>
      <c r="K313" s="44"/>
      <c r="L313" s="44"/>
      <c r="M313" s="44"/>
      <c r="N313" s="44"/>
      <c r="O313" s="44"/>
    </row>
    <row r="314" spans="1:15" ht="17.25" customHeight="1">
      <c r="A314" s="44"/>
      <c r="B314" s="44"/>
      <c r="C314" s="44"/>
      <c r="D314" s="44"/>
      <c r="E314" s="44"/>
      <c r="F314" s="44"/>
      <c r="G314" s="44"/>
      <c r="H314" s="44"/>
      <c r="I314" s="44"/>
      <c r="J314" s="44"/>
      <c r="K314" s="44"/>
      <c r="L314" s="44"/>
      <c r="M314" s="44"/>
      <c r="N314" s="44"/>
      <c r="O314" s="44"/>
    </row>
    <row r="315" spans="1:15" ht="17.25" customHeight="1">
      <c r="A315" s="44"/>
      <c r="B315" s="44"/>
      <c r="C315" s="44"/>
      <c r="D315" s="44"/>
      <c r="E315" s="44"/>
      <c r="F315" s="44"/>
      <c r="G315" s="44"/>
      <c r="H315" s="44"/>
      <c r="I315" s="44"/>
      <c r="J315" s="44"/>
      <c r="K315" s="44"/>
      <c r="L315" s="44"/>
      <c r="M315" s="44"/>
      <c r="N315" s="44"/>
      <c r="O315" s="44"/>
    </row>
    <row r="316" spans="1:15" ht="17.25" customHeight="1">
      <c r="A316" s="44"/>
      <c r="B316" s="44"/>
      <c r="C316" s="44"/>
      <c r="D316" s="44"/>
      <c r="E316" s="44"/>
      <c r="F316" s="44"/>
      <c r="G316" s="44"/>
      <c r="H316" s="44"/>
      <c r="I316" s="44"/>
      <c r="J316" s="44"/>
      <c r="K316" s="44"/>
      <c r="L316" s="44"/>
      <c r="M316" s="44"/>
      <c r="N316" s="44"/>
      <c r="O316" s="44"/>
    </row>
    <row r="317" spans="1:15" ht="17.25" customHeight="1">
      <c r="A317" s="44"/>
      <c r="B317" s="44"/>
      <c r="C317" s="44"/>
      <c r="D317" s="44"/>
      <c r="E317" s="44"/>
      <c r="F317" s="44"/>
      <c r="G317" s="44"/>
      <c r="H317" s="44"/>
      <c r="I317" s="44"/>
      <c r="J317" s="44"/>
      <c r="K317" s="44"/>
      <c r="L317" s="44"/>
      <c r="M317" s="44"/>
      <c r="N317" s="44"/>
      <c r="O317" s="44"/>
    </row>
    <row r="318" spans="1:15" ht="17.25" customHeight="1">
      <c r="A318" s="44"/>
      <c r="B318" s="44"/>
      <c r="C318" s="44"/>
      <c r="D318" s="44"/>
      <c r="E318" s="44"/>
      <c r="F318" s="44"/>
      <c r="G318" s="44"/>
      <c r="H318" s="44"/>
      <c r="I318" s="44"/>
      <c r="J318" s="44"/>
      <c r="K318" s="44"/>
      <c r="L318" s="44"/>
      <c r="M318" s="44"/>
      <c r="N318" s="44"/>
      <c r="O318" s="44"/>
    </row>
    <row r="319" spans="1:15" ht="17.25" customHeight="1">
      <c r="A319" s="44"/>
      <c r="B319" s="44"/>
      <c r="C319" s="44"/>
      <c r="D319" s="44"/>
      <c r="E319" s="44"/>
      <c r="F319" s="44"/>
      <c r="G319" s="44"/>
      <c r="H319" s="44"/>
      <c r="I319" s="44"/>
      <c r="J319" s="44"/>
      <c r="K319" s="44"/>
      <c r="L319" s="44"/>
      <c r="M319" s="44"/>
      <c r="N319" s="44"/>
      <c r="O319" s="44"/>
    </row>
    <row r="320" spans="1:15" ht="17.25" customHeight="1">
      <c r="A320" s="44"/>
      <c r="B320" s="44"/>
      <c r="C320" s="44"/>
      <c r="D320" s="44"/>
      <c r="E320" s="44"/>
      <c r="F320" s="44"/>
      <c r="G320" s="44"/>
      <c r="H320" s="44"/>
      <c r="I320" s="44"/>
      <c r="J320" s="44"/>
      <c r="K320" s="44"/>
      <c r="L320" s="44"/>
      <c r="M320" s="44"/>
      <c r="N320" s="44"/>
      <c r="O320" s="44"/>
    </row>
    <row r="321" spans="1:15" ht="17.25" customHeight="1">
      <c r="A321" s="44"/>
      <c r="B321" s="44"/>
      <c r="C321" s="44"/>
      <c r="D321" s="44"/>
      <c r="E321" s="44"/>
      <c r="F321" s="44"/>
      <c r="G321" s="44"/>
      <c r="H321" s="44"/>
      <c r="I321" s="44"/>
      <c r="J321" s="44"/>
      <c r="K321" s="44"/>
      <c r="L321" s="44"/>
      <c r="M321" s="44"/>
      <c r="N321" s="44"/>
      <c r="O321" s="44"/>
    </row>
    <row r="322" spans="1:15" ht="17.25" customHeight="1">
      <c r="A322" s="44"/>
      <c r="B322" s="44"/>
      <c r="C322" s="44"/>
      <c r="D322" s="44"/>
      <c r="E322" s="44"/>
      <c r="F322" s="44"/>
      <c r="G322" s="44"/>
      <c r="H322" s="44"/>
      <c r="I322" s="44"/>
      <c r="J322" s="44"/>
      <c r="K322" s="44"/>
      <c r="L322" s="44"/>
      <c r="M322" s="44"/>
      <c r="N322" s="44"/>
      <c r="O322" s="44"/>
    </row>
    <row r="323" spans="1:15" ht="17.25" customHeight="1">
      <c r="A323" s="44"/>
      <c r="B323" s="44"/>
      <c r="C323" s="44"/>
      <c r="D323" s="44"/>
      <c r="E323" s="44"/>
      <c r="F323" s="44"/>
      <c r="G323" s="44"/>
      <c r="H323" s="44"/>
      <c r="I323" s="44"/>
      <c r="J323" s="44"/>
      <c r="K323" s="44"/>
      <c r="L323" s="44"/>
      <c r="M323" s="44"/>
      <c r="N323" s="44"/>
      <c r="O323" s="44"/>
    </row>
    <row r="324" spans="1:15" ht="17.25" customHeight="1">
      <c r="A324" s="44"/>
      <c r="B324" s="44"/>
      <c r="C324" s="44"/>
      <c r="D324" s="44"/>
      <c r="E324" s="44"/>
      <c r="F324" s="44"/>
      <c r="G324" s="44"/>
      <c r="H324" s="44"/>
      <c r="I324" s="44"/>
      <c r="J324" s="44"/>
      <c r="K324" s="44"/>
      <c r="L324" s="44"/>
      <c r="M324" s="44"/>
      <c r="N324" s="44"/>
      <c r="O324" s="44"/>
    </row>
    <row r="325" spans="1:15" ht="17.25" customHeight="1">
      <c r="A325" s="44"/>
      <c r="B325" s="44"/>
      <c r="C325" s="44"/>
      <c r="D325" s="44"/>
      <c r="E325" s="44"/>
      <c r="F325" s="44"/>
      <c r="G325" s="44"/>
      <c r="H325" s="44"/>
      <c r="I325" s="44"/>
      <c r="J325" s="44"/>
      <c r="K325" s="44"/>
      <c r="L325" s="44"/>
      <c r="M325" s="44"/>
      <c r="N325" s="44"/>
      <c r="O325" s="44"/>
    </row>
    <row r="326" spans="1:15" ht="17.25" customHeight="1">
      <c r="A326" s="44"/>
      <c r="B326" s="44"/>
      <c r="C326" s="44"/>
      <c r="D326" s="44"/>
      <c r="E326" s="44"/>
      <c r="F326" s="44"/>
      <c r="G326" s="44"/>
      <c r="H326" s="44"/>
      <c r="I326" s="44"/>
      <c r="J326" s="44"/>
      <c r="K326" s="44"/>
      <c r="L326" s="44"/>
      <c r="M326" s="44"/>
      <c r="N326" s="44"/>
      <c r="O326" s="44"/>
    </row>
    <row r="327" spans="1:15" ht="17.25" customHeight="1">
      <c r="A327" s="44"/>
      <c r="B327" s="44"/>
      <c r="C327" s="44"/>
      <c r="D327" s="44"/>
      <c r="E327" s="44"/>
      <c r="F327" s="44"/>
      <c r="G327" s="44"/>
      <c r="H327" s="44"/>
      <c r="I327" s="44"/>
      <c r="J327" s="44"/>
      <c r="K327" s="44"/>
      <c r="L327" s="44"/>
      <c r="M327" s="44"/>
      <c r="N327" s="44"/>
      <c r="O327" s="44"/>
    </row>
    <row r="328" spans="1:15" ht="17.25" customHeight="1">
      <c r="A328" s="44"/>
      <c r="B328" s="44"/>
      <c r="C328" s="44"/>
      <c r="D328" s="44"/>
      <c r="E328" s="44"/>
      <c r="F328" s="44"/>
      <c r="G328" s="44"/>
      <c r="H328" s="44"/>
      <c r="I328" s="44"/>
      <c r="J328" s="44"/>
      <c r="K328" s="44"/>
      <c r="L328" s="44"/>
      <c r="M328" s="44"/>
      <c r="N328" s="44"/>
      <c r="O328" s="44"/>
    </row>
    <row r="329" spans="1:15" ht="17.25" customHeight="1">
      <c r="A329" s="44"/>
      <c r="B329" s="44"/>
      <c r="C329" s="44"/>
      <c r="D329" s="44"/>
      <c r="E329" s="44"/>
      <c r="F329" s="44"/>
      <c r="G329" s="44"/>
      <c r="H329" s="44"/>
      <c r="I329" s="44"/>
      <c r="J329" s="44"/>
      <c r="K329" s="44"/>
      <c r="L329" s="44"/>
      <c r="M329" s="44"/>
      <c r="N329" s="44"/>
      <c r="O329" s="44"/>
    </row>
    <row r="330" spans="1:15" ht="17.25" customHeight="1">
      <c r="A330" s="44"/>
      <c r="B330" s="44"/>
      <c r="C330" s="44"/>
      <c r="D330" s="44"/>
      <c r="E330" s="44"/>
      <c r="F330" s="44"/>
      <c r="G330" s="44"/>
      <c r="H330" s="44"/>
      <c r="I330" s="44"/>
      <c r="J330" s="44"/>
      <c r="K330" s="44"/>
      <c r="L330" s="44"/>
      <c r="M330" s="44"/>
      <c r="N330" s="44"/>
      <c r="O330" s="44"/>
    </row>
    <row r="331" spans="1:15" ht="17.25" customHeight="1">
      <c r="A331" s="44"/>
      <c r="B331" s="44"/>
      <c r="C331" s="44"/>
      <c r="D331" s="44"/>
      <c r="E331" s="44"/>
      <c r="F331" s="44"/>
      <c r="G331" s="44"/>
      <c r="H331" s="44"/>
      <c r="I331" s="44"/>
      <c r="J331" s="44"/>
      <c r="K331" s="44"/>
      <c r="L331" s="44"/>
      <c r="M331" s="44"/>
      <c r="N331" s="44"/>
      <c r="O331" s="44"/>
    </row>
    <row r="332" spans="1:15" ht="17.25" customHeight="1">
      <c r="A332" s="44"/>
      <c r="B332" s="44"/>
      <c r="C332" s="44"/>
      <c r="D332" s="44"/>
      <c r="E332" s="44"/>
      <c r="F332" s="44"/>
      <c r="G332" s="44"/>
      <c r="H332" s="44"/>
      <c r="I332" s="44"/>
      <c r="J332" s="44"/>
      <c r="K332" s="44"/>
      <c r="L332" s="44"/>
      <c r="M332" s="44"/>
      <c r="N332" s="44"/>
      <c r="O332" s="44"/>
    </row>
    <row r="333" spans="1:15" ht="17.25" customHeight="1">
      <c r="A333" s="44"/>
      <c r="B333" s="44"/>
      <c r="C333" s="44"/>
      <c r="D333" s="44"/>
      <c r="E333" s="44"/>
      <c r="F333" s="44"/>
      <c r="G333" s="44"/>
      <c r="H333" s="44"/>
      <c r="I333" s="44"/>
      <c r="J333" s="44"/>
      <c r="K333" s="44"/>
      <c r="L333" s="44"/>
      <c r="M333" s="44"/>
      <c r="N333" s="44"/>
      <c r="O333" s="44"/>
    </row>
    <row r="334" spans="1:15" ht="17.25" customHeight="1">
      <c r="A334" s="44"/>
      <c r="B334" s="44"/>
      <c r="C334" s="44"/>
      <c r="D334" s="44"/>
      <c r="E334" s="44"/>
      <c r="F334" s="44"/>
      <c r="G334" s="44"/>
      <c r="H334" s="44"/>
      <c r="I334" s="44"/>
      <c r="J334" s="44"/>
      <c r="K334" s="44"/>
      <c r="L334" s="44"/>
      <c r="M334" s="44"/>
      <c r="N334" s="44"/>
      <c r="O334" s="44"/>
    </row>
    <row r="335" spans="1:15" ht="17.25" customHeight="1">
      <c r="A335" s="44"/>
      <c r="B335" s="44"/>
      <c r="C335" s="44"/>
      <c r="D335" s="44"/>
      <c r="E335" s="44"/>
      <c r="F335" s="44"/>
      <c r="G335" s="44"/>
      <c r="H335" s="44"/>
      <c r="I335" s="44"/>
      <c r="J335" s="44"/>
      <c r="K335" s="44"/>
      <c r="L335" s="44"/>
      <c r="M335" s="44"/>
      <c r="N335" s="44"/>
      <c r="O335" s="44"/>
    </row>
    <row r="336" spans="1:15" ht="17.25" customHeight="1">
      <c r="A336" s="44"/>
      <c r="B336" s="44"/>
      <c r="C336" s="44"/>
      <c r="D336" s="44"/>
      <c r="E336" s="44"/>
      <c r="F336" s="44"/>
      <c r="G336" s="44"/>
      <c r="H336" s="44"/>
      <c r="I336" s="44"/>
      <c r="J336" s="44"/>
      <c r="K336" s="44"/>
      <c r="L336" s="44"/>
      <c r="M336" s="44"/>
      <c r="N336" s="44"/>
      <c r="O336" s="44"/>
    </row>
    <row r="337" spans="1:15" ht="17.25" customHeight="1">
      <c r="A337" s="44"/>
      <c r="B337" s="44"/>
      <c r="C337" s="44"/>
      <c r="D337" s="44"/>
      <c r="E337" s="44"/>
      <c r="F337" s="44"/>
      <c r="G337" s="44"/>
      <c r="H337" s="44"/>
      <c r="I337" s="44"/>
      <c r="J337" s="44"/>
      <c r="K337" s="44"/>
      <c r="L337" s="44"/>
      <c r="M337" s="44"/>
      <c r="N337" s="44"/>
      <c r="O337" s="44"/>
    </row>
    <row r="338" spans="1:15" ht="17.25" customHeight="1">
      <c r="A338" s="44"/>
      <c r="B338" s="44"/>
      <c r="C338" s="44"/>
      <c r="D338" s="44"/>
      <c r="E338" s="44"/>
      <c r="F338" s="44"/>
      <c r="G338" s="44"/>
      <c r="H338" s="44"/>
      <c r="I338" s="44"/>
      <c r="J338" s="44"/>
      <c r="K338" s="44"/>
      <c r="L338" s="44"/>
      <c r="M338" s="44"/>
      <c r="N338" s="44"/>
      <c r="O338" s="44"/>
    </row>
    <row r="339" spans="1:15" ht="17.25" customHeight="1">
      <c r="A339" s="44"/>
      <c r="B339" s="44"/>
      <c r="C339" s="44"/>
      <c r="D339" s="44"/>
      <c r="E339" s="44"/>
      <c r="F339" s="44"/>
      <c r="G339" s="44"/>
      <c r="H339" s="44"/>
      <c r="I339" s="44"/>
      <c r="J339" s="44"/>
      <c r="K339" s="44"/>
      <c r="L339" s="44"/>
      <c r="M339" s="44"/>
      <c r="N339" s="44"/>
      <c r="O339" s="44"/>
    </row>
    <row r="340" spans="1:15" ht="17.25" customHeight="1">
      <c r="A340" s="44"/>
      <c r="B340" s="44"/>
      <c r="C340" s="44"/>
      <c r="D340" s="44"/>
      <c r="E340" s="44"/>
      <c r="F340" s="44"/>
      <c r="G340" s="44"/>
      <c r="H340" s="44"/>
      <c r="I340" s="44"/>
      <c r="J340" s="44"/>
      <c r="K340" s="44"/>
      <c r="L340" s="44"/>
      <c r="M340" s="44"/>
      <c r="N340" s="44"/>
      <c r="O340" s="44"/>
    </row>
    <row r="341" spans="1:15" ht="17.25" customHeight="1">
      <c r="A341" s="44"/>
      <c r="B341" s="44"/>
      <c r="C341" s="44"/>
      <c r="D341" s="44"/>
      <c r="E341" s="44"/>
      <c r="F341" s="44"/>
      <c r="G341" s="44"/>
      <c r="H341" s="44"/>
      <c r="I341" s="44"/>
      <c r="J341" s="44"/>
      <c r="K341" s="44"/>
      <c r="L341" s="44"/>
      <c r="M341" s="44"/>
      <c r="N341" s="44"/>
      <c r="O341" s="44"/>
    </row>
    <row r="342" spans="1:15" ht="17.25" customHeight="1">
      <c r="A342" s="44"/>
      <c r="B342" s="44"/>
      <c r="C342" s="44"/>
      <c r="D342" s="44"/>
      <c r="E342" s="44"/>
      <c r="F342" s="44"/>
      <c r="G342" s="44"/>
      <c r="H342" s="44"/>
      <c r="I342" s="44"/>
      <c r="J342" s="44"/>
      <c r="K342" s="44"/>
      <c r="L342" s="44"/>
      <c r="M342" s="44"/>
      <c r="N342" s="44"/>
      <c r="O342" s="44"/>
    </row>
    <row r="343" spans="1:15" ht="17.25" customHeight="1">
      <c r="A343" s="44"/>
      <c r="B343" s="44"/>
      <c r="C343" s="44"/>
      <c r="D343" s="44"/>
      <c r="E343" s="44"/>
      <c r="F343" s="44"/>
      <c r="G343" s="44"/>
      <c r="H343" s="44"/>
      <c r="I343" s="44"/>
      <c r="J343" s="44"/>
      <c r="K343" s="44"/>
      <c r="L343" s="44"/>
      <c r="M343" s="44"/>
      <c r="N343" s="44"/>
      <c r="O343" s="44"/>
    </row>
    <row r="344" spans="1:15" ht="17.25" customHeight="1">
      <c r="A344" s="44"/>
      <c r="B344" s="44"/>
      <c r="C344" s="44"/>
      <c r="D344" s="44"/>
      <c r="E344" s="44"/>
      <c r="F344" s="44"/>
      <c r="G344" s="44"/>
      <c r="H344" s="44"/>
      <c r="I344" s="44"/>
      <c r="J344" s="44"/>
      <c r="K344" s="44"/>
      <c r="L344" s="44"/>
      <c r="M344" s="44"/>
      <c r="N344" s="44"/>
      <c r="O344" s="44"/>
    </row>
    <row r="345" spans="1:15" ht="17.25" customHeight="1">
      <c r="A345" s="44"/>
      <c r="B345" s="44"/>
      <c r="C345" s="44"/>
      <c r="D345" s="44"/>
      <c r="E345" s="44"/>
      <c r="F345" s="44"/>
      <c r="G345" s="44"/>
      <c r="H345" s="44"/>
      <c r="I345" s="44"/>
      <c r="J345" s="44"/>
      <c r="K345" s="44"/>
      <c r="L345" s="44"/>
      <c r="M345" s="44"/>
      <c r="N345" s="44"/>
      <c r="O345" s="44"/>
    </row>
    <row r="346" spans="1:15" ht="17.25" customHeight="1">
      <c r="A346" s="44"/>
      <c r="B346" s="44"/>
      <c r="C346" s="44"/>
      <c r="D346" s="44"/>
      <c r="E346" s="44"/>
      <c r="F346" s="44"/>
      <c r="G346" s="44"/>
      <c r="H346" s="44"/>
      <c r="I346" s="44"/>
      <c r="J346" s="44"/>
      <c r="K346" s="44"/>
      <c r="L346" s="44"/>
      <c r="M346" s="44"/>
      <c r="N346" s="44"/>
      <c r="O346" s="44"/>
    </row>
    <row r="347" spans="1:15" ht="17.25" customHeight="1">
      <c r="A347" s="44"/>
      <c r="B347" s="44"/>
      <c r="C347" s="44"/>
      <c r="D347" s="44"/>
      <c r="E347" s="44"/>
      <c r="F347" s="44"/>
      <c r="G347" s="44"/>
      <c r="H347" s="44"/>
      <c r="I347" s="44"/>
      <c r="J347" s="44"/>
      <c r="K347" s="44"/>
      <c r="L347" s="44"/>
      <c r="M347" s="44"/>
      <c r="N347" s="44"/>
      <c r="O347" s="44"/>
    </row>
    <row r="348" spans="1:15" ht="17.25" customHeight="1">
      <c r="A348" s="44"/>
      <c r="B348" s="44"/>
      <c r="C348" s="44"/>
      <c r="D348" s="44"/>
      <c r="E348" s="44"/>
      <c r="F348" s="44"/>
      <c r="G348" s="44"/>
      <c r="H348" s="44"/>
      <c r="I348" s="44"/>
      <c r="J348" s="44"/>
      <c r="K348" s="44"/>
      <c r="L348" s="44"/>
      <c r="M348" s="44"/>
      <c r="N348" s="44"/>
      <c r="O348" s="44"/>
    </row>
    <row r="349" spans="1:15" ht="17.25" customHeight="1">
      <c r="A349" s="44"/>
      <c r="B349" s="44"/>
      <c r="C349" s="44"/>
      <c r="D349" s="44"/>
      <c r="E349" s="44"/>
      <c r="F349" s="44"/>
      <c r="G349" s="44"/>
      <c r="H349" s="44"/>
      <c r="I349" s="44"/>
      <c r="J349" s="44"/>
      <c r="K349" s="44"/>
      <c r="L349" s="44"/>
      <c r="M349" s="44"/>
      <c r="N349" s="44"/>
      <c r="O349" s="44"/>
    </row>
    <row r="350" spans="1:15" ht="17.25" customHeight="1">
      <c r="A350" s="44"/>
      <c r="B350" s="44"/>
      <c r="C350" s="44"/>
      <c r="D350" s="44"/>
      <c r="E350" s="44"/>
      <c r="F350" s="44"/>
      <c r="G350" s="44"/>
      <c r="H350" s="44"/>
      <c r="I350" s="44"/>
      <c r="J350" s="44"/>
      <c r="K350" s="44"/>
      <c r="L350" s="44"/>
      <c r="M350" s="44"/>
      <c r="N350" s="44"/>
      <c r="O350" s="44"/>
    </row>
    <row r="351" spans="1:15" ht="17.25" customHeight="1">
      <c r="A351" s="44"/>
      <c r="B351" s="44"/>
      <c r="C351" s="44"/>
      <c r="D351" s="44"/>
      <c r="E351" s="44"/>
      <c r="F351" s="44"/>
      <c r="G351" s="44"/>
      <c r="H351" s="44"/>
      <c r="I351" s="44"/>
      <c r="J351" s="44"/>
      <c r="K351" s="44"/>
      <c r="L351" s="44"/>
      <c r="M351" s="44"/>
      <c r="N351" s="44"/>
      <c r="O351" s="44"/>
    </row>
    <row r="352" spans="1:15" ht="17.25" customHeight="1">
      <c r="A352" s="44"/>
      <c r="B352" s="44"/>
      <c r="C352" s="44"/>
      <c r="D352" s="44"/>
      <c r="E352" s="44"/>
      <c r="F352" s="44"/>
      <c r="G352" s="44"/>
      <c r="H352" s="44"/>
      <c r="I352" s="44"/>
      <c r="J352" s="44"/>
      <c r="K352" s="44"/>
      <c r="L352" s="44"/>
      <c r="M352" s="44"/>
      <c r="N352" s="44"/>
      <c r="O352" s="44"/>
    </row>
    <row r="353" spans="1:15" ht="17.25" customHeight="1">
      <c r="A353" s="44"/>
      <c r="B353" s="44"/>
      <c r="C353" s="44"/>
      <c r="D353" s="44"/>
      <c r="E353" s="44"/>
      <c r="F353" s="44"/>
      <c r="G353" s="44"/>
      <c r="H353" s="44"/>
      <c r="I353" s="44"/>
      <c r="J353" s="44"/>
      <c r="K353" s="44"/>
      <c r="L353" s="44"/>
      <c r="M353" s="44"/>
      <c r="N353" s="44"/>
      <c r="O353" s="44"/>
    </row>
    <row r="354" spans="1:15" ht="17.25" customHeight="1">
      <c r="A354" s="44"/>
      <c r="B354" s="44"/>
      <c r="C354" s="44"/>
      <c r="D354" s="44"/>
      <c r="E354" s="44"/>
      <c r="F354" s="44"/>
      <c r="G354" s="44"/>
      <c r="H354" s="44"/>
      <c r="I354" s="44"/>
      <c r="J354" s="44"/>
      <c r="K354" s="44"/>
      <c r="L354" s="44"/>
      <c r="M354" s="44"/>
      <c r="N354" s="44"/>
      <c r="O354" s="44"/>
    </row>
    <row r="355" spans="1:15" ht="17.25" customHeight="1">
      <c r="A355" s="44"/>
      <c r="B355" s="44"/>
      <c r="C355" s="44"/>
      <c r="D355" s="44"/>
      <c r="E355" s="44"/>
      <c r="F355" s="44"/>
      <c r="G355" s="44"/>
      <c r="H355" s="44"/>
      <c r="I355" s="44"/>
      <c r="J355" s="44"/>
      <c r="K355" s="44"/>
      <c r="L355" s="44"/>
      <c r="M355" s="44"/>
      <c r="N355" s="44"/>
      <c r="O355" s="44"/>
    </row>
    <row r="356" spans="1:15" ht="17.25" customHeight="1">
      <c r="A356" s="44"/>
      <c r="B356" s="44"/>
      <c r="C356" s="44"/>
      <c r="D356" s="44"/>
      <c r="E356" s="44"/>
      <c r="F356" s="44"/>
      <c r="G356" s="44"/>
      <c r="H356" s="44"/>
      <c r="I356" s="44"/>
      <c r="J356" s="44"/>
      <c r="K356" s="44"/>
      <c r="L356" s="44"/>
      <c r="M356" s="44"/>
      <c r="N356" s="44"/>
      <c r="O356" s="44"/>
    </row>
    <row r="357" spans="1:15" ht="17.25" customHeight="1">
      <c r="A357" s="44"/>
      <c r="B357" s="44"/>
      <c r="C357" s="44"/>
      <c r="D357" s="44"/>
      <c r="E357" s="44"/>
      <c r="F357" s="44"/>
      <c r="G357" s="44"/>
      <c r="H357" s="44"/>
      <c r="I357" s="44"/>
      <c r="J357" s="44"/>
      <c r="K357" s="44"/>
      <c r="L357" s="44"/>
      <c r="M357" s="44"/>
      <c r="N357" s="44"/>
      <c r="O357" s="44"/>
    </row>
    <row r="358" spans="1:15" ht="17.25" customHeight="1">
      <c r="A358" s="44"/>
      <c r="B358" s="44"/>
      <c r="C358" s="44"/>
      <c r="D358" s="44"/>
      <c r="E358" s="44"/>
      <c r="F358" s="44"/>
      <c r="G358" s="44"/>
      <c r="H358" s="44"/>
      <c r="I358" s="44"/>
      <c r="J358" s="44"/>
      <c r="K358" s="44"/>
      <c r="L358" s="44"/>
      <c r="M358" s="44"/>
      <c r="N358" s="44"/>
      <c r="O358" s="44"/>
    </row>
    <row r="359" spans="1:15" ht="17.25" customHeight="1">
      <c r="A359" s="44"/>
      <c r="B359" s="44"/>
      <c r="C359" s="44"/>
      <c r="D359" s="44"/>
      <c r="E359" s="44"/>
      <c r="F359" s="44"/>
      <c r="G359" s="44"/>
      <c r="H359" s="44"/>
      <c r="I359" s="44"/>
      <c r="J359" s="44"/>
      <c r="K359" s="44"/>
      <c r="L359" s="44"/>
      <c r="M359" s="44"/>
      <c r="N359" s="44"/>
      <c r="O359" s="44"/>
    </row>
    <row r="360" spans="1:15" ht="17.25" customHeight="1">
      <c r="A360" s="44"/>
      <c r="B360" s="44"/>
      <c r="C360" s="44"/>
      <c r="D360" s="44"/>
      <c r="E360" s="44"/>
      <c r="F360" s="44"/>
      <c r="G360" s="44"/>
      <c r="H360" s="44"/>
      <c r="I360" s="44"/>
      <c r="J360" s="44"/>
      <c r="K360" s="44"/>
      <c r="L360" s="44"/>
      <c r="M360" s="44"/>
      <c r="N360" s="44"/>
      <c r="O360" s="44"/>
    </row>
    <row r="361" spans="1:15" ht="17.25" customHeight="1">
      <c r="A361" s="44"/>
      <c r="B361" s="44"/>
      <c r="C361" s="44"/>
      <c r="D361" s="44"/>
      <c r="E361" s="44"/>
      <c r="F361" s="44"/>
      <c r="G361" s="44"/>
      <c r="H361" s="44"/>
      <c r="I361" s="44"/>
      <c r="J361" s="44"/>
      <c r="K361" s="44"/>
      <c r="L361" s="44"/>
      <c r="M361" s="44"/>
      <c r="N361" s="44"/>
      <c r="O361" s="44"/>
    </row>
    <row r="362" spans="1:15" ht="17.25" customHeight="1">
      <c r="A362" s="44"/>
      <c r="B362" s="44"/>
      <c r="C362" s="44"/>
      <c r="D362" s="44"/>
      <c r="E362" s="44"/>
      <c r="F362" s="44"/>
      <c r="G362" s="44"/>
      <c r="H362" s="44"/>
      <c r="I362" s="44"/>
      <c r="J362" s="44"/>
      <c r="K362" s="44"/>
      <c r="L362" s="44"/>
      <c r="M362" s="44"/>
      <c r="N362" s="44"/>
      <c r="O362" s="44"/>
    </row>
    <row r="363" spans="1:15" ht="17.25" customHeight="1">
      <c r="A363" s="44"/>
      <c r="B363" s="44"/>
      <c r="C363" s="44"/>
      <c r="D363" s="44"/>
      <c r="E363" s="44"/>
      <c r="F363" s="44"/>
      <c r="G363" s="44"/>
      <c r="H363" s="44"/>
      <c r="I363" s="44"/>
      <c r="J363" s="44"/>
      <c r="K363" s="44"/>
      <c r="L363" s="44"/>
      <c r="M363" s="44"/>
      <c r="N363" s="44"/>
      <c r="O363" s="44"/>
    </row>
    <row r="364" spans="1:15" ht="17.25" customHeight="1">
      <c r="A364" s="44"/>
      <c r="B364" s="44"/>
      <c r="C364" s="44"/>
      <c r="D364" s="44"/>
      <c r="E364" s="44"/>
      <c r="F364" s="44"/>
      <c r="G364" s="44"/>
      <c r="H364" s="44"/>
      <c r="I364" s="44"/>
      <c r="J364" s="44"/>
      <c r="K364" s="44"/>
      <c r="L364" s="44"/>
      <c r="M364" s="44"/>
      <c r="N364" s="44"/>
      <c r="O364" s="44"/>
    </row>
    <row r="365" spans="1:15" ht="17.25" customHeight="1">
      <c r="A365" s="44"/>
      <c r="B365" s="44"/>
      <c r="C365" s="44"/>
      <c r="D365" s="44"/>
      <c r="E365" s="44"/>
      <c r="F365" s="44"/>
      <c r="G365" s="44"/>
      <c r="H365" s="44"/>
      <c r="I365" s="44"/>
      <c r="J365" s="44"/>
      <c r="K365" s="44"/>
      <c r="L365" s="44"/>
      <c r="M365" s="44"/>
      <c r="N365" s="44"/>
      <c r="O365" s="44"/>
    </row>
    <row r="366" spans="1:15" ht="17.25" customHeight="1">
      <c r="A366" s="44"/>
      <c r="B366" s="44"/>
      <c r="C366" s="44"/>
      <c r="D366" s="44"/>
      <c r="E366" s="44"/>
      <c r="F366" s="44"/>
      <c r="G366" s="44"/>
      <c r="H366" s="44"/>
      <c r="I366" s="44"/>
      <c r="J366" s="44"/>
      <c r="K366" s="44"/>
      <c r="L366" s="44"/>
      <c r="M366" s="44"/>
      <c r="N366" s="44"/>
      <c r="O366" s="44"/>
    </row>
    <row r="367" spans="1:15" ht="17.25" customHeight="1">
      <c r="A367" s="44"/>
      <c r="B367" s="44"/>
      <c r="C367" s="44"/>
      <c r="D367" s="44"/>
      <c r="E367" s="44"/>
      <c r="F367" s="44"/>
      <c r="G367" s="44"/>
      <c r="H367" s="44"/>
      <c r="I367" s="44"/>
      <c r="J367" s="44"/>
      <c r="K367" s="44"/>
      <c r="L367" s="44"/>
      <c r="M367" s="44"/>
      <c r="N367" s="44"/>
      <c r="O367" s="44"/>
    </row>
    <row r="368" spans="1:15" ht="17.25" customHeight="1">
      <c r="A368" s="44"/>
      <c r="B368" s="44"/>
      <c r="C368" s="44"/>
      <c r="D368" s="44"/>
      <c r="E368" s="44"/>
      <c r="F368" s="44"/>
      <c r="G368" s="44"/>
      <c r="H368" s="44"/>
      <c r="I368" s="44"/>
      <c r="J368" s="44"/>
      <c r="K368" s="44"/>
      <c r="L368" s="44"/>
      <c r="M368" s="44"/>
      <c r="N368" s="44"/>
      <c r="O368" s="44"/>
    </row>
    <row r="369" spans="1:15" ht="17.25" customHeight="1">
      <c r="A369" s="44"/>
      <c r="B369" s="44"/>
      <c r="C369" s="44"/>
      <c r="D369" s="44"/>
      <c r="E369" s="44"/>
      <c r="F369" s="44"/>
      <c r="G369" s="44"/>
      <c r="H369" s="44"/>
      <c r="I369" s="44"/>
      <c r="J369" s="44"/>
      <c r="K369" s="44"/>
      <c r="L369" s="44"/>
      <c r="M369" s="44"/>
      <c r="N369" s="44"/>
      <c r="O369" s="44"/>
    </row>
    <row r="370" spans="1:15" ht="17.25" customHeight="1">
      <c r="A370" s="44"/>
      <c r="B370" s="44"/>
      <c r="C370" s="44"/>
      <c r="D370" s="44"/>
      <c r="E370" s="44"/>
      <c r="F370" s="44"/>
      <c r="G370" s="44"/>
      <c r="H370" s="44"/>
      <c r="I370" s="44"/>
      <c r="J370" s="44"/>
      <c r="K370" s="44"/>
      <c r="L370" s="44"/>
      <c r="M370" s="44"/>
      <c r="N370" s="44"/>
      <c r="O370" s="44"/>
    </row>
    <row r="371" spans="1:15" ht="17.25" customHeight="1">
      <c r="A371" s="44"/>
      <c r="B371" s="44"/>
      <c r="C371" s="44"/>
      <c r="D371" s="44"/>
      <c r="E371" s="44"/>
      <c r="F371" s="44"/>
      <c r="G371" s="44"/>
      <c r="H371" s="44"/>
      <c r="I371" s="44"/>
      <c r="J371" s="44"/>
      <c r="K371" s="44"/>
      <c r="L371" s="44"/>
      <c r="M371" s="44"/>
      <c r="N371" s="44"/>
      <c r="O371" s="44"/>
    </row>
    <row r="372" spans="1:15" ht="17.25" customHeight="1">
      <c r="A372" s="44"/>
      <c r="B372" s="44"/>
      <c r="C372" s="44"/>
      <c r="D372" s="44"/>
      <c r="E372" s="44"/>
      <c r="F372" s="44"/>
      <c r="G372" s="44"/>
      <c r="H372" s="44"/>
      <c r="I372" s="44"/>
      <c r="J372" s="44"/>
      <c r="K372" s="44"/>
      <c r="L372" s="44"/>
      <c r="M372" s="44"/>
      <c r="N372" s="44"/>
      <c r="O372" s="44"/>
    </row>
    <row r="373" spans="1:15" ht="17.25" customHeight="1">
      <c r="A373" s="44"/>
      <c r="B373" s="44"/>
      <c r="C373" s="44"/>
      <c r="D373" s="44"/>
      <c r="E373" s="44"/>
      <c r="F373" s="44"/>
      <c r="G373" s="44"/>
      <c r="H373" s="44"/>
      <c r="I373" s="44"/>
      <c r="J373" s="44"/>
      <c r="K373" s="44"/>
      <c r="L373" s="44"/>
      <c r="M373" s="44"/>
      <c r="N373" s="44"/>
      <c r="O373" s="44"/>
    </row>
    <row r="374" spans="1:15" ht="17.25" customHeight="1">
      <c r="A374" s="44"/>
      <c r="B374" s="44"/>
      <c r="C374" s="44"/>
      <c r="D374" s="44"/>
      <c r="E374" s="44"/>
      <c r="F374" s="44"/>
      <c r="G374" s="44"/>
      <c r="H374" s="44"/>
      <c r="I374" s="44"/>
      <c r="J374" s="44"/>
      <c r="K374" s="44"/>
      <c r="L374" s="44"/>
      <c r="M374" s="44"/>
      <c r="N374" s="44"/>
      <c r="O374" s="44"/>
    </row>
    <row r="375" spans="1:15" ht="17.25" customHeight="1">
      <c r="A375" s="44"/>
      <c r="B375" s="44"/>
      <c r="C375" s="44"/>
      <c r="D375" s="44"/>
      <c r="E375" s="44"/>
      <c r="F375" s="44"/>
      <c r="G375" s="44"/>
      <c r="H375" s="44"/>
      <c r="I375" s="44"/>
      <c r="J375" s="44"/>
      <c r="K375" s="44"/>
      <c r="L375" s="44"/>
      <c r="M375" s="44"/>
      <c r="N375" s="44"/>
      <c r="O375" s="44"/>
    </row>
    <row r="376" spans="1:15" ht="17.25" customHeight="1">
      <c r="A376" s="44"/>
      <c r="B376" s="44"/>
      <c r="C376" s="44"/>
      <c r="D376" s="44"/>
      <c r="E376" s="44"/>
      <c r="F376" s="44"/>
      <c r="G376" s="44"/>
      <c r="H376" s="44"/>
      <c r="I376" s="44"/>
      <c r="J376" s="44"/>
      <c r="K376" s="44"/>
      <c r="L376" s="44"/>
      <c r="M376" s="44"/>
      <c r="N376" s="44"/>
      <c r="O376" s="44"/>
    </row>
    <row r="377" spans="1:15" ht="17.25" customHeight="1">
      <c r="A377" s="44"/>
      <c r="B377" s="44"/>
      <c r="C377" s="44"/>
      <c r="D377" s="44"/>
      <c r="E377" s="44"/>
      <c r="F377" s="44"/>
      <c r="G377" s="44"/>
      <c r="H377" s="44"/>
      <c r="I377" s="44"/>
      <c r="J377" s="44"/>
      <c r="K377" s="44"/>
      <c r="L377" s="44"/>
      <c r="M377" s="44"/>
      <c r="N377" s="44"/>
      <c r="O377" s="44"/>
    </row>
    <row r="378" spans="1:15" ht="17.25" customHeight="1">
      <c r="A378" s="44"/>
      <c r="B378" s="44"/>
      <c r="C378" s="44"/>
      <c r="D378" s="44"/>
      <c r="E378" s="44"/>
      <c r="F378" s="44"/>
      <c r="G378" s="44"/>
      <c r="H378" s="44"/>
      <c r="I378" s="44"/>
      <c r="J378" s="44"/>
      <c r="K378" s="44"/>
      <c r="L378" s="44"/>
      <c r="M378" s="44"/>
      <c r="N378" s="44"/>
      <c r="O378" s="44"/>
    </row>
    <row r="379" spans="1:15" ht="17.25" customHeight="1">
      <c r="A379" s="44"/>
      <c r="B379" s="44"/>
      <c r="C379" s="44"/>
      <c r="D379" s="44"/>
      <c r="E379" s="44"/>
      <c r="F379" s="44"/>
      <c r="G379" s="44"/>
      <c r="H379" s="44"/>
      <c r="I379" s="44"/>
      <c r="J379" s="44"/>
      <c r="K379" s="44"/>
      <c r="L379" s="44"/>
      <c r="M379" s="44"/>
      <c r="N379" s="44"/>
      <c r="O379" s="44"/>
    </row>
    <row r="380" spans="1:15" ht="17.25" customHeight="1">
      <c r="A380" s="44"/>
      <c r="B380" s="44"/>
      <c r="C380" s="44"/>
      <c r="D380" s="44"/>
      <c r="E380" s="44"/>
      <c r="F380" s="44"/>
      <c r="G380" s="44"/>
      <c r="H380" s="44"/>
      <c r="I380" s="44"/>
      <c r="J380" s="44"/>
      <c r="K380" s="44"/>
      <c r="L380" s="44"/>
      <c r="M380" s="44"/>
      <c r="N380" s="44"/>
      <c r="O380" s="44"/>
    </row>
    <row r="381" spans="1:15" ht="17.25" customHeight="1">
      <c r="A381" s="44"/>
      <c r="B381" s="44"/>
      <c r="C381" s="44"/>
      <c r="D381" s="44"/>
      <c r="E381" s="44"/>
      <c r="F381" s="44"/>
      <c r="G381" s="44"/>
      <c r="H381" s="44"/>
      <c r="I381" s="44"/>
      <c r="J381" s="44"/>
      <c r="K381" s="44"/>
      <c r="L381" s="44"/>
      <c r="M381" s="44"/>
      <c r="N381" s="44"/>
      <c r="O381" s="44"/>
    </row>
    <row r="382" spans="1:15" ht="17.25" customHeight="1">
      <c r="A382" s="44"/>
      <c r="B382" s="44"/>
      <c r="C382" s="44"/>
      <c r="D382" s="44"/>
      <c r="E382" s="44"/>
      <c r="F382" s="44"/>
      <c r="G382" s="44"/>
      <c r="H382" s="44"/>
      <c r="I382" s="44"/>
      <c r="J382" s="44"/>
      <c r="K382" s="44"/>
      <c r="L382" s="44"/>
      <c r="M382" s="44"/>
      <c r="N382" s="44"/>
      <c r="O382" s="44"/>
    </row>
    <row r="383" spans="1:15" ht="17.25" customHeight="1">
      <c r="A383" s="44"/>
      <c r="B383" s="44"/>
      <c r="C383" s="44"/>
      <c r="D383" s="44"/>
      <c r="E383" s="44"/>
      <c r="F383" s="44"/>
      <c r="G383" s="44"/>
      <c r="H383" s="44"/>
      <c r="I383" s="44"/>
      <c r="J383" s="44"/>
      <c r="K383" s="44"/>
      <c r="L383" s="44"/>
      <c r="M383" s="44"/>
      <c r="N383" s="44"/>
      <c r="O383" s="44"/>
    </row>
    <row r="384" spans="1:15" ht="17.25" customHeight="1">
      <c r="A384" s="44"/>
      <c r="B384" s="44"/>
      <c r="C384" s="44"/>
      <c r="D384" s="44"/>
      <c r="E384" s="44"/>
      <c r="F384" s="44"/>
      <c r="G384" s="44"/>
      <c r="H384" s="44"/>
      <c r="I384" s="44"/>
      <c r="J384" s="44"/>
      <c r="K384" s="44"/>
      <c r="L384" s="44"/>
      <c r="M384" s="44"/>
      <c r="N384" s="44"/>
      <c r="O384" s="44"/>
    </row>
    <row r="385" spans="1:15" ht="17.25" customHeight="1">
      <c r="A385" s="44"/>
      <c r="B385" s="44"/>
      <c r="C385" s="44"/>
      <c r="D385" s="44"/>
      <c r="E385" s="44"/>
      <c r="F385" s="44"/>
      <c r="G385" s="44"/>
      <c r="H385" s="44"/>
      <c r="I385" s="44"/>
      <c r="J385" s="44"/>
      <c r="K385" s="44"/>
      <c r="L385" s="44"/>
      <c r="M385" s="44"/>
      <c r="N385" s="44"/>
      <c r="O385" s="44"/>
    </row>
    <row r="386" spans="1:15" ht="17.25" customHeight="1">
      <c r="A386" s="44"/>
      <c r="B386" s="44"/>
      <c r="C386" s="44"/>
      <c r="D386" s="44"/>
      <c r="E386" s="44"/>
      <c r="F386" s="44"/>
      <c r="G386" s="44"/>
      <c r="H386" s="44"/>
      <c r="I386" s="44"/>
      <c r="J386" s="44"/>
      <c r="K386" s="44"/>
      <c r="L386" s="44"/>
      <c r="M386" s="44"/>
      <c r="N386" s="44"/>
      <c r="O386" s="44"/>
    </row>
    <row r="387" spans="1:15" ht="17.25" customHeight="1">
      <c r="A387" s="44"/>
      <c r="B387" s="44"/>
      <c r="C387" s="44"/>
      <c r="D387" s="44"/>
      <c r="E387" s="44"/>
      <c r="F387" s="44"/>
      <c r="G387" s="44"/>
      <c r="H387" s="44"/>
      <c r="I387" s="44"/>
      <c r="J387" s="44"/>
      <c r="K387" s="44"/>
      <c r="L387" s="44"/>
      <c r="M387" s="44"/>
      <c r="N387" s="44"/>
      <c r="O387" s="44"/>
    </row>
    <row r="388" spans="1:15" ht="17.25" customHeight="1">
      <c r="A388" s="44"/>
      <c r="B388" s="44"/>
      <c r="C388" s="44"/>
      <c r="D388" s="44"/>
      <c r="E388" s="44"/>
      <c r="F388" s="44"/>
      <c r="G388" s="44"/>
      <c r="H388" s="44"/>
      <c r="I388" s="44"/>
      <c r="J388" s="44"/>
      <c r="K388" s="44"/>
      <c r="L388" s="44"/>
      <c r="M388" s="44"/>
      <c r="N388" s="44"/>
      <c r="O388" s="44"/>
    </row>
    <row r="389" spans="1:15" ht="17.25" customHeight="1">
      <c r="A389" s="44"/>
      <c r="B389" s="44"/>
      <c r="C389" s="44"/>
      <c r="D389" s="44"/>
      <c r="E389" s="44"/>
      <c r="F389" s="44"/>
      <c r="G389" s="44"/>
      <c r="H389" s="44"/>
      <c r="I389" s="44"/>
      <c r="J389" s="44"/>
      <c r="K389" s="44"/>
      <c r="L389" s="44"/>
      <c r="M389" s="44"/>
      <c r="N389" s="44"/>
      <c r="O389" s="44"/>
    </row>
    <row r="390" spans="1:15" ht="17.25" customHeight="1">
      <c r="A390" s="44"/>
      <c r="B390" s="44"/>
      <c r="C390" s="44"/>
      <c r="D390" s="44"/>
      <c r="E390" s="44"/>
      <c r="F390" s="44"/>
      <c r="G390" s="44"/>
      <c r="H390" s="44"/>
      <c r="I390" s="44"/>
      <c r="J390" s="44"/>
      <c r="K390" s="44"/>
      <c r="L390" s="44"/>
      <c r="M390" s="44"/>
      <c r="N390" s="44"/>
      <c r="O390" s="44"/>
    </row>
    <row r="391" spans="1:15" ht="17.25" customHeight="1">
      <c r="A391" s="44"/>
      <c r="B391" s="44"/>
      <c r="C391" s="44"/>
      <c r="D391" s="44"/>
      <c r="E391" s="44"/>
      <c r="F391" s="44"/>
      <c r="G391" s="44"/>
      <c r="H391" s="44"/>
      <c r="I391" s="44"/>
      <c r="J391" s="44"/>
      <c r="K391" s="44"/>
      <c r="L391" s="44"/>
      <c r="M391" s="44"/>
      <c r="N391" s="44"/>
      <c r="O391" s="44"/>
    </row>
    <row r="392" spans="1:15" ht="17.25" customHeight="1">
      <c r="A392" s="44"/>
      <c r="B392" s="44"/>
      <c r="C392" s="44"/>
      <c r="D392" s="44"/>
      <c r="E392" s="44"/>
      <c r="F392" s="44"/>
      <c r="G392" s="44"/>
      <c r="H392" s="44"/>
      <c r="I392" s="44"/>
      <c r="J392" s="44"/>
      <c r="K392" s="44"/>
      <c r="L392" s="44"/>
      <c r="M392" s="44"/>
      <c r="N392" s="44"/>
      <c r="O392" s="44"/>
    </row>
    <row r="393" spans="1:15" ht="17.25" customHeight="1">
      <c r="A393" s="44"/>
      <c r="B393" s="44"/>
      <c r="C393" s="44"/>
      <c r="D393" s="44"/>
      <c r="E393" s="44"/>
      <c r="F393" s="44"/>
      <c r="G393" s="44"/>
      <c r="H393" s="44"/>
      <c r="I393" s="44"/>
      <c r="J393" s="44"/>
      <c r="K393" s="44"/>
      <c r="L393" s="44"/>
      <c r="M393" s="44"/>
      <c r="N393" s="44"/>
      <c r="O393" s="44"/>
    </row>
    <row r="394" spans="1:15" ht="17.25" customHeight="1">
      <c r="A394" s="44"/>
      <c r="B394" s="44"/>
      <c r="C394" s="44"/>
      <c r="D394" s="44"/>
      <c r="E394" s="44"/>
      <c r="F394" s="44"/>
      <c r="G394" s="44"/>
      <c r="H394" s="44"/>
      <c r="I394" s="44"/>
      <c r="J394" s="44"/>
      <c r="K394" s="44"/>
      <c r="L394" s="44"/>
      <c r="M394" s="44"/>
      <c r="N394" s="44"/>
      <c r="O394" s="44"/>
    </row>
    <row r="395" spans="1:15" ht="17.25" customHeight="1">
      <c r="A395" s="44"/>
      <c r="B395" s="44"/>
      <c r="C395" s="44"/>
      <c r="D395" s="44"/>
      <c r="E395" s="44"/>
      <c r="F395" s="44"/>
      <c r="G395" s="44"/>
      <c r="H395" s="44"/>
      <c r="I395" s="44"/>
      <c r="J395" s="44"/>
      <c r="K395" s="44"/>
      <c r="L395" s="44"/>
      <c r="M395" s="44"/>
      <c r="N395" s="44"/>
      <c r="O395" s="44"/>
    </row>
    <row r="396" spans="1:15" ht="17.25" customHeight="1">
      <c r="A396" s="44"/>
      <c r="B396" s="44"/>
      <c r="C396" s="44"/>
      <c r="D396" s="44"/>
      <c r="E396" s="44"/>
      <c r="F396" s="44"/>
      <c r="G396" s="44"/>
      <c r="H396" s="44"/>
      <c r="I396" s="44"/>
      <c r="J396" s="44"/>
      <c r="K396" s="44"/>
      <c r="L396" s="44"/>
      <c r="M396" s="44"/>
      <c r="N396" s="44"/>
      <c r="O396" s="44"/>
    </row>
    <row r="397" spans="1:15" ht="17.25" customHeight="1">
      <c r="A397" s="44"/>
      <c r="B397" s="44"/>
      <c r="C397" s="44"/>
      <c r="D397" s="44"/>
      <c r="E397" s="44"/>
      <c r="F397" s="44"/>
      <c r="G397" s="44"/>
      <c r="H397" s="44"/>
      <c r="I397" s="44"/>
      <c r="J397" s="44"/>
      <c r="K397" s="44"/>
      <c r="L397" s="44"/>
      <c r="M397" s="44"/>
      <c r="N397" s="44"/>
      <c r="O397" s="44"/>
    </row>
    <row r="398" spans="1:15" ht="17.25" customHeight="1">
      <c r="A398" s="44"/>
      <c r="B398" s="44"/>
      <c r="C398" s="44"/>
      <c r="D398" s="44"/>
      <c r="E398" s="44"/>
      <c r="F398" s="44"/>
      <c r="G398" s="44"/>
      <c r="H398" s="44"/>
      <c r="I398" s="44"/>
      <c r="J398" s="44"/>
      <c r="K398" s="44"/>
      <c r="L398" s="44"/>
      <c r="M398" s="44"/>
      <c r="N398" s="44"/>
      <c r="O398" s="44"/>
    </row>
    <row r="399" spans="1:15" ht="17.25" customHeight="1">
      <c r="A399" s="44"/>
      <c r="B399" s="44"/>
      <c r="C399" s="44"/>
      <c r="D399" s="44"/>
      <c r="E399" s="44"/>
      <c r="F399" s="44"/>
      <c r="G399" s="44"/>
      <c r="H399" s="44"/>
      <c r="I399" s="44"/>
      <c r="J399" s="44"/>
      <c r="K399" s="44"/>
      <c r="L399" s="44"/>
      <c r="M399" s="44"/>
      <c r="N399" s="44"/>
      <c r="O399" s="44"/>
    </row>
    <row r="400" spans="1:15" ht="17.25" customHeight="1">
      <c r="A400" s="44"/>
      <c r="B400" s="44"/>
      <c r="C400" s="44"/>
      <c r="D400" s="44"/>
      <c r="E400" s="44"/>
      <c r="F400" s="44"/>
      <c r="G400" s="44"/>
      <c r="H400" s="44"/>
      <c r="I400" s="44"/>
      <c r="J400" s="44"/>
      <c r="K400" s="44"/>
      <c r="L400" s="44"/>
      <c r="M400" s="44"/>
      <c r="N400" s="44"/>
      <c r="O400" s="44"/>
    </row>
    <row r="401" spans="1:15" ht="17.25" customHeight="1">
      <c r="A401" s="44"/>
      <c r="B401" s="44"/>
      <c r="C401" s="44"/>
      <c r="D401" s="44"/>
      <c r="E401" s="44"/>
      <c r="F401" s="44"/>
      <c r="G401" s="44"/>
      <c r="H401" s="44"/>
      <c r="I401" s="44"/>
      <c r="J401" s="44"/>
      <c r="K401" s="44"/>
      <c r="L401" s="44"/>
      <c r="M401" s="44"/>
      <c r="N401" s="44"/>
      <c r="O401" s="44"/>
    </row>
    <row r="402" spans="1:15" ht="17.25" customHeight="1">
      <c r="A402" s="44"/>
      <c r="B402" s="44"/>
      <c r="C402" s="44"/>
      <c r="D402" s="44"/>
      <c r="E402" s="44"/>
      <c r="F402" s="44"/>
      <c r="G402" s="44"/>
      <c r="H402" s="44"/>
      <c r="I402" s="44"/>
      <c r="J402" s="44"/>
      <c r="K402" s="44"/>
      <c r="L402" s="44"/>
      <c r="M402" s="44"/>
      <c r="N402" s="44"/>
      <c r="O402" s="44"/>
    </row>
    <row r="403" spans="1:15" ht="17.25" customHeight="1">
      <c r="A403" s="44"/>
      <c r="B403" s="44"/>
      <c r="C403" s="44"/>
      <c r="D403" s="44"/>
      <c r="E403" s="44"/>
      <c r="F403" s="44"/>
      <c r="G403" s="44"/>
      <c r="H403" s="44"/>
      <c r="I403" s="44"/>
      <c r="J403" s="44"/>
      <c r="K403" s="44"/>
      <c r="L403" s="44"/>
      <c r="M403" s="44"/>
      <c r="N403" s="44"/>
      <c r="O403" s="44"/>
    </row>
    <row r="404" spans="1:15" ht="17.25" customHeight="1">
      <c r="A404" s="44"/>
      <c r="B404" s="44"/>
      <c r="C404" s="44"/>
      <c r="D404" s="44"/>
      <c r="E404" s="44"/>
      <c r="F404" s="44"/>
      <c r="G404" s="44"/>
      <c r="H404" s="44"/>
      <c r="I404" s="44"/>
      <c r="J404" s="44"/>
      <c r="K404" s="44"/>
      <c r="L404" s="44"/>
      <c r="M404" s="44"/>
      <c r="N404" s="44"/>
      <c r="O404" s="44"/>
    </row>
    <row r="405" spans="1:15" ht="17.25" customHeight="1">
      <c r="A405" s="44"/>
      <c r="B405" s="44"/>
      <c r="C405" s="44"/>
      <c r="D405" s="44"/>
      <c r="E405" s="44"/>
      <c r="F405" s="44"/>
      <c r="G405" s="44"/>
      <c r="H405" s="44"/>
      <c r="I405" s="44"/>
      <c r="J405" s="44"/>
      <c r="K405" s="44"/>
      <c r="L405" s="44"/>
      <c r="M405" s="44"/>
      <c r="N405" s="44"/>
      <c r="O405" s="44"/>
    </row>
    <row r="406" spans="1:15" ht="17.25" customHeight="1">
      <c r="A406" s="44"/>
      <c r="B406" s="44"/>
      <c r="C406" s="44"/>
      <c r="D406" s="44"/>
      <c r="E406" s="44"/>
      <c r="F406" s="44"/>
      <c r="G406" s="44"/>
      <c r="H406" s="44"/>
      <c r="I406" s="44"/>
      <c r="J406" s="44"/>
      <c r="K406" s="44"/>
      <c r="L406" s="44"/>
      <c r="M406" s="44"/>
      <c r="N406" s="44"/>
      <c r="O406" s="44"/>
    </row>
    <row r="407" spans="1:15" ht="17.25" customHeight="1">
      <c r="A407" s="44"/>
      <c r="B407" s="44"/>
      <c r="C407" s="44"/>
      <c r="D407" s="44"/>
      <c r="E407" s="44"/>
      <c r="F407" s="44"/>
      <c r="G407" s="44"/>
      <c r="H407" s="44"/>
      <c r="I407" s="44"/>
      <c r="J407" s="44"/>
      <c r="K407" s="44"/>
      <c r="L407" s="44"/>
      <c r="M407" s="44"/>
      <c r="N407" s="44"/>
      <c r="O407" s="44"/>
    </row>
    <row r="408" spans="1:15" ht="17.25" customHeight="1">
      <c r="A408" s="44"/>
      <c r="B408" s="44"/>
      <c r="C408" s="44"/>
      <c r="D408" s="44"/>
      <c r="E408" s="44"/>
      <c r="F408" s="44"/>
      <c r="G408" s="44"/>
      <c r="H408" s="44"/>
      <c r="I408" s="44"/>
      <c r="J408" s="44"/>
      <c r="K408" s="44"/>
      <c r="L408" s="44"/>
      <c r="M408" s="44"/>
      <c r="N408" s="44"/>
      <c r="O408" s="44"/>
    </row>
    <row r="409" spans="1:15" ht="17.25" customHeight="1">
      <c r="A409" s="44"/>
      <c r="B409" s="44"/>
      <c r="C409" s="44"/>
      <c r="D409" s="44"/>
      <c r="E409" s="44"/>
      <c r="F409" s="44"/>
      <c r="G409" s="44"/>
      <c r="H409" s="44"/>
      <c r="I409" s="44"/>
      <c r="J409" s="44"/>
      <c r="K409" s="44"/>
      <c r="L409" s="44"/>
      <c r="M409" s="44"/>
      <c r="N409" s="44"/>
      <c r="O409" s="44"/>
    </row>
    <row r="410" spans="1:15" ht="17.25" customHeight="1">
      <c r="A410" s="44"/>
      <c r="B410" s="44"/>
      <c r="C410" s="44"/>
      <c r="D410" s="44"/>
      <c r="E410" s="44"/>
      <c r="F410" s="44"/>
      <c r="G410" s="44"/>
      <c r="H410" s="44"/>
      <c r="I410" s="44"/>
      <c r="J410" s="44"/>
      <c r="K410" s="44"/>
      <c r="L410" s="44"/>
      <c r="M410" s="44"/>
      <c r="N410" s="44"/>
      <c r="O410" s="44"/>
    </row>
    <row r="411" spans="1:15" ht="17.25" customHeight="1">
      <c r="A411" s="44"/>
      <c r="B411" s="44"/>
      <c r="C411" s="44"/>
      <c r="D411" s="44"/>
      <c r="E411" s="44"/>
      <c r="F411" s="44"/>
      <c r="G411" s="44"/>
      <c r="H411" s="44"/>
      <c r="I411" s="44"/>
      <c r="J411" s="44"/>
      <c r="K411" s="44"/>
      <c r="L411" s="44"/>
      <c r="M411" s="44"/>
      <c r="N411" s="44"/>
      <c r="O411" s="44"/>
    </row>
    <row r="412" spans="1:15" ht="17.25" customHeight="1">
      <c r="A412" s="44"/>
      <c r="B412" s="44"/>
      <c r="C412" s="44"/>
      <c r="D412" s="44"/>
      <c r="E412" s="44"/>
      <c r="F412" s="44"/>
      <c r="G412" s="44"/>
      <c r="H412" s="44"/>
      <c r="I412" s="44"/>
      <c r="J412" s="44"/>
      <c r="K412" s="44"/>
      <c r="L412" s="44"/>
      <c r="M412" s="44"/>
      <c r="N412" s="44"/>
      <c r="O412" s="44"/>
    </row>
    <row r="413" spans="1:15" ht="17.25" customHeight="1">
      <c r="A413" s="44"/>
      <c r="B413" s="44"/>
      <c r="C413" s="44"/>
      <c r="D413" s="44"/>
      <c r="E413" s="44"/>
      <c r="F413" s="44"/>
      <c r="G413" s="44"/>
      <c r="H413" s="44"/>
      <c r="I413" s="44"/>
      <c r="J413" s="44"/>
      <c r="K413" s="44"/>
      <c r="L413" s="44"/>
      <c r="M413" s="44"/>
      <c r="N413" s="44"/>
      <c r="O413" s="44"/>
    </row>
    <row r="414" spans="1:15" ht="17.25" customHeight="1">
      <c r="A414" s="44"/>
      <c r="B414" s="44"/>
      <c r="C414" s="44"/>
      <c r="D414" s="44"/>
      <c r="E414" s="44"/>
      <c r="F414" s="44"/>
      <c r="G414" s="44"/>
      <c r="H414" s="44"/>
      <c r="I414" s="44"/>
      <c r="J414" s="44"/>
      <c r="K414" s="44"/>
      <c r="L414" s="44"/>
      <c r="M414" s="44"/>
      <c r="N414" s="44"/>
      <c r="O414" s="44"/>
    </row>
    <row r="415" spans="1:15" ht="17.25" customHeight="1">
      <c r="A415" s="44"/>
      <c r="B415" s="44"/>
      <c r="C415" s="44"/>
      <c r="D415" s="44"/>
      <c r="E415" s="44"/>
      <c r="F415" s="44"/>
      <c r="G415" s="44"/>
      <c r="H415" s="44"/>
      <c r="I415" s="44"/>
      <c r="J415" s="44"/>
      <c r="K415" s="44"/>
      <c r="L415" s="44"/>
      <c r="M415" s="44"/>
      <c r="N415" s="44"/>
      <c r="O415" s="44"/>
    </row>
    <row r="416" spans="1:15" ht="17.25" customHeight="1">
      <c r="A416" s="44"/>
      <c r="B416" s="44"/>
      <c r="C416" s="44"/>
      <c r="D416" s="44"/>
      <c r="E416" s="44"/>
      <c r="F416" s="44"/>
      <c r="G416" s="44"/>
      <c r="H416" s="44"/>
      <c r="I416" s="44"/>
      <c r="J416" s="44"/>
      <c r="K416" s="44"/>
      <c r="L416" s="44"/>
      <c r="M416" s="44"/>
      <c r="N416" s="44"/>
      <c r="O416" s="44"/>
    </row>
    <row r="417" spans="1:15" ht="17.25" customHeight="1">
      <c r="A417" s="44"/>
      <c r="B417" s="44"/>
      <c r="C417" s="44"/>
      <c r="D417" s="44"/>
      <c r="E417" s="44"/>
      <c r="F417" s="44"/>
      <c r="G417" s="44"/>
      <c r="H417" s="44"/>
      <c r="I417" s="44"/>
      <c r="J417" s="44"/>
      <c r="K417" s="44"/>
      <c r="L417" s="44"/>
      <c r="M417" s="44"/>
      <c r="N417" s="44"/>
      <c r="O417" s="44"/>
    </row>
    <row r="418" spans="1:15" ht="17.25" customHeight="1">
      <c r="A418" s="44"/>
      <c r="B418" s="44"/>
      <c r="C418" s="44"/>
      <c r="D418" s="44"/>
      <c r="E418" s="44"/>
      <c r="F418" s="44"/>
      <c r="G418" s="44"/>
      <c r="H418" s="44"/>
      <c r="I418" s="44"/>
      <c r="J418" s="44"/>
      <c r="K418" s="44"/>
      <c r="L418" s="44"/>
      <c r="M418" s="44"/>
      <c r="N418" s="44"/>
      <c r="O418" s="44"/>
    </row>
    <row r="419" spans="1:15" ht="17.25" customHeight="1">
      <c r="A419" s="44"/>
      <c r="B419" s="44"/>
      <c r="C419" s="44"/>
      <c r="D419" s="44"/>
      <c r="E419" s="44"/>
      <c r="F419" s="44"/>
      <c r="G419" s="44"/>
      <c r="H419" s="44"/>
      <c r="I419" s="44"/>
      <c r="J419" s="44"/>
      <c r="K419" s="44"/>
      <c r="L419" s="44"/>
      <c r="M419" s="44"/>
      <c r="N419" s="44"/>
      <c r="O419" s="44"/>
    </row>
    <row r="420" spans="1:15" ht="17.25" customHeight="1">
      <c r="A420" s="44"/>
      <c r="B420" s="44"/>
      <c r="C420" s="44"/>
      <c r="D420" s="44"/>
      <c r="E420" s="44"/>
      <c r="F420" s="44"/>
      <c r="G420" s="44"/>
      <c r="H420" s="44"/>
      <c r="I420" s="44"/>
      <c r="J420" s="44"/>
      <c r="K420" s="44"/>
      <c r="L420" s="44"/>
      <c r="M420" s="44"/>
      <c r="N420" s="44"/>
      <c r="O420" s="44"/>
    </row>
    <row r="421" spans="1:15" ht="17.25" customHeight="1">
      <c r="A421" s="44"/>
      <c r="B421" s="44"/>
      <c r="C421" s="44"/>
      <c r="D421" s="44"/>
      <c r="E421" s="44"/>
      <c r="F421" s="44"/>
      <c r="G421" s="44"/>
      <c r="H421" s="44"/>
      <c r="I421" s="44"/>
      <c r="J421" s="44"/>
      <c r="K421" s="44"/>
      <c r="L421" s="44"/>
      <c r="M421" s="44"/>
      <c r="N421" s="44"/>
      <c r="O421" s="44"/>
    </row>
    <row r="422" spans="1:15" ht="17.25" customHeight="1">
      <c r="A422" s="44"/>
      <c r="B422" s="44"/>
      <c r="C422" s="44"/>
      <c r="D422" s="44"/>
      <c r="E422" s="44"/>
      <c r="F422" s="44"/>
      <c r="G422" s="44"/>
      <c r="H422" s="44"/>
      <c r="I422" s="44"/>
      <c r="J422" s="44"/>
      <c r="K422" s="44"/>
      <c r="L422" s="44"/>
      <c r="M422" s="44"/>
      <c r="N422" s="44"/>
      <c r="O422" s="44"/>
    </row>
    <row r="423" spans="1:15" ht="17.25" customHeight="1">
      <c r="A423" s="44"/>
      <c r="B423" s="44"/>
      <c r="C423" s="44"/>
      <c r="D423" s="44"/>
      <c r="E423" s="44"/>
      <c r="F423" s="44"/>
      <c r="G423" s="44"/>
      <c r="H423" s="44"/>
      <c r="I423" s="44"/>
      <c r="J423" s="44"/>
      <c r="K423" s="44"/>
      <c r="L423" s="44"/>
      <c r="M423" s="44"/>
      <c r="N423" s="44"/>
      <c r="O423" s="44"/>
    </row>
    <row r="424" spans="1:15" ht="17.25" customHeight="1">
      <c r="A424" s="44"/>
      <c r="B424" s="44"/>
      <c r="C424" s="44"/>
      <c r="D424" s="44"/>
      <c r="E424" s="44"/>
      <c r="F424" s="44"/>
      <c r="G424" s="44"/>
      <c r="H424" s="44"/>
      <c r="I424" s="44"/>
      <c r="J424" s="44"/>
      <c r="K424" s="44"/>
      <c r="L424" s="44"/>
      <c r="M424" s="44"/>
      <c r="N424" s="44"/>
      <c r="O424" s="44"/>
    </row>
    <row r="425" spans="1:15" ht="17.25" customHeight="1">
      <c r="A425" s="44"/>
      <c r="B425" s="44"/>
      <c r="C425" s="44"/>
      <c r="D425" s="44"/>
      <c r="E425" s="44"/>
      <c r="F425" s="44"/>
      <c r="G425" s="44"/>
      <c r="H425" s="44"/>
      <c r="I425" s="44"/>
      <c r="J425" s="44"/>
      <c r="K425" s="44"/>
      <c r="L425" s="44"/>
      <c r="M425" s="44"/>
      <c r="N425" s="44"/>
      <c r="O425" s="44"/>
    </row>
    <row r="426" spans="1:15" ht="17.25" customHeight="1">
      <c r="A426" s="44"/>
      <c r="B426" s="44"/>
      <c r="C426" s="44"/>
      <c r="D426" s="44"/>
      <c r="E426" s="44"/>
      <c r="F426" s="44"/>
      <c r="G426" s="44"/>
      <c r="H426" s="44"/>
      <c r="I426" s="44"/>
      <c r="J426" s="44"/>
      <c r="K426" s="44"/>
      <c r="L426" s="44"/>
      <c r="M426" s="44"/>
      <c r="N426" s="44"/>
      <c r="O426" s="44"/>
    </row>
    <row r="427" spans="1:15" ht="17.25" customHeight="1">
      <c r="A427" s="44"/>
      <c r="B427" s="44"/>
      <c r="C427" s="44"/>
      <c r="D427" s="44"/>
      <c r="E427" s="44"/>
      <c r="F427" s="44"/>
      <c r="G427" s="44"/>
      <c r="H427" s="44"/>
      <c r="I427" s="44"/>
      <c r="J427" s="44"/>
      <c r="K427" s="44"/>
      <c r="L427" s="44"/>
      <c r="M427" s="44"/>
      <c r="N427" s="44"/>
      <c r="O427" s="44"/>
    </row>
    <row r="428" spans="1:15" ht="17.25" customHeight="1">
      <c r="A428" s="44"/>
      <c r="B428" s="44"/>
      <c r="C428" s="44"/>
      <c r="D428" s="44"/>
      <c r="E428" s="44"/>
      <c r="F428" s="44"/>
      <c r="G428" s="44"/>
      <c r="H428" s="44"/>
      <c r="I428" s="44"/>
      <c r="J428" s="44"/>
      <c r="K428" s="44"/>
      <c r="L428" s="44"/>
      <c r="M428" s="44"/>
      <c r="N428" s="44"/>
      <c r="O428" s="44"/>
    </row>
    <row r="429" spans="1:15" ht="17.25" customHeight="1">
      <c r="A429" s="44"/>
      <c r="B429" s="44"/>
      <c r="C429" s="44"/>
      <c r="D429" s="44"/>
      <c r="E429" s="44"/>
      <c r="F429" s="44"/>
      <c r="G429" s="44"/>
      <c r="H429" s="44"/>
      <c r="I429" s="44"/>
      <c r="J429" s="44"/>
      <c r="K429" s="44"/>
      <c r="L429" s="44"/>
      <c r="M429" s="44"/>
      <c r="N429" s="44"/>
      <c r="O429" s="44"/>
    </row>
    <row r="430" spans="1:15" ht="17.25" customHeight="1">
      <c r="A430" s="44"/>
      <c r="B430" s="44"/>
      <c r="C430" s="44"/>
      <c r="D430" s="44"/>
      <c r="E430" s="44"/>
      <c r="F430" s="44"/>
      <c r="G430" s="44"/>
      <c r="H430" s="44"/>
      <c r="I430" s="44"/>
      <c r="J430" s="44"/>
      <c r="K430" s="44"/>
      <c r="L430" s="44"/>
      <c r="M430" s="44"/>
      <c r="N430" s="44"/>
      <c r="O430" s="44"/>
    </row>
    <row r="431" spans="1:15" ht="17.25" customHeight="1">
      <c r="A431" s="44"/>
      <c r="B431" s="44"/>
      <c r="C431" s="44"/>
      <c r="D431" s="44"/>
      <c r="E431" s="44"/>
      <c r="F431" s="44"/>
      <c r="G431" s="44"/>
      <c r="H431" s="44"/>
      <c r="I431" s="44"/>
      <c r="J431" s="44"/>
      <c r="K431" s="44"/>
      <c r="L431" s="44"/>
      <c r="M431" s="44"/>
      <c r="N431" s="44"/>
      <c r="O431" s="44"/>
    </row>
    <row r="432" spans="1:15" ht="17.25" customHeight="1">
      <c r="A432" s="44"/>
      <c r="B432" s="44"/>
      <c r="C432" s="44"/>
      <c r="D432" s="44"/>
      <c r="E432" s="44"/>
      <c r="F432" s="44"/>
      <c r="G432" s="44"/>
      <c r="H432" s="44"/>
      <c r="I432" s="44"/>
      <c r="J432" s="44"/>
      <c r="K432" s="44"/>
      <c r="L432" s="44"/>
      <c r="M432" s="44"/>
      <c r="N432" s="44"/>
      <c r="O432" s="44"/>
    </row>
    <row r="433" spans="1:15" ht="17.25" customHeight="1">
      <c r="A433" s="44"/>
      <c r="B433" s="44"/>
      <c r="C433" s="44"/>
      <c r="D433" s="44"/>
      <c r="E433" s="44"/>
      <c r="F433" s="44"/>
      <c r="G433" s="44"/>
      <c r="H433" s="44"/>
      <c r="I433" s="44"/>
      <c r="J433" s="44"/>
      <c r="K433" s="44"/>
      <c r="L433" s="44"/>
      <c r="M433" s="44"/>
      <c r="N433" s="44"/>
      <c r="O433" s="44"/>
    </row>
    <row r="434" spans="1:15" ht="17.25" customHeight="1">
      <c r="A434" s="44"/>
      <c r="B434" s="44"/>
      <c r="C434" s="44"/>
      <c r="D434" s="44"/>
      <c r="E434" s="44"/>
      <c r="F434" s="44"/>
      <c r="G434" s="44"/>
      <c r="H434" s="44"/>
      <c r="I434" s="44"/>
      <c r="J434" s="44"/>
      <c r="K434" s="44"/>
      <c r="L434" s="44"/>
      <c r="M434" s="44"/>
      <c r="N434" s="44"/>
      <c r="O434" s="44"/>
    </row>
    <row r="435" spans="1:15" ht="17.25" customHeight="1">
      <c r="A435" s="44"/>
      <c r="B435" s="44"/>
      <c r="C435" s="44"/>
      <c r="D435" s="44"/>
      <c r="E435" s="44"/>
      <c r="F435" s="44"/>
      <c r="G435" s="44"/>
      <c r="H435" s="44"/>
      <c r="I435" s="44"/>
      <c r="J435" s="44"/>
      <c r="K435" s="44"/>
      <c r="L435" s="44"/>
      <c r="M435" s="44"/>
      <c r="N435" s="44"/>
      <c r="O435" s="44"/>
    </row>
    <row r="436" spans="1:15" ht="17.25" customHeight="1">
      <c r="A436" s="44"/>
      <c r="B436" s="44"/>
      <c r="C436" s="44"/>
      <c r="D436" s="44"/>
      <c r="E436" s="44"/>
      <c r="F436" s="44"/>
      <c r="G436" s="44"/>
      <c r="H436" s="44"/>
      <c r="I436" s="44"/>
      <c r="J436" s="44"/>
      <c r="K436" s="44"/>
      <c r="L436" s="44"/>
      <c r="M436" s="44"/>
      <c r="N436" s="44"/>
      <c r="O436" s="44"/>
    </row>
    <row r="437" spans="1:15" ht="17.25" customHeight="1">
      <c r="A437" s="44"/>
      <c r="B437" s="44"/>
      <c r="C437" s="44"/>
      <c r="D437" s="44"/>
      <c r="E437" s="44"/>
      <c r="F437" s="44"/>
      <c r="G437" s="44"/>
      <c r="H437" s="44"/>
      <c r="I437" s="44"/>
      <c r="J437" s="44"/>
      <c r="K437" s="44"/>
      <c r="L437" s="44"/>
      <c r="M437" s="44"/>
      <c r="N437" s="44"/>
      <c r="O437" s="44"/>
    </row>
    <row r="438" spans="1:15" ht="17.25" customHeight="1">
      <c r="A438" s="44"/>
      <c r="B438" s="44"/>
      <c r="C438" s="44"/>
      <c r="D438" s="44"/>
      <c r="E438" s="44"/>
      <c r="F438" s="44"/>
      <c r="G438" s="44"/>
      <c r="H438" s="44"/>
      <c r="I438" s="44"/>
      <c r="J438" s="44"/>
      <c r="K438" s="44"/>
      <c r="L438" s="44"/>
      <c r="M438" s="44"/>
      <c r="N438" s="44"/>
      <c r="O438" s="44"/>
    </row>
    <row r="439" spans="1:15" ht="17.25" customHeight="1">
      <c r="A439" s="44"/>
      <c r="B439" s="44"/>
      <c r="C439" s="44"/>
      <c r="D439" s="44"/>
      <c r="E439" s="44"/>
      <c r="F439" s="44"/>
      <c r="G439" s="44"/>
      <c r="H439" s="44"/>
      <c r="I439" s="44"/>
      <c r="J439" s="44"/>
      <c r="K439" s="44"/>
      <c r="L439" s="44"/>
      <c r="M439" s="44"/>
      <c r="N439" s="44"/>
      <c r="O439" s="44"/>
    </row>
    <row r="440" spans="1:15" ht="17.25" customHeight="1">
      <c r="A440" s="44"/>
      <c r="B440" s="44"/>
      <c r="C440" s="44"/>
      <c r="D440" s="44"/>
      <c r="E440" s="44"/>
      <c r="F440" s="44"/>
      <c r="G440" s="44"/>
      <c r="H440" s="44"/>
      <c r="I440" s="44"/>
      <c r="J440" s="44"/>
      <c r="K440" s="44"/>
      <c r="L440" s="44"/>
      <c r="M440" s="44"/>
      <c r="N440" s="44"/>
      <c r="O440" s="44"/>
    </row>
    <row r="441" spans="1:15" ht="17.25" customHeight="1">
      <c r="A441" s="44"/>
      <c r="B441" s="44"/>
      <c r="C441" s="44"/>
      <c r="D441" s="44"/>
      <c r="E441" s="44"/>
      <c r="F441" s="44"/>
      <c r="G441" s="44"/>
      <c r="H441" s="44"/>
      <c r="I441" s="44"/>
      <c r="J441" s="44"/>
      <c r="K441" s="44"/>
      <c r="L441" s="44"/>
      <c r="M441" s="44"/>
      <c r="N441" s="44"/>
      <c r="O441" s="44"/>
    </row>
    <row r="442" spans="1:15" ht="17.25" customHeight="1">
      <c r="A442" s="44"/>
      <c r="B442" s="44"/>
      <c r="C442" s="44"/>
      <c r="D442" s="44"/>
      <c r="E442" s="44"/>
      <c r="F442" s="44"/>
      <c r="G442" s="44"/>
      <c r="H442" s="44"/>
      <c r="I442" s="44"/>
      <c r="J442" s="44"/>
      <c r="K442" s="44"/>
      <c r="L442" s="44"/>
      <c r="M442" s="44"/>
      <c r="N442" s="44"/>
      <c r="O442" s="44"/>
    </row>
    <row r="443" spans="1:15" ht="17.25" customHeight="1">
      <c r="A443" s="44"/>
      <c r="B443" s="44"/>
      <c r="C443" s="44"/>
      <c r="D443" s="44"/>
      <c r="E443" s="44"/>
      <c r="F443" s="44"/>
      <c r="G443" s="44"/>
      <c r="H443" s="44"/>
      <c r="I443" s="44"/>
      <c r="J443" s="44"/>
      <c r="K443" s="44"/>
      <c r="L443" s="44"/>
      <c r="M443" s="44"/>
      <c r="N443" s="44"/>
      <c r="O443" s="44"/>
    </row>
    <row r="444" spans="1:15" ht="17.25" customHeight="1">
      <c r="A444" s="44"/>
      <c r="B444" s="44"/>
      <c r="C444" s="44"/>
      <c r="D444" s="44"/>
      <c r="E444" s="44"/>
      <c r="F444" s="44"/>
      <c r="G444" s="44"/>
      <c r="H444" s="44"/>
      <c r="I444" s="44"/>
      <c r="J444" s="44"/>
      <c r="K444" s="44"/>
      <c r="L444" s="44"/>
      <c r="M444" s="44"/>
      <c r="N444" s="44"/>
      <c r="O444" s="44"/>
    </row>
    <row r="445" spans="1:15" ht="17.25" customHeight="1">
      <c r="A445" s="44"/>
      <c r="B445" s="44"/>
      <c r="C445" s="44"/>
      <c r="D445" s="44"/>
      <c r="E445" s="44"/>
      <c r="F445" s="44"/>
      <c r="G445" s="44"/>
      <c r="H445" s="44"/>
      <c r="I445" s="44"/>
      <c r="J445" s="44"/>
      <c r="K445" s="44"/>
      <c r="L445" s="44"/>
      <c r="M445" s="44"/>
      <c r="N445" s="44"/>
      <c r="O445" s="44"/>
    </row>
    <row r="446" spans="1:15" ht="17.25" customHeight="1">
      <c r="A446" s="44"/>
      <c r="B446" s="44"/>
      <c r="C446" s="44"/>
      <c r="D446" s="44"/>
      <c r="E446" s="44"/>
      <c r="F446" s="44"/>
      <c r="G446" s="44"/>
      <c r="H446" s="44"/>
      <c r="I446" s="44"/>
      <c r="J446" s="44"/>
      <c r="K446" s="44"/>
      <c r="L446" s="44"/>
      <c r="M446" s="44"/>
      <c r="N446" s="44"/>
      <c r="O446" s="44"/>
    </row>
    <row r="447" spans="1:15" ht="17.25" customHeight="1">
      <c r="A447" s="44"/>
      <c r="B447" s="44"/>
      <c r="C447" s="44"/>
      <c r="D447" s="44"/>
      <c r="E447" s="44"/>
      <c r="F447" s="44"/>
      <c r="G447" s="44"/>
      <c r="H447" s="44"/>
      <c r="I447" s="44"/>
      <c r="J447" s="44"/>
      <c r="K447" s="44"/>
      <c r="L447" s="44"/>
      <c r="M447" s="44"/>
      <c r="N447" s="44"/>
      <c r="O447" s="44"/>
    </row>
    <row r="448" spans="1:15" ht="17.25" customHeight="1">
      <c r="A448" s="44"/>
      <c r="B448" s="44"/>
      <c r="C448" s="44"/>
      <c r="D448" s="44"/>
      <c r="E448" s="44"/>
      <c r="F448" s="44"/>
      <c r="G448" s="44"/>
      <c r="H448" s="44"/>
      <c r="I448" s="44"/>
      <c r="J448" s="44"/>
      <c r="K448" s="44"/>
      <c r="L448" s="44"/>
      <c r="M448" s="44"/>
      <c r="N448" s="44"/>
      <c r="O448" s="44"/>
    </row>
    <row r="449" spans="1:15" ht="17.25" customHeight="1">
      <c r="A449" s="44"/>
      <c r="B449" s="44"/>
      <c r="C449" s="44"/>
      <c r="D449" s="44"/>
      <c r="E449" s="44"/>
      <c r="F449" s="44"/>
      <c r="G449" s="44"/>
      <c r="H449" s="44"/>
      <c r="I449" s="44"/>
      <c r="J449" s="44"/>
      <c r="K449" s="44"/>
      <c r="L449" s="44"/>
      <c r="M449" s="44"/>
      <c r="N449" s="44"/>
      <c r="O449" s="44"/>
    </row>
    <row r="450" spans="1:15" ht="17.25" customHeight="1">
      <c r="A450" s="44"/>
      <c r="B450" s="44"/>
      <c r="C450" s="44"/>
      <c r="D450" s="44"/>
      <c r="E450" s="44"/>
      <c r="F450" s="44"/>
      <c r="G450" s="44"/>
      <c r="H450" s="44"/>
      <c r="I450" s="44"/>
      <c r="J450" s="44"/>
      <c r="K450" s="44"/>
      <c r="L450" s="44"/>
      <c r="M450" s="44"/>
      <c r="N450" s="44"/>
      <c r="O450" s="44"/>
    </row>
    <row r="451" spans="1:15" ht="17.25" customHeight="1">
      <c r="A451" s="44"/>
      <c r="B451" s="44"/>
      <c r="C451" s="44"/>
      <c r="D451" s="44"/>
      <c r="E451" s="44"/>
      <c r="F451" s="44"/>
      <c r="G451" s="44"/>
      <c r="H451" s="44"/>
      <c r="I451" s="44"/>
      <c r="J451" s="44"/>
      <c r="K451" s="44"/>
      <c r="L451" s="44"/>
      <c r="M451" s="44"/>
      <c r="N451" s="44"/>
      <c r="O451" s="44"/>
    </row>
    <row r="452" spans="1:15" ht="17.25" customHeight="1">
      <c r="A452" s="44"/>
      <c r="B452" s="44"/>
      <c r="C452" s="44"/>
      <c r="D452" s="44"/>
      <c r="E452" s="44"/>
      <c r="F452" s="44"/>
      <c r="G452" s="44"/>
      <c r="H452" s="44"/>
      <c r="I452" s="44"/>
      <c r="J452" s="44"/>
      <c r="K452" s="44"/>
      <c r="L452" s="44"/>
      <c r="M452" s="44"/>
      <c r="N452" s="44"/>
      <c r="O452" s="44"/>
    </row>
    <row r="453" spans="1:15" ht="17.25" customHeight="1">
      <c r="A453" s="44"/>
      <c r="B453" s="44"/>
      <c r="C453" s="44"/>
      <c r="D453" s="44"/>
      <c r="E453" s="44"/>
      <c r="F453" s="44"/>
      <c r="G453" s="44"/>
      <c r="H453" s="44"/>
      <c r="I453" s="44"/>
      <c r="J453" s="44"/>
      <c r="K453" s="44"/>
      <c r="L453" s="44"/>
      <c r="M453" s="44"/>
      <c r="N453" s="44"/>
      <c r="O453" s="44"/>
    </row>
    <row r="454" spans="1:15" ht="17.25" customHeight="1">
      <c r="A454" s="44"/>
      <c r="B454" s="44"/>
      <c r="C454" s="44"/>
      <c r="D454" s="44"/>
      <c r="E454" s="44"/>
      <c r="F454" s="44"/>
      <c r="G454" s="44"/>
      <c r="H454" s="44"/>
      <c r="I454" s="44"/>
      <c r="J454" s="44"/>
      <c r="K454" s="44"/>
      <c r="L454" s="44"/>
      <c r="M454" s="44"/>
      <c r="N454" s="44"/>
      <c r="O454" s="44"/>
    </row>
    <row r="455" spans="1:15" ht="17.25" customHeight="1">
      <c r="A455" s="44"/>
      <c r="B455" s="44"/>
      <c r="C455" s="44"/>
      <c r="D455" s="44"/>
      <c r="E455" s="44"/>
      <c r="F455" s="44"/>
      <c r="G455" s="44"/>
      <c r="H455" s="44"/>
      <c r="I455" s="44"/>
      <c r="J455" s="44"/>
      <c r="K455" s="44"/>
      <c r="L455" s="44"/>
      <c r="M455" s="44"/>
      <c r="N455" s="44"/>
      <c r="O455" s="44"/>
    </row>
    <row r="456" spans="1:15" ht="17.25" customHeight="1">
      <c r="A456" s="44"/>
      <c r="B456" s="44"/>
      <c r="C456" s="44"/>
      <c r="D456" s="44"/>
      <c r="E456" s="44"/>
      <c r="F456" s="44"/>
      <c r="G456" s="44"/>
      <c r="H456" s="44"/>
      <c r="I456" s="44"/>
      <c r="J456" s="44"/>
      <c r="K456" s="44"/>
      <c r="L456" s="44"/>
      <c r="M456" s="44"/>
      <c r="N456" s="44"/>
      <c r="O456" s="44"/>
    </row>
    <row r="457" spans="1:15" ht="17.25" customHeight="1">
      <c r="A457" s="44"/>
      <c r="B457" s="44"/>
      <c r="C457" s="44"/>
      <c r="D457" s="44"/>
      <c r="E457" s="44"/>
      <c r="F457" s="44"/>
      <c r="G457" s="44"/>
      <c r="H457" s="44"/>
      <c r="I457" s="44"/>
      <c r="J457" s="44"/>
      <c r="K457" s="44"/>
      <c r="L457" s="44"/>
      <c r="M457" s="44"/>
      <c r="N457" s="44"/>
      <c r="O457" s="44"/>
    </row>
    <row r="458" spans="1:15" ht="17.25" customHeight="1">
      <c r="A458" s="44"/>
      <c r="B458" s="44"/>
      <c r="C458" s="44"/>
      <c r="D458" s="44"/>
      <c r="E458" s="44"/>
      <c r="F458" s="44"/>
      <c r="G458" s="44"/>
      <c r="H458" s="44"/>
      <c r="I458" s="44"/>
      <c r="J458" s="44"/>
      <c r="K458" s="44"/>
      <c r="L458" s="44"/>
      <c r="M458" s="44"/>
      <c r="N458" s="44"/>
      <c r="O458" s="44"/>
    </row>
    <row r="459" spans="1:15" ht="17.25" customHeight="1">
      <c r="A459" s="44"/>
      <c r="B459" s="44"/>
      <c r="C459" s="44"/>
      <c r="D459" s="44"/>
      <c r="E459" s="44"/>
      <c r="F459" s="44"/>
      <c r="G459" s="44"/>
      <c r="H459" s="44"/>
      <c r="I459" s="44"/>
      <c r="J459" s="44"/>
      <c r="K459" s="44"/>
      <c r="L459" s="44"/>
      <c r="M459" s="44"/>
      <c r="N459" s="44"/>
      <c r="O459" s="44"/>
    </row>
    <row r="460" spans="1:15" ht="17.25" customHeight="1">
      <c r="A460" s="44"/>
      <c r="B460" s="44"/>
      <c r="C460" s="44"/>
      <c r="D460" s="44"/>
      <c r="E460" s="44"/>
      <c r="F460" s="44"/>
      <c r="G460" s="44"/>
      <c r="H460" s="44"/>
      <c r="I460" s="44"/>
      <c r="J460" s="44"/>
      <c r="K460" s="44"/>
      <c r="L460" s="44"/>
      <c r="M460" s="44"/>
      <c r="N460" s="44"/>
      <c r="O460" s="44"/>
    </row>
    <row r="461" spans="1:15" ht="17.25" customHeight="1">
      <c r="A461" s="44"/>
      <c r="B461" s="44"/>
      <c r="C461" s="44"/>
      <c r="D461" s="44"/>
      <c r="E461" s="44"/>
      <c r="F461" s="44"/>
      <c r="G461" s="44"/>
      <c r="H461" s="44"/>
      <c r="I461" s="44"/>
      <c r="J461" s="44"/>
      <c r="K461" s="44"/>
      <c r="L461" s="44"/>
      <c r="M461" s="44"/>
      <c r="N461" s="44"/>
      <c r="O461" s="44"/>
    </row>
    <row r="462" spans="1:15" ht="17.25" customHeight="1">
      <c r="A462" s="44"/>
      <c r="B462" s="44"/>
      <c r="C462" s="44"/>
      <c r="D462" s="44"/>
      <c r="E462" s="44"/>
      <c r="F462" s="44"/>
      <c r="G462" s="44"/>
      <c r="H462" s="44"/>
      <c r="I462" s="44"/>
      <c r="J462" s="44"/>
      <c r="K462" s="44"/>
      <c r="L462" s="44"/>
      <c r="M462" s="44"/>
      <c r="N462" s="44"/>
      <c r="O462" s="44"/>
    </row>
    <row r="463" spans="1:15" ht="17.25" customHeight="1">
      <c r="A463" s="44"/>
      <c r="B463" s="44"/>
      <c r="C463" s="44"/>
      <c r="D463" s="44"/>
      <c r="E463" s="44"/>
      <c r="F463" s="44"/>
      <c r="G463" s="44"/>
      <c r="H463" s="44"/>
      <c r="I463" s="44"/>
      <c r="J463" s="44"/>
      <c r="K463" s="44"/>
      <c r="L463" s="44"/>
      <c r="M463" s="44"/>
      <c r="N463" s="44"/>
      <c r="O463" s="44"/>
    </row>
    <row r="464" spans="1:15" ht="17.25" customHeight="1">
      <c r="A464" s="44"/>
      <c r="B464" s="44"/>
      <c r="C464" s="44"/>
      <c r="D464" s="44"/>
      <c r="E464" s="44"/>
      <c r="F464" s="44"/>
      <c r="G464" s="44"/>
      <c r="H464" s="44"/>
      <c r="I464" s="44"/>
      <c r="J464" s="44"/>
      <c r="K464" s="44"/>
      <c r="L464" s="44"/>
      <c r="M464" s="44"/>
      <c r="N464" s="44"/>
      <c r="O464" s="44"/>
    </row>
    <row r="465" spans="1:15" ht="17.25" customHeight="1">
      <c r="A465" s="44"/>
      <c r="B465" s="44"/>
      <c r="C465" s="44"/>
      <c r="D465" s="44"/>
      <c r="E465" s="44"/>
      <c r="F465" s="44"/>
      <c r="G465" s="44"/>
      <c r="H465" s="44"/>
      <c r="I465" s="44"/>
      <c r="J465" s="44"/>
      <c r="K465" s="44"/>
      <c r="L465" s="44"/>
      <c r="M465" s="44"/>
      <c r="N465" s="44"/>
      <c r="O465" s="44"/>
    </row>
    <row r="466" spans="1:15" ht="17.25" customHeight="1">
      <c r="A466" s="44"/>
      <c r="B466" s="44"/>
      <c r="C466" s="44"/>
      <c r="D466" s="44"/>
      <c r="E466" s="44"/>
      <c r="F466" s="44"/>
      <c r="G466" s="44"/>
      <c r="H466" s="44"/>
      <c r="I466" s="44"/>
      <c r="J466" s="44"/>
      <c r="K466" s="44"/>
      <c r="L466" s="44"/>
      <c r="M466" s="44"/>
      <c r="N466" s="44"/>
      <c r="O466" s="44"/>
    </row>
    <row r="467" spans="1:15" ht="17.25" customHeight="1">
      <c r="A467" s="44"/>
      <c r="B467" s="44"/>
      <c r="C467" s="44"/>
      <c r="D467" s="44"/>
      <c r="E467" s="44"/>
      <c r="F467" s="44"/>
      <c r="G467" s="44"/>
      <c r="H467" s="44"/>
      <c r="I467" s="44"/>
      <c r="J467" s="44"/>
      <c r="K467" s="44"/>
      <c r="L467" s="44"/>
      <c r="M467" s="44"/>
      <c r="N467" s="44"/>
      <c r="O467" s="44"/>
    </row>
    <row r="468" spans="1:15" ht="17.25" customHeight="1">
      <c r="A468" s="44"/>
      <c r="B468" s="44"/>
      <c r="C468" s="44"/>
      <c r="D468" s="44"/>
      <c r="E468" s="44"/>
      <c r="F468" s="44"/>
      <c r="G468" s="44"/>
      <c r="H468" s="44"/>
      <c r="I468" s="44"/>
      <c r="J468" s="44"/>
      <c r="K468" s="44"/>
      <c r="L468" s="44"/>
      <c r="M468" s="44"/>
      <c r="N468" s="44"/>
      <c r="O468" s="44"/>
    </row>
    <row r="469" spans="1:15" ht="17.25" customHeight="1">
      <c r="A469" s="44"/>
      <c r="B469" s="44"/>
      <c r="C469" s="44"/>
      <c r="D469" s="44"/>
      <c r="E469" s="44"/>
      <c r="F469" s="44"/>
      <c r="G469" s="44"/>
      <c r="H469" s="44"/>
      <c r="I469" s="44"/>
      <c r="J469" s="44"/>
      <c r="K469" s="44"/>
      <c r="L469" s="44"/>
      <c r="M469" s="44"/>
      <c r="N469" s="44"/>
      <c r="O469" s="44"/>
    </row>
    <row r="470" spans="1:15" ht="17.25" customHeight="1">
      <c r="A470" s="44"/>
      <c r="B470" s="44"/>
      <c r="C470" s="44"/>
      <c r="D470" s="44"/>
      <c r="E470" s="44"/>
      <c r="F470" s="44"/>
      <c r="G470" s="44"/>
      <c r="H470" s="44"/>
      <c r="I470" s="44"/>
      <c r="J470" s="44"/>
      <c r="K470" s="44"/>
      <c r="L470" s="44"/>
      <c r="M470" s="44"/>
      <c r="N470" s="44"/>
      <c r="O470" s="44"/>
    </row>
    <row r="471" spans="1:15" ht="17.25" customHeight="1">
      <c r="A471" s="44"/>
      <c r="B471" s="44"/>
      <c r="C471" s="44"/>
      <c r="D471" s="44"/>
      <c r="E471" s="44"/>
      <c r="F471" s="44"/>
      <c r="G471" s="44"/>
      <c r="H471" s="44"/>
      <c r="I471" s="44"/>
      <c r="J471" s="44"/>
      <c r="K471" s="44"/>
      <c r="L471" s="44"/>
      <c r="M471" s="44"/>
      <c r="N471" s="44"/>
      <c r="O471" s="44"/>
    </row>
    <row r="472" spans="1:15" ht="17.25" customHeight="1">
      <c r="A472" s="44"/>
      <c r="B472" s="44"/>
      <c r="C472" s="44"/>
      <c r="D472" s="44"/>
      <c r="E472" s="44"/>
      <c r="F472" s="44"/>
      <c r="G472" s="44"/>
      <c r="H472" s="44"/>
      <c r="I472" s="44"/>
      <c r="J472" s="44"/>
      <c r="K472" s="44"/>
      <c r="L472" s="44"/>
      <c r="M472" s="44"/>
      <c r="N472" s="44"/>
      <c r="O472" s="44"/>
    </row>
    <row r="473" spans="1:15" ht="17.25" customHeight="1">
      <c r="A473" s="44"/>
      <c r="B473" s="44"/>
      <c r="C473" s="44"/>
      <c r="D473" s="44"/>
      <c r="E473" s="44"/>
      <c r="F473" s="44"/>
      <c r="G473" s="44"/>
      <c r="H473" s="44"/>
      <c r="I473" s="44"/>
      <c r="J473" s="44"/>
      <c r="K473" s="44"/>
      <c r="L473" s="44"/>
      <c r="M473" s="44"/>
      <c r="N473" s="44"/>
      <c r="O473" s="44"/>
    </row>
    <row r="474" spans="1:15" ht="17.25" customHeight="1">
      <c r="A474" s="44"/>
      <c r="B474" s="44"/>
      <c r="C474" s="44"/>
      <c r="D474" s="44"/>
      <c r="E474" s="44"/>
      <c r="F474" s="44"/>
      <c r="G474" s="44"/>
      <c r="H474" s="44"/>
      <c r="I474" s="44"/>
      <c r="J474" s="44"/>
      <c r="K474" s="44"/>
      <c r="L474" s="44"/>
      <c r="M474" s="44"/>
      <c r="N474" s="44"/>
      <c r="O474" s="44"/>
    </row>
    <row r="475" spans="1:15" ht="17.25" customHeight="1">
      <c r="A475" s="44"/>
      <c r="B475" s="44"/>
      <c r="C475" s="44"/>
      <c r="D475" s="44"/>
      <c r="E475" s="44"/>
      <c r="F475" s="44"/>
      <c r="G475" s="44"/>
      <c r="H475" s="44"/>
      <c r="I475" s="44"/>
      <c r="J475" s="44"/>
      <c r="K475" s="44"/>
      <c r="L475" s="44"/>
      <c r="M475" s="44"/>
      <c r="N475" s="44"/>
      <c r="O475" s="44"/>
    </row>
    <row r="476" spans="1:15" ht="17.25" customHeight="1">
      <c r="A476" s="44"/>
      <c r="B476" s="44"/>
      <c r="C476" s="44"/>
      <c r="D476" s="44"/>
      <c r="E476" s="44"/>
      <c r="F476" s="44"/>
      <c r="G476" s="44"/>
      <c r="H476" s="44"/>
      <c r="I476" s="44"/>
      <c r="J476" s="44"/>
      <c r="K476" s="44"/>
      <c r="L476" s="44"/>
      <c r="M476" s="44"/>
      <c r="N476" s="44"/>
      <c r="O476" s="44"/>
    </row>
    <row r="477" spans="1:15" ht="17.25" customHeight="1">
      <c r="A477" s="44"/>
      <c r="B477" s="44"/>
      <c r="C477" s="44"/>
      <c r="D477" s="44"/>
      <c r="E477" s="44"/>
      <c r="F477" s="44"/>
      <c r="G477" s="44"/>
      <c r="H477" s="44"/>
      <c r="I477" s="44"/>
      <c r="J477" s="44"/>
      <c r="K477" s="44"/>
      <c r="L477" s="44"/>
      <c r="M477" s="44"/>
      <c r="N477" s="44"/>
      <c r="O477" s="44"/>
    </row>
    <row r="478" spans="1:15" ht="17.25" customHeight="1">
      <c r="A478" s="44"/>
      <c r="B478" s="44"/>
      <c r="C478" s="44"/>
      <c r="D478" s="44"/>
      <c r="E478" s="44"/>
      <c r="F478" s="44"/>
      <c r="G478" s="44"/>
      <c r="H478" s="44"/>
      <c r="I478" s="44"/>
      <c r="J478" s="44"/>
      <c r="K478" s="44"/>
      <c r="L478" s="44"/>
      <c r="M478" s="44"/>
      <c r="N478" s="44"/>
      <c r="O478" s="44"/>
    </row>
    <row r="479" spans="1:15" ht="17.25" customHeight="1">
      <c r="A479" s="44"/>
      <c r="B479" s="44"/>
      <c r="C479" s="44"/>
      <c r="D479" s="44"/>
      <c r="E479" s="44"/>
      <c r="F479" s="44"/>
      <c r="G479" s="44"/>
      <c r="H479" s="44"/>
      <c r="I479" s="44"/>
      <c r="J479" s="44"/>
      <c r="K479" s="44"/>
      <c r="L479" s="44"/>
      <c r="M479" s="44"/>
      <c r="N479" s="44"/>
      <c r="O479" s="44"/>
    </row>
    <row r="480" spans="1:15" ht="17.25" customHeight="1">
      <c r="A480" s="44"/>
      <c r="B480" s="44"/>
      <c r="C480" s="44"/>
      <c r="D480" s="44"/>
      <c r="E480" s="44"/>
      <c r="F480" s="44"/>
      <c r="G480" s="44"/>
      <c r="H480" s="44"/>
      <c r="I480" s="44"/>
      <c r="J480" s="44"/>
      <c r="K480" s="44"/>
      <c r="L480" s="44"/>
      <c r="M480" s="44"/>
      <c r="N480" s="44"/>
      <c r="O480" s="44"/>
    </row>
    <row r="481" spans="1:15" ht="17.25" customHeight="1">
      <c r="A481" s="44"/>
      <c r="B481" s="44"/>
      <c r="C481" s="44"/>
      <c r="D481" s="44"/>
      <c r="E481" s="44"/>
      <c r="F481" s="44"/>
      <c r="G481" s="44"/>
      <c r="H481" s="44"/>
      <c r="I481" s="44"/>
      <c r="J481" s="44"/>
      <c r="K481" s="44"/>
      <c r="L481" s="44"/>
      <c r="M481" s="44"/>
      <c r="N481" s="44"/>
      <c r="O481" s="44"/>
    </row>
    <row r="482" spans="1:15" ht="17.25" customHeight="1">
      <c r="A482" s="44"/>
      <c r="B482" s="44"/>
      <c r="C482" s="44"/>
      <c r="D482" s="44"/>
      <c r="E482" s="44"/>
      <c r="F482" s="44"/>
      <c r="G482" s="44"/>
      <c r="H482" s="44"/>
      <c r="I482" s="44"/>
      <c r="J482" s="44"/>
      <c r="K482" s="44"/>
      <c r="L482" s="44"/>
      <c r="M482" s="44"/>
      <c r="N482" s="44"/>
      <c r="O482" s="44"/>
    </row>
    <row r="483" spans="1:15" ht="17.25" customHeight="1">
      <c r="A483" s="44"/>
      <c r="B483" s="44"/>
      <c r="C483" s="44"/>
      <c r="D483" s="44"/>
      <c r="E483" s="44"/>
      <c r="F483" s="44"/>
      <c r="G483" s="44"/>
      <c r="H483" s="44"/>
      <c r="I483" s="44"/>
      <c r="J483" s="44"/>
      <c r="K483" s="44"/>
      <c r="L483" s="44"/>
      <c r="M483" s="44"/>
      <c r="N483" s="44"/>
      <c r="O483" s="44"/>
    </row>
    <row r="484" spans="1:15" ht="17.25" customHeight="1">
      <c r="A484" s="44"/>
      <c r="B484" s="44"/>
      <c r="C484" s="44"/>
      <c r="D484" s="44"/>
      <c r="E484" s="44"/>
      <c r="F484" s="44"/>
      <c r="G484" s="44"/>
      <c r="H484" s="44"/>
      <c r="I484" s="44"/>
      <c r="J484" s="44"/>
      <c r="K484" s="44"/>
      <c r="L484" s="44"/>
      <c r="M484" s="44"/>
      <c r="N484" s="44"/>
      <c r="O484" s="44"/>
    </row>
    <row r="485" spans="1:15" ht="17.25" customHeight="1">
      <c r="A485" s="44"/>
      <c r="B485" s="44"/>
      <c r="C485" s="44"/>
      <c r="D485" s="44"/>
      <c r="E485" s="44"/>
      <c r="F485" s="44"/>
      <c r="G485" s="44"/>
      <c r="H485" s="44"/>
      <c r="I485" s="44"/>
      <c r="J485" s="44"/>
      <c r="K485" s="44"/>
      <c r="L485" s="44"/>
      <c r="M485" s="44"/>
      <c r="N485" s="44"/>
      <c r="O485" s="44"/>
    </row>
    <row r="486" spans="1:15" ht="17.25" customHeight="1">
      <c r="A486" s="44"/>
      <c r="B486" s="44"/>
      <c r="C486" s="44"/>
      <c r="D486" s="44"/>
      <c r="E486" s="44"/>
      <c r="F486" s="44"/>
      <c r="G486" s="44"/>
      <c r="H486" s="44"/>
      <c r="I486" s="44"/>
      <c r="J486" s="44"/>
      <c r="K486" s="44"/>
      <c r="L486" s="44"/>
      <c r="M486" s="44"/>
      <c r="N486" s="44"/>
      <c r="O486" s="44"/>
    </row>
    <row r="487" spans="1:15" ht="17.25" customHeight="1">
      <c r="A487" s="44"/>
      <c r="B487" s="44"/>
      <c r="C487" s="44"/>
      <c r="D487" s="44"/>
      <c r="E487" s="44"/>
      <c r="F487" s="44"/>
      <c r="G487" s="44"/>
      <c r="H487" s="44"/>
      <c r="I487" s="44"/>
      <c r="J487" s="44"/>
      <c r="K487" s="44"/>
      <c r="L487" s="44"/>
      <c r="M487" s="44"/>
      <c r="N487" s="44"/>
      <c r="O487" s="44"/>
    </row>
    <row r="488" spans="1:15" ht="17.25" customHeight="1">
      <c r="A488" s="44"/>
      <c r="B488" s="44"/>
      <c r="C488" s="44"/>
      <c r="D488" s="44"/>
      <c r="E488" s="44"/>
      <c r="F488" s="44"/>
      <c r="G488" s="44"/>
      <c r="H488" s="44"/>
      <c r="I488" s="44"/>
      <c r="J488" s="44"/>
      <c r="K488" s="44"/>
      <c r="L488" s="44"/>
      <c r="M488" s="44"/>
      <c r="N488" s="44"/>
      <c r="O488" s="44"/>
    </row>
    <row r="489" spans="1:15" ht="17.25" customHeight="1">
      <c r="A489" s="44"/>
      <c r="B489" s="44"/>
      <c r="C489" s="44"/>
      <c r="D489" s="44"/>
      <c r="E489" s="44"/>
      <c r="F489" s="44"/>
      <c r="G489" s="44"/>
      <c r="H489" s="44"/>
      <c r="I489" s="44"/>
      <c r="J489" s="44"/>
      <c r="K489" s="44"/>
      <c r="L489" s="44"/>
      <c r="M489" s="44"/>
      <c r="N489" s="44"/>
      <c r="O489" s="44"/>
    </row>
    <row r="490" spans="1:15" ht="17.25" customHeight="1">
      <c r="A490" s="44"/>
      <c r="B490" s="44"/>
      <c r="C490" s="44"/>
      <c r="D490" s="44"/>
      <c r="E490" s="44"/>
      <c r="F490" s="44"/>
      <c r="G490" s="44"/>
      <c r="H490" s="44"/>
      <c r="I490" s="44"/>
      <c r="J490" s="44"/>
      <c r="K490" s="44"/>
      <c r="L490" s="44"/>
      <c r="M490" s="44"/>
      <c r="N490" s="44"/>
      <c r="O490" s="44"/>
    </row>
    <row r="491" spans="1:15" ht="17.25" customHeight="1">
      <c r="A491" s="44"/>
      <c r="B491" s="44"/>
      <c r="C491" s="44"/>
      <c r="D491" s="44"/>
      <c r="E491" s="44"/>
      <c r="F491" s="44"/>
      <c r="G491" s="44"/>
      <c r="H491" s="44"/>
      <c r="I491" s="44"/>
      <c r="J491" s="44"/>
      <c r="K491" s="44"/>
      <c r="L491" s="44"/>
      <c r="M491" s="44"/>
      <c r="N491" s="44"/>
      <c r="O491" s="44"/>
    </row>
    <row r="492" spans="1:15" ht="17.25" customHeight="1">
      <c r="A492" s="44"/>
      <c r="B492" s="44"/>
      <c r="C492" s="44"/>
      <c r="D492" s="44"/>
      <c r="E492" s="44"/>
      <c r="F492" s="44"/>
      <c r="G492" s="44"/>
      <c r="H492" s="44"/>
      <c r="I492" s="44"/>
      <c r="J492" s="44"/>
      <c r="K492" s="44"/>
      <c r="L492" s="44"/>
      <c r="M492" s="44"/>
      <c r="N492" s="44"/>
      <c r="O492" s="44"/>
    </row>
    <row r="493" spans="1:15" ht="17.25" customHeight="1">
      <c r="A493" s="44"/>
      <c r="B493" s="44"/>
      <c r="C493" s="44"/>
      <c r="D493" s="44"/>
      <c r="E493" s="44"/>
      <c r="F493" s="44"/>
      <c r="G493" s="44"/>
      <c r="H493" s="44"/>
      <c r="I493" s="44"/>
      <c r="J493" s="44"/>
      <c r="K493" s="44"/>
      <c r="L493" s="44"/>
      <c r="M493" s="44"/>
      <c r="N493" s="44"/>
      <c r="O493" s="44"/>
    </row>
    <row r="494" spans="1:15" ht="17.25" customHeight="1">
      <c r="A494" s="44"/>
      <c r="B494" s="44"/>
      <c r="C494" s="44"/>
      <c r="D494" s="44"/>
      <c r="E494" s="44"/>
      <c r="F494" s="44"/>
      <c r="G494" s="44"/>
      <c r="H494" s="44"/>
      <c r="I494" s="44"/>
      <c r="J494" s="44"/>
      <c r="K494" s="44"/>
      <c r="L494" s="44"/>
      <c r="M494" s="44"/>
      <c r="N494" s="44"/>
      <c r="O494" s="44"/>
    </row>
    <row r="495" spans="1:15" ht="17.25" customHeight="1">
      <c r="A495" s="44"/>
      <c r="B495" s="44"/>
      <c r="C495" s="44"/>
      <c r="D495" s="44"/>
      <c r="E495" s="44"/>
      <c r="F495" s="44"/>
      <c r="G495" s="44"/>
      <c r="H495" s="44"/>
      <c r="I495" s="44"/>
      <c r="J495" s="44"/>
      <c r="K495" s="44"/>
      <c r="L495" s="44"/>
      <c r="M495" s="44"/>
      <c r="N495" s="44"/>
      <c r="O495" s="44"/>
    </row>
    <row r="496" spans="1:15" ht="17.25" customHeight="1">
      <c r="A496" s="44"/>
      <c r="B496" s="44"/>
      <c r="C496" s="44"/>
      <c r="D496" s="44"/>
      <c r="E496" s="44"/>
      <c r="F496" s="44"/>
      <c r="G496" s="44"/>
      <c r="H496" s="44"/>
      <c r="I496" s="44"/>
      <c r="J496" s="44"/>
      <c r="K496" s="44"/>
      <c r="L496" s="44"/>
      <c r="M496" s="44"/>
      <c r="N496" s="44"/>
      <c r="O496" s="44"/>
    </row>
    <row r="497" spans="1:15" ht="17.25" customHeight="1">
      <c r="A497" s="44"/>
      <c r="B497" s="44"/>
      <c r="C497" s="44"/>
      <c r="D497" s="44"/>
      <c r="E497" s="44"/>
      <c r="F497" s="44"/>
      <c r="G497" s="44"/>
      <c r="H497" s="44"/>
      <c r="I497" s="44"/>
      <c r="J497" s="44"/>
      <c r="K497" s="44"/>
      <c r="L497" s="44"/>
      <c r="M497" s="44"/>
      <c r="N497" s="44"/>
      <c r="O497" s="44"/>
    </row>
    <row r="498" spans="1:15" ht="17.25" customHeight="1">
      <c r="A498" s="44"/>
      <c r="B498" s="44"/>
      <c r="C498" s="44"/>
      <c r="D498" s="44"/>
      <c r="E498" s="44"/>
      <c r="F498" s="44"/>
      <c r="G498" s="44"/>
      <c r="H498" s="44"/>
      <c r="I498" s="44"/>
      <c r="J498" s="44"/>
      <c r="K498" s="44"/>
      <c r="L498" s="44"/>
      <c r="M498" s="44"/>
      <c r="N498" s="44"/>
      <c r="O498" s="44"/>
    </row>
    <row r="499" spans="1:15" ht="17.25" customHeight="1">
      <c r="A499" s="44"/>
      <c r="B499" s="44"/>
      <c r="C499" s="44"/>
      <c r="D499" s="44"/>
      <c r="E499" s="44"/>
      <c r="F499" s="44"/>
      <c r="G499" s="44"/>
      <c r="H499" s="44"/>
      <c r="I499" s="44"/>
      <c r="J499" s="44"/>
      <c r="K499" s="44"/>
      <c r="L499" s="44"/>
      <c r="M499" s="44"/>
      <c r="N499" s="44"/>
      <c r="O499" s="44"/>
    </row>
    <row r="500" spans="1:15" ht="17.25" customHeight="1">
      <c r="A500" s="44"/>
      <c r="B500" s="44"/>
      <c r="C500" s="44"/>
      <c r="D500" s="44"/>
      <c r="E500" s="44"/>
      <c r="F500" s="44"/>
      <c r="G500" s="44"/>
      <c r="H500" s="44"/>
      <c r="I500" s="44"/>
      <c r="J500" s="44"/>
      <c r="K500" s="44"/>
      <c r="L500" s="44"/>
      <c r="M500" s="44"/>
      <c r="N500" s="44"/>
      <c r="O500" s="44"/>
    </row>
    <row r="501" spans="1:15" ht="17.25" customHeight="1">
      <c r="A501" s="44"/>
      <c r="B501" s="44"/>
      <c r="C501" s="44"/>
      <c r="D501" s="44"/>
      <c r="E501" s="44"/>
      <c r="F501" s="44"/>
      <c r="G501" s="44"/>
      <c r="H501" s="44"/>
      <c r="I501" s="44"/>
      <c r="J501" s="44"/>
      <c r="K501" s="44"/>
      <c r="L501" s="44"/>
      <c r="M501" s="44"/>
      <c r="N501" s="44"/>
      <c r="O501" s="44"/>
    </row>
    <row r="502" spans="1:15" ht="17.25" customHeight="1">
      <c r="A502" s="44"/>
      <c r="B502" s="44"/>
      <c r="C502" s="44"/>
      <c r="D502" s="44"/>
      <c r="E502" s="44"/>
      <c r="F502" s="44"/>
      <c r="G502" s="44"/>
      <c r="H502" s="44"/>
      <c r="I502" s="44"/>
      <c r="J502" s="44"/>
      <c r="K502" s="44"/>
      <c r="L502" s="44"/>
      <c r="M502" s="44"/>
      <c r="N502" s="44"/>
      <c r="O502" s="44"/>
    </row>
    <row r="503" spans="1:15" ht="17.25" customHeight="1">
      <c r="A503" s="44"/>
      <c r="B503" s="44"/>
      <c r="C503" s="44"/>
      <c r="D503" s="44"/>
      <c r="E503" s="44"/>
      <c r="F503" s="44"/>
      <c r="G503" s="44"/>
      <c r="H503" s="44"/>
      <c r="I503" s="44"/>
      <c r="J503" s="44"/>
      <c r="K503" s="44"/>
      <c r="L503" s="44"/>
      <c r="M503" s="44"/>
      <c r="N503" s="44"/>
      <c r="O503" s="44"/>
    </row>
    <row r="504" spans="1:15" ht="17.25" customHeight="1">
      <c r="A504" s="44"/>
      <c r="B504" s="44"/>
      <c r="C504" s="44"/>
      <c r="D504" s="44"/>
      <c r="E504" s="44"/>
      <c r="F504" s="44"/>
      <c r="G504" s="44"/>
      <c r="H504" s="44"/>
      <c r="I504" s="44"/>
      <c r="J504" s="44"/>
      <c r="K504" s="44"/>
      <c r="L504" s="44"/>
      <c r="M504" s="44"/>
      <c r="N504" s="44"/>
      <c r="O504" s="44"/>
    </row>
    <row r="505" spans="1:15" ht="17.25" customHeight="1">
      <c r="A505" s="44"/>
      <c r="B505" s="44"/>
      <c r="C505" s="44"/>
      <c r="D505" s="44"/>
      <c r="E505" s="44"/>
      <c r="F505" s="44"/>
      <c r="G505" s="44"/>
      <c r="H505" s="44"/>
      <c r="I505" s="44"/>
      <c r="J505" s="44"/>
      <c r="K505" s="44"/>
      <c r="L505" s="44"/>
      <c r="M505" s="44"/>
      <c r="N505" s="44"/>
      <c r="O505" s="44"/>
    </row>
    <row r="506" spans="1:15" ht="17.25" customHeight="1">
      <c r="A506" s="44"/>
      <c r="B506" s="44"/>
      <c r="C506" s="44"/>
      <c r="D506" s="44"/>
      <c r="E506" s="44"/>
      <c r="F506" s="44"/>
      <c r="G506" s="44"/>
      <c r="H506" s="44"/>
      <c r="I506" s="44"/>
      <c r="J506" s="44"/>
      <c r="K506" s="44"/>
      <c r="L506" s="44"/>
      <c r="M506" s="44"/>
      <c r="N506" s="44"/>
      <c r="O506" s="44"/>
    </row>
    <row r="507" spans="1:15" ht="17.25" customHeight="1">
      <c r="A507" s="44"/>
      <c r="B507" s="44"/>
      <c r="C507" s="44"/>
      <c r="D507" s="44"/>
      <c r="E507" s="44"/>
      <c r="F507" s="44"/>
      <c r="G507" s="44"/>
      <c r="H507" s="44"/>
      <c r="I507" s="44"/>
      <c r="J507" s="44"/>
      <c r="K507" s="44"/>
      <c r="L507" s="44"/>
      <c r="M507" s="44"/>
      <c r="N507" s="44"/>
      <c r="O507" s="44"/>
    </row>
    <row r="508" spans="1:15" ht="17.25" customHeight="1">
      <c r="A508" s="44"/>
      <c r="B508" s="44"/>
      <c r="C508" s="44"/>
      <c r="D508" s="44"/>
      <c r="E508" s="44"/>
      <c r="F508" s="44"/>
      <c r="G508" s="44"/>
      <c r="H508" s="44"/>
      <c r="I508" s="44"/>
      <c r="J508" s="44"/>
      <c r="K508" s="44"/>
      <c r="L508" s="44"/>
      <c r="M508" s="44"/>
      <c r="N508" s="44"/>
      <c r="O508" s="44"/>
    </row>
    <row r="509" spans="1:15" ht="17.25" customHeight="1">
      <c r="A509" s="44"/>
      <c r="B509" s="44"/>
      <c r="C509" s="44"/>
      <c r="D509" s="44"/>
      <c r="E509" s="44"/>
      <c r="F509" s="44"/>
      <c r="G509" s="44"/>
      <c r="H509" s="44"/>
      <c r="I509" s="44"/>
      <c r="J509" s="44"/>
      <c r="K509" s="44"/>
      <c r="L509" s="44"/>
      <c r="M509" s="44"/>
      <c r="N509" s="44"/>
      <c r="O509" s="44"/>
    </row>
    <row r="510" spans="1:15" ht="17.25" customHeight="1">
      <c r="A510" s="44"/>
      <c r="B510" s="44"/>
      <c r="C510" s="44"/>
      <c r="D510" s="44"/>
      <c r="E510" s="44"/>
      <c r="F510" s="44"/>
      <c r="G510" s="44"/>
      <c r="H510" s="44"/>
      <c r="I510" s="44"/>
      <c r="J510" s="44"/>
      <c r="K510" s="44"/>
      <c r="L510" s="44"/>
      <c r="M510" s="44"/>
      <c r="N510" s="44"/>
      <c r="O510" s="44"/>
    </row>
    <row r="511" spans="1:15" ht="17.25" customHeight="1">
      <c r="A511" s="44"/>
      <c r="B511" s="44"/>
      <c r="C511" s="44"/>
      <c r="D511" s="44"/>
      <c r="E511" s="44"/>
      <c r="F511" s="44"/>
      <c r="G511" s="44"/>
      <c r="H511" s="44"/>
      <c r="I511" s="44"/>
      <c r="J511" s="44"/>
      <c r="K511" s="44"/>
      <c r="L511" s="44"/>
      <c r="M511" s="44"/>
      <c r="N511" s="44"/>
      <c r="O511" s="44"/>
    </row>
    <row r="512" spans="1:15" ht="17.25" customHeight="1">
      <c r="A512" s="44"/>
      <c r="B512" s="44"/>
      <c r="C512" s="44"/>
      <c r="D512" s="44"/>
      <c r="E512" s="44"/>
      <c r="F512" s="44"/>
      <c r="G512" s="44"/>
      <c r="H512" s="44"/>
      <c r="I512" s="44"/>
      <c r="J512" s="44"/>
      <c r="K512" s="44"/>
      <c r="L512" s="44"/>
      <c r="M512" s="44"/>
      <c r="N512" s="44"/>
      <c r="O512" s="44"/>
    </row>
    <row r="513" spans="1:15" ht="17.25" customHeight="1">
      <c r="A513" s="44"/>
      <c r="B513" s="44"/>
      <c r="C513" s="44"/>
      <c r="D513" s="44"/>
      <c r="E513" s="44"/>
      <c r="F513" s="44"/>
      <c r="G513" s="44"/>
      <c r="H513" s="44"/>
      <c r="I513" s="44"/>
      <c r="J513" s="44"/>
      <c r="K513" s="44"/>
      <c r="L513" s="44"/>
      <c r="M513" s="44"/>
      <c r="N513" s="44"/>
      <c r="O513" s="44"/>
    </row>
    <row r="514" spans="1:15" ht="17.25" customHeight="1">
      <c r="A514" s="44"/>
      <c r="B514" s="44"/>
      <c r="C514" s="44"/>
      <c r="D514" s="44"/>
      <c r="E514" s="44"/>
      <c r="F514" s="44"/>
      <c r="G514" s="44"/>
      <c r="H514" s="44"/>
      <c r="I514" s="44"/>
      <c r="J514" s="44"/>
      <c r="K514" s="44"/>
      <c r="L514" s="44"/>
      <c r="M514" s="44"/>
      <c r="N514" s="44"/>
      <c r="O514" s="44"/>
    </row>
    <row r="515" spans="1:15" ht="17.25" customHeight="1">
      <c r="A515" s="44"/>
      <c r="B515" s="44"/>
      <c r="C515" s="44"/>
      <c r="D515" s="44"/>
      <c r="E515" s="44"/>
      <c r="F515" s="44"/>
      <c r="G515" s="44"/>
      <c r="H515" s="44"/>
      <c r="I515" s="44"/>
      <c r="J515" s="44"/>
      <c r="K515" s="44"/>
      <c r="L515" s="44"/>
      <c r="M515" s="44"/>
      <c r="N515" s="44"/>
      <c r="O515" s="44"/>
    </row>
    <row r="516" spans="1:15" ht="17.25" customHeight="1">
      <c r="A516" s="44"/>
      <c r="B516" s="44"/>
      <c r="C516" s="44"/>
      <c r="D516" s="44"/>
      <c r="E516" s="44"/>
      <c r="F516" s="44"/>
      <c r="G516" s="44"/>
      <c r="H516" s="44"/>
      <c r="I516" s="44"/>
      <c r="J516" s="44"/>
      <c r="K516" s="44"/>
      <c r="L516" s="44"/>
      <c r="M516" s="44"/>
      <c r="N516" s="44"/>
      <c r="O516" s="44"/>
    </row>
    <row r="517" spans="1:15" ht="17.25" customHeight="1">
      <c r="A517" s="44"/>
      <c r="B517" s="44"/>
      <c r="C517" s="44"/>
      <c r="D517" s="44"/>
      <c r="E517" s="44"/>
      <c r="F517" s="44"/>
      <c r="G517" s="44"/>
      <c r="H517" s="44"/>
      <c r="I517" s="44"/>
      <c r="J517" s="44"/>
      <c r="K517" s="44"/>
      <c r="L517" s="44"/>
      <c r="M517" s="44"/>
      <c r="N517" s="44"/>
      <c r="O517" s="44"/>
    </row>
    <row r="518" spans="1:15" ht="17.25" customHeight="1">
      <c r="A518" s="44"/>
      <c r="B518" s="44"/>
      <c r="C518" s="44"/>
      <c r="D518" s="44"/>
      <c r="E518" s="44"/>
      <c r="F518" s="44"/>
      <c r="G518" s="44"/>
      <c r="H518" s="44"/>
      <c r="I518" s="44"/>
      <c r="J518" s="44"/>
      <c r="K518" s="44"/>
      <c r="L518" s="44"/>
      <c r="M518" s="44"/>
      <c r="N518" s="44"/>
      <c r="O518" s="44"/>
    </row>
    <row r="519" spans="1:15" ht="17.25" customHeight="1">
      <c r="A519" s="44"/>
      <c r="B519" s="44"/>
      <c r="C519" s="44"/>
      <c r="D519" s="44"/>
      <c r="E519" s="44"/>
      <c r="F519" s="44"/>
      <c r="G519" s="44"/>
      <c r="H519" s="44"/>
      <c r="I519" s="44"/>
      <c r="J519" s="44"/>
      <c r="K519" s="44"/>
      <c r="L519" s="44"/>
      <c r="M519" s="44"/>
      <c r="N519" s="44"/>
      <c r="O519" s="44"/>
    </row>
    <row r="520" spans="1:15" ht="17.25" customHeight="1">
      <c r="A520" s="44"/>
      <c r="B520" s="44"/>
      <c r="C520" s="44"/>
      <c r="D520" s="44"/>
      <c r="E520" s="44"/>
      <c r="F520" s="44"/>
      <c r="G520" s="44"/>
      <c r="H520" s="44"/>
      <c r="I520" s="44"/>
      <c r="J520" s="44"/>
      <c r="K520" s="44"/>
      <c r="L520" s="44"/>
      <c r="M520" s="44"/>
      <c r="N520" s="44"/>
      <c r="O520" s="44"/>
    </row>
    <row r="521" spans="1:15" ht="17.25" customHeight="1">
      <c r="A521" s="44"/>
      <c r="B521" s="44"/>
      <c r="C521" s="44"/>
      <c r="D521" s="44"/>
      <c r="E521" s="44"/>
      <c r="F521" s="44"/>
      <c r="G521" s="44"/>
      <c r="H521" s="44"/>
      <c r="I521" s="44"/>
      <c r="J521" s="44"/>
      <c r="K521" s="44"/>
      <c r="L521" s="44"/>
      <c r="M521" s="44"/>
      <c r="N521" s="44"/>
      <c r="O521" s="44"/>
    </row>
    <row r="522" spans="1:15" ht="17.25" customHeight="1">
      <c r="A522" s="44"/>
      <c r="B522" s="44"/>
      <c r="C522" s="44"/>
      <c r="D522" s="44"/>
      <c r="E522" s="44"/>
      <c r="F522" s="44"/>
      <c r="G522" s="44"/>
      <c r="H522" s="44"/>
      <c r="I522" s="44"/>
      <c r="J522" s="44"/>
      <c r="K522" s="44"/>
      <c r="L522" s="44"/>
      <c r="M522" s="44"/>
      <c r="N522" s="44"/>
      <c r="O522" s="44"/>
    </row>
    <row r="523" spans="1:15" ht="17.25" customHeight="1">
      <c r="A523" s="44"/>
      <c r="B523" s="44"/>
      <c r="C523" s="44"/>
      <c r="D523" s="44"/>
      <c r="E523" s="44"/>
      <c r="F523" s="44"/>
      <c r="G523" s="44"/>
      <c r="H523" s="44"/>
      <c r="I523" s="44"/>
      <c r="J523" s="44"/>
      <c r="K523" s="44"/>
      <c r="L523" s="44"/>
      <c r="M523" s="44"/>
      <c r="N523" s="44"/>
      <c r="O523" s="44"/>
    </row>
    <row r="524" spans="1:15" ht="17.25" customHeight="1">
      <c r="A524" s="44"/>
      <c r="B524" s="44"/>
      <c r="C524" s="44"/>
      <c r="D524" s="44"/>
      <c r="E524" s="44"/>
      <c r="F524" s="44"/>
      <c r="G524" s="44"/>
      <c r="H524" s="44"/>
      <c r="I524" s="44"/>
      <c r="J524" s="44"/>
      <c r="K524" s="44"/>
      <c r="L524" s="44"/>
      <c r="M524" s="44"/>
      <c r="N524" s="44"/>
      <c r="O524" s="44"/>
    </row>
    <row r="525" spans="1:15" ht="17.25" customHeight="1">
      <c r="A525" s="44"/>
      <c r="B525" s="44"/>
      <c r="C525" s="44"/>
      <c r="D525" s="44"/>
      <c r="E525" s="44"/>
      <c r="F525" s="44"/>
      <c r="G525" s="44"/>
      <c r="H525" s="44"/>
      <c r="I525" s="44"/>
      <c r="J525" s="44"/>
      <c r="K525" s="44"/>
      <c r="L525" s="44"/>
      <c r="M525" s="44"/>
      <c r="N525" s="44"/>
      <c r="O525" s="44"/>
    </row>
    <row r="526" spans="1:15" ht="17.25" customHeight="1">
      <c r="A526" s="44"/>
      <c r="B526" s="44"/>
      <c r="C526" s="44"/>
      <c r="D526" s="44"/>
      <c r="E526" s="44"/>
      <c r="F526" s="44"/>
      <c r="G526" s="44"/>
      <c r="H526" s="44"/>
      <c r="I526" s="44"/>
      <c r="J526" s="44"/>
      <c r="K526" s="44"/>
      <c r="L526" s="44"/>
      <c r="M526" s="44"/>
      <c r="N526" s="44"/>
      <c r="O526" s="44"/>
    </row>
    <row r="527" spans="1:15" ht="17.25" customHeight="1">
      <c r="A527" s="44"/>
      <c r="B527" s="44"/>
      <c r="C527" s="44"/>
      <c r="D527" s="44"/>
      <c r="E527" s="44"/>
      <c r="F527" s="44"/>
      <c r="G527" s="44"/>
      <c r="H527" s="44"/>
      <c r="I527" s="44"/>
      <c r="J527" s="44"/>
      <c r="K527" s="44"/>
      <c r="L527" s="44"/>
      <c r="M527" s="44"/>
      <c r="N527" s="44"/>
      <c r="O527" s="44"/>
    </row>
    <row r="528" spans="1:15" ht="17.25" customHeight="1">
      <c r="A528" s="44"/>
      <c r="B528" s="44"/>
      <c r="C528" s="44"/>
      <c r="D528" s="44"/>
      <c r="E528" s="44"/>
      <c r="F528" s="44"/>
      <c r="G528" s="44"/>
      <c r="H528" s="44"/>
      <c r="I528" s="44"/>
      <c r="J528" s="44"/>
      <c r="K528" s="44"/>
      <c r="L528" s="44"/>
      <c r="M528" s="44"/>
      <c r="N528" s="44"/>
      <c r="O528" s="44"/>
    </row>
    <row r="529" spans="1:15" ht="17.25" customHeight="1">
      <c r="A529" s="44"/>
      <c r="B529" s="44"/>
      <c r="C529" s="44"/>
      <c r="D529" s="44"/>
      <c r="E529" s="44"/>
      <c r="F529" s="44"/>
      <c r="G529" s="44"/>
      <c r="H529" s="44"/>
      <c r="I529" s="44"/>
      <c r="J529" s="44"/>
      <c r="K529" s="44"/>
      <c r="L529" s="44"/>
      <c r="M529" s="44"/>
      <c r="N529" s="44"/>
      <c r="O529" s="44"/>
    </row>
    <row r="530" spans="1:15" ht="17.25" customHeight="1">
      <c r="A530" s="44"/>
      <c r="B530" s="44"/>
      <c r="C530" s="44"/>
      <c r="D530" s="44"/>
      <c r="E530" s="44"/>
      <c r="F530" s="44"/>
      <c r="G530" s="44"/>
      <c r="H530" s="44"/>
      <c r="I530" s="44"/>
      <c r="J530" s="44"/>
      <c r="K530" s="44"/>
      <c r="L530" s="44"/>
      <c r="M530" s="44"/>
      <c r="N530" s="44"/>
      <c r="O530" s="44"/>
    </row>
    <row r="531" spans="1:15" ht="17.25" customHeight="1">
      <c r="A531" s="44"/>
      <c r="B531" s="44"/>
      <c r="C531" s="44"/>
      <c r="D531" s="44"/>
      <c r="E531" s="44"/>
      <c r="F531" s="44"/>
      <c r="G531" s="44"/>
      <c r="H531" s="44"/>
      <c r="I531" s="44"/>
      <c r="J531" s="44"/>
      <c r="K531" s="44"/>
      <c r="L531" s="44"/>
      <c r="M531" s="44"/>
      <c r="N531" s="44"/>
      <c r="O531" s="44"/>
    </row>
    <row r="532" spans="1:15" ht="17.25" customHeight="1">
      <c r="A532" s="44"/>
      <c r="B532" s="44"/>
      <c r="C532" s="44"/>
      <c r="D532" s="44"/>
      <c r="E532" s="44"/>
      <c r="F532" s="44"/>
      <c r="G532" s="44"/>
      <c r="H532" s="44"/>
      <c r="I532" s="44"/>
      <c r="J532" s="44"/>
      <c r="K532" s="44"/>
      <c r="L532" s="44"/>
      <c r="M532" s="44"/>
      <c r="N532" s="44"/>
      <c r="O532" s="44"/>
    </row>
    <row r="533" spans="1:15" ht="17.25" customHeight="1">
      <c r="A533" s="44"/>
      <c r="B533" s="44"/>
      <c r="C533" s="44"/>
      <c r="D533" s="44"/>
      <c r="E533" s="44"/>
      <c r="F533" s="44"/>
      <c r="G533" s="44"/>
      <c r="H533" s="44"/>
      <c r="I533" s="44"/>
      <c r="J533" s="44"/>
      <c r="K533" s="44"/>
      <c r="L533" s="44"/>
      <c r="M533" s="44"/>
      <c r="N533" s="44"/>
      <c r="O533" s="44"/>
    </row>
    <row r="534" spans="1:15" ht="17.25" customHeight="1">
      <c r="A534" s="44"/>
      <c r="B534" s="44"/>
      <c r="C534" s="44"/>
      <c r="D534" s="44"/>
      <c r="E534" s="44"/>
      <c r="F534" s="44"/>
      <c r="G534" s="44"/>
      <c r="H534" s="44"/>
      <c r="I534" s="44"/>
      <c r="J534" s="44"/>
      <c r="K534" s="44"/>
      <c r="L534" s="44"/>
      <c r="M534" s="44"/>
      <c r="N534" s="44"/>
      <c r="O534" s="44"/>
    </row>
    <row r="535" spans="1:15" ht="17.25" customHeight="1">
      <c r="A535" s="44"/>
      <c r="B535" s="44"/>
      <c r="C535" s="44"/>
      <c r="D535" s="44"/>
      <c r="E535" s="44"/>
      <c r="F535" s="44"/>
      <c r="G535" s="44"/>
      <c r="H535" s="44"/>
      <c r="I535" s="44"/>
      <c r="J535" s="44"/>
      <c r="K535" s="44"/>
      <c r="L535" s="44"/>
      <c r="M535" s="44"/>
      <c r="N535" s="44"/>
      <c r="O535" s="44"/>
    </row>
    <row r="536" spans="1:15" ht="17.25" customHeight="1">
      <c r="A536" s="44"/>
      <c r="B536" s="44"/>
      <c r="C536" s="44"/>
      <c r="D536" s="44"/>
      <c r="E536" s="44"/>
      <c r="F536" s="44"/>
      <c r="G536" s="44"/>
      <c r="H536" s="44"/>
      <c r="I536" s="44"/>
      <c r="J536" s="44"/>
      <c r="K536" s="44"/>
      <c r="L536" s="44"/>
      <c r="M536" s="44"/>
      <c r="N536" s="44"/>
      <c r="O536" s="44"/>
    </row>
    <row r="537" spans="1:15" ht="17.25" customHeight="1">
      <c r="A537" s="44"/>
      <c r="B537" s="44"/>
      <c r="C537" s="44"/>
      <c r="D537" s="44"/>
      <c r="E537" s="44"/>
      <c r="F537" s="44"/>
      <c r="G537" s="44"/>
      <c r="H537" s="44"/>
      <c r="I537" s="44"/>
      <c r="J537" s="44"/>
      <c r="K537" s="44"/>
      <c r="L537" s="44"/>
      <c r="M537" s="44"/>
      <c r="N537" s="44"/>
      <c r="O537" s="44"/>
    </row>
    <row r="538" spans="1:15" ht="17.25" customHeight="1">
      <c r="A538" s="44"/>
      <c r="B538" s="44"/>
      <c r="C538" s="44"/>
      <c r="D538" s="44"/>
      <c r="E538" s="44"/>
      <c r="F538" s="44"/>
      <c r="G538" s="44"/>
      <c r="H538" s="44"/>
      <c r="I538" s="44"/>
      <c r="J538" s="44"/>
      <c r="K538" s="44"/>
      <c r="L538" s="44"/>
      <c r="M538" s="44"/>
      <c r="N538" s="44"/>
      <c r="O538" s="44"/>
    </row>
    <row r="539" spans="1:15" ht="17.25" customHeight="1">
      <c r="A539" s="44"/>
      <c r="B539" s="44"/>
      <c r="C539" s="44"/>
      <c r="D539" s="44"/>
      <c r="E539" s="44"/>
      <c r="F539" s="44"/>
      <c r="G539" s="44"/>
      <c r="H539" s="44"/>
      <c r="I539" s="44"/>
      <c r="J539" s="44"/>
      <c r="K539" s="44"/>
      <c r="L539" s="44"/>
      <c r="M539" s="44"/>
      <c r="N539" s="44"/>
      <c r="O539" s="44"/>
    </row>
    <row r="540" spans="1:15" ht="17.25" customHeight="1">
      <c r="A540" s="44"/>
      <c r="B540" s="44"/>
      <c r="C540" s="44"/>
      <c r="D540" s="44"/>
      <c r="E540" s="44"/>
      <c r="F540" s="44"/>
      <c r="G540" s="44"/>
      <c r="H540" s="44"/>
      <c r="I540" s="44"/>
      <c r="J540" s="44"/>
      <c r="K540" s="44"/>
      <c r="L540" s="44"/>
      <c r="M540" s="44"/>
      <c r="N540" s="44"/>
      <c r="O540" s="44"/>
    </row>
    <row r="541" spans="1:15" ht="17.25" customHeight="1">
      <c r="A541" s="44"/>
      <c r="B541" s="44"/>
      <c r="C541" s="44"/>
      <c r="D541" s="44"/>
      <c r="E541" s="44"/>
      <c r="F541" s="44"/>
      <c r="G541" s="44"/>
      <c r="H541" s="44"/>
      <c r="I541" s="44"/>
      <c r="J541" s="44"/>
      <c r="K541" s="44"/>
      <c r="L541" s="44"/>
      <c r="M541" s="44"/>
      <c r="N541" s="44"/>
      <c r="O541" s="44"/>
    </row>
    <row r="542" spans="1:15" ht="17.25" customHeight="1">
      <c r="A542" s="44"/>
      <c r="B542" s="44"/>
      <c r="C542" s="44"/>
      <c r="D542" s="44"/>
      <c r="E542" s="44"/>
      <c r="F542" s="44"/>
      <c r="G542" s="44"/>
      <c r="H542" s="44"/>
      <c r="I542" s="44"/>
      <c r="J542" s="44"/>
      <c r="K542" s="44"/>
      <c r="L542" s="44"/>
      <c r="M542" s="44"/>
      <c r="N542" s="44"/>
      <c r="O542" s="44"/>
    </row>
    <row r="543" spans="1:15" ht="17.25" customHeight="1">
      <c r="A543" s="44"/>
      <c r="B543" s="44"/>
      <c r="C543" s="44"/>
      <c r="D543" s="44"/>
      <c r="E543" s="44"/>
      <c r="F543" s="44"/>
      <c r="G543" s="44"/>
      <c r="H543" s="44"/>
      <c r="I543" s="44"/>
      <c r="J543" s="44"/>
      <c r="K543" s="44"/>
      <c r="L543" s="44"/>
      <c r="M543" s="44"/>
      <c r="N543" s="44"/>
      <c r="O543" s="44"/>
    </row>
    <row r="544" spans="1:15" ht="17.25" customHeight="1">
      <c r="A544" s="44"/>
      <c r="B544" s="44"/>
      <c r="C544" s="44"/>
      <c r="D544" s="44"/>
      <c r="E544" s="44"/>
      <c r="F544" s="44"/>
      <c r="G544" s="44"/>
      <c r="H544" s="44"/>
      <c r="I544" s="44"/>
      <c r="J544" s="44"/>
      <c r="K544" s="44"/>
      <c r="L544" s="44"/>
      <c r="M544" s="44"/>
      <c r="N544" s="44"/>
      <c r="O544" s="44"/>
    </row>
    <row r="545" spans="1:15" ht="17.25" customHeight="1">
      <c r="A545" s="44"/>
      <c r="B545" s="44"/>
      <c r="C545" s="44"/>
      <c r="D545" s="44"/>
      <c r="E545" s="44"/>
      <c r="F545" s="44"/>
      <c r="G545" s="44"/>
      <c r="H545" s="44"/>
      <c r="I545" s="44"/>
      <c r="J545" s="44"/>
      <c r="K545" s="44"/>
      <c r="L545" s="44"/>
      <c r="M545" s="44"/>
      <c r="N545" s="44"/>
      <c r="O545" s="44"/>
    </row>
    <row r="546" spans="1:15" ht="17.25" customHeight="1">
      <c r="A546" s="44"/>
      <c r="B546" s="44"/>
      <c r="C546" s="44"/>
      <c r="D546" s="44"/>
      <c r="E546" s="44"/>
      <c r="F546" s="44"/>
      <c r="G546" s="44"/>
      <c r="H546" s="44"/>
      <c r="I546" s="44"/>
      <c r="J546" s="44"/>
      <c r="K546" s="44"/>
      <c r="L546" s="44"/>
      <c r="M546" s="44"/>
      <c r="N546" s="44"/>
      <c r="O546" s="44"/>
    </row>
    <row r="547" spans="1:15" ht="17.25" customHeight="1">
      <c r="A547" s="44"/>
      <c r="B547" s="44"/>
      <c r="C547" s="44"/>
      <c r="D547" s="44"/>
      <c r="E547" s="44"/>
      <c r="F547" s="44"/>
      <c r="G547" s="44"/>
      <c r="H547" s="44"/>
      <c r="I547" s="44"/>
      <c r="J547" s="44"/>
      <c r="K547" s="44"/>
      <c r="L547" s="44"/>
      <c r="M547" s="44"/>
      <c r="N547" s="44"/>
      <c r="O547" s="44"/>
    </row>
    <row r="548" spans="1:15" ht="17.25" customHeight="1">
      <c r="A548" s="44"/>
      <c r="B548" s="44"/>
      <c r="C548" s="44"/>
      <c r="D548" s="44"/>
      <c r="E548" s="44"/>
      <c r="F548" s="44"/>
      <c r="G548" s="44"/>
      <c r="H548" s="44"/>
      <c r="I548" s="44"/>
      <c r="J548" s="44"/>
      <c r="K548" s="44"/>
      <c r="L548" s="44"/>
      <c r="M548" s="44"/>
      <c r="N548" s="44"/>
      <c r="O548" s="44"/>
    </row>
    <row r="549" spans="1:15" ht="17.25" customHeight="1">
      <c r="A549" s="44"/>
      <c r="B549" s="44"/>
      <c r="C549" s="44"/>
      <c r="D549" s="44"/>
      <c r="E549" s="44"/>
      <c r="F549" s="44"/>
      <c r="G549" s="44"/>
      <c r="H549" s="44"/>
      <c r="I549" s="44"/>
      <c r="J549" s="44"/>
      <c r="K549" s="44"/>
      <c r="L549" s="44"/>
      <c r="M549" s="44"/>
      <c r="N549" s="44"/>
      <c r="O549" s="44"/>
    </row>
    <row r="550" spans="1:15" ht="17.25" customHeight="1">
      <c r="A550" s="44"/>
      <c r="B550" s="44"/>
      <c r="C550" s="44"/>
      <c r="D550" s="44"/>
      <c r="E550" s="44"/>
      <c r="F550" s="44"/>
      <c r="G550" s="44"/>
      <c r="H550" s="44"/>
      <c r="I550" s="44"/>
      <c r="J550" s="44"/>
      <c r="K550" s="44"/>
      <c r="L550" s="44"/>
      <c r="M550" s="44"/>
      <c r="N550" s="44"/>
      <c r="O550" s="44"/>
    </row>
    <row r="551" spans="1:15" ht="17.25" customHeight="1">
      <c r="A551" s="44"/>
      <c r="B551" s="44"/>
      <c r="C551" s="44"/>
      <c r="D551" s="44"/>
      <c r="E551" s="44"/>
      <c r="F551" s="44"/>
      <c r="G551" s="44"/>
      <c r="H551" s="44"/>
      <c r="I551" s="44"/>
      <c r="J551" s="44"/>
      <c r="K551" s="44"/>
      <c r="L551" s="44"/>
      <c r="M551" s="44"/>
      <c r="N551" s="44"/>
      <c r="O551" s="44"/>
    </row>
    <row r="552" spans="1:15" ht="17.25" customHeight="1">
      <c r="A552" s="44"/>
      <c r="B552" s="44"/>
      <c r="C552" s="44"/>
      <c r="D552" s="44"/>
      <c r="E552" s="44"/>
      <c r="F552" s="44"/>
      <c r="G552" s="44"/>
      <c r="H552" s="44"/>
      <c r="I552" s="44"/>
      <c r="J552" s="44"/>
      <c r="K552" s="44"/>
      <c r="L552" s="44"/>
      <c r="M552" s="44"/>
      <c r="N552" s="44"/>
      <c r="O552" s="44"/>
    </row>
    <row r="553" spans="1:15" ht="17.25" customHeight="1">
      <c r="A553" s="44"/>
      <c r="B553" s="44"/>
      <c r="C553" s="44"/>
      <c r="D553" s="44"/>
      <c r="E553" s="44"/>
      <c r="F553" s="44"/>
      <c r="G553" s="44"/>
      <c r="H553" s="44"/>
      <c r="I553" s="44"/>
      <c r="J553" s="44"/>
      <c r="K553" s="44"/>
      <c r="L553" s="44"/>
      <c r="M553" s="44"/>
      <c r="N553" s="44"/>
      <c r="O553" s="44"/>
    </row>
    <row r="554" spans="1:15" ht="17.25" customHeight="1">
      <c r="A554" s="44"/>
      <c r="B554" s="44"/>
      <c r="C554" s="44"/>
      <c r="D554" s="44"/>
      <c r="E554" s="44"/>
      <c r="F554" s="44"/>
      <c r="G554" s="44"/>
      <c r="H554" s="44"/>
      <c r="I554" s="44"/>
      <c r="J554" s="44"/>
      <c r="K554" s="44"/>
      <c r="L554" s="44"/>
      <c r="M554" s="44"/>
      <c r="N554" s="44"/>
      <c r="O554" s="44"/>
    </row>
    <row r="555" spans="1:15" ht="17.25" customHeight="1">
      <c r="A555" s="44"/>
      <c r="B555" s="44"/>
      <c r="C555" s="44"/>
      <c r="D555" s="44"/>
      <c r="E555" s="44"/>
      <c r="F555" s="44"/>
      <c r="G555" s="44"/>
      <c r="H555" s="44"/>
      <c r="I555" s="44"/>
      <c r="J555" s="44"/>
      <c r="K555" s="44"/>
      <c r="L555" s="44"/>
      <c r="M555" s="44"/>
      <c r="N555" s="44"/>
      <c r="O555" s="44"/>
    </row>
    <row r="556" spans="1:15" ht="17.25" customHeight="1">
      <c r="A556" s="44"/>
      <c r="B556" s="44"/>
      <c r="C556" s="44"/>
      <c r="D556" s="44"/>
      <c r="E556" s="44"/>
      <c r="F556" s="44"/>
      <c r="G556" s="44"/>
      <c r="H556" s="44"/>
      <c r="I556" s="44"/>
      <c r="J556" s="44"/>
      <c r="K556" s="44"/>
      <c r="L556" s="44"/>
      <c r="M556" s="44"/>
      <c r="N556" s="44"/>
      <c r="O556" s="44"/>
    </row>
    <row r="557" spans="1:15" ht="17.25" customHeight="1">
      <c r="A557" s="44"/>
      <c r="B557" s="44"/>
      <c r="C557" s="44"/>
      <c r="D557" s="44"/>
      <c r="E557" s="44"/>
      <c r="F557" s="44"/>
      <c r="G557" s="44"/>
      <c r="H557" s="44"/>
      <c r="I557" s="44"/>
      <c r="J557" s="44"/>
      <c r="K557" s="44"/>
      <c r="L557" s="44"/>
      <c r="M557" s="44"/>
      <c r="N557" s="44"/>
      <c r="O557" s="44"/>
    </row>
    <row r="558" spans="1:15" ht="17.25" customHeight="1">
      <c r="A558" s="44"/>
      <c r="B558" s="44"/>
      <c r="C558" s="44"/>
      <c r="D558" s="44"/>
      <c r="E558" s="44"/>
      <c r="F558" s="44"/>
      <c r="G558" s="44"/>
      <c r="H558" s="44"/>
      <c r="I558" s="44"/>
      <c r="J558" s="44"/>
      <c r="K558" s="44"/>
      <c r="L558" s="44"/>
      <c r="M558" s="44"/>
      <c r="N558" s="44"/>
      <c r="O558" s="44"/>
    </row>
    <row r="559" spans="1:15" ht="17.25" customHeight="1">
      <c r="A559" s="44"/>
      <c r="B559" s="44"/>
      <c r="C559" s="44"/>
      <c r="D559" s="44"/>
      <c r="E559" s="44"/>
      <c r="F559" s="44"/>
      <c r="G559" s="44"/>
      <c r="H559" s="44"/>
      <c r="I559" s="44"/>
      <c r="J559" s="44"/>
      <c r="K559" s="44"/>
      <c r="L559" s="44"/>
      <c r="M559" s="44"/>
      <c r="N559" s="44"/>
      <c r="O559" s="44"/>
    </row>
    <row r="560" spans="1:15" ht="17.25" customHeight="1">
      <c r="A560" s="44"/>
      <c r="B560" s="44"/>
      <c r="C560" s="44"/>
      <c r="D560" s="44"/>
      <c r="E560" s="44"/>
      <c r="F560" s="44"/>
      <c r="G560" s="44"/>
      <c r="H560" s="44"/>
      <c r="I560" s="44"/>
      <c r="J560" s="44"/>
      <c r="K560" s="44"/>
      <c r="L560" s="44"/>
      <c r="M560" s="44"/>
      <c r="N560" s="44"/>
      <c r="O560" s="44"/>
    </row>
    <row r="561" spans="1:15" ht="17.25" customHeight="1">
      <c r="A561" s="44"/>
      <c r="B561" s="44"/>
      <c r="C561" s="44"/>
      <c r="D561" s="44"/>
      <c r="E561" s="44"/>
      <c r="F561" s="44"/>
      <c r="G561" s="44"/>
      <c r="H561" s="44"/>
      <c r="I561" s="44"/>
      <c r="J561" s="44"/>
      <c r="K561" s="44"/>
      <c r="L561" s="44"/>
      <c r="M561" s="44"/>
      <c r="N561" s="44"/>
      <c r="O561" s="44"/>
    </row>
    <row r="562" spans="1:15" ht="17.25" customHeight="1">
      <c r="A562" s="44"/>
      <c r="B562" s="44"/>
      <c r="C562" s="44"/>
      <c r="D562" s="44"/>
      <c r="E562" s="44"/>
      <c r="F562" s="44"/>
      <c r="G562" s="44"/>
      <c r="H562" s="44"/>
      <c r="I562" s="44"/>
      <c r="J562" s="44"/>
      <c r="K562" s="44"/>
      <c r="L562" s="44"/>
      <c r="M562" s="44"/>
      <c r="N562" s="44"/>
      <c r="O562" s="44"/>
    </row>
    <row r="563" spans="1:15" ht="17.25" customHeight="1">
      <c r="A563" s="44"/>
      <c r="B563" s="44"/>
      <c r="C563" s="44"/>
      <c r="D563" s="44"/>
      <c r="E563" s="44"/>
      <c r="F563" s="44"/>
      <c r="G563" s="44"/>
      <c r="H563" s="44"/>
      <c r="I563" s="44"/>
      <c r="J563" s="44"/>
      <c r="K563" s="44"/>
      <c r="L563" s="44"/>
      <c r="M563" s="44"/>
      <c r="N563" s="44"/>
      <c r="O563" s="44"/>
    </row>
    <row r="564" spans="1:15" ht="17.25" customHeight="1">
      <c r="A564" s="44"/>
      <c r="B564" s="44"/>
      <c r="C564" s="44"/>
      <c r="D564" s="44"/>
      <c r="E564" s="44"/>
      <c r="F564" s="44"/>
      <c r="G564" s="44"/>
      <c r="H564" s="44"/>
      <c r="I564" s="44"/>
      <c r="J564" s="44"/>
      <c r="K564" s="44"/>
      <c r="L564" s="44"/>
      <c r="M564" s="44"/>
      <c r="N564" s="44"/>
      <c r="O564" s="44"/>
    </row>
    <row r="565" spans="1:15" ht="17.25" customHeight="1">
      <c r="A565" s="44"/>
      <c r="B565" s="44"/>
      <c r="C565" s="44"/>
      <c r="D565" s="44"/>
      <c r="E565" s="44"/>
      <c r="F565" s="44"/>
      <c r="G565" s="44"/>
      <c r="H565" s="44"/>
      <c r="I565" s="44"/>
      <c r="J565" s="44"/>
      <c r="K565" s="44"/>
      <c r="L565" s="44"/>
      <c r="M565" s="44"/>
      <c r="N565" s="44"/>
      <c r="O565" s="44"/>
    </row>
    <row r="566" spans="1:15" ht="17.25" customHeight="1">
      <c r="A566" s="44"/>
      <c r="B566" s="44"/>
      <c r="C566" s="44"/>
      <c r="D566" s="44"/>
      <c r="E566" s="44"/>
      <c r="F566" s="44"/>
      <c r="G566" s="44"/>
      <c r="H566" s="44"/>
      <c r="I566" s="44"/>
      <c r="J566" s="44"/>
      <c r="K566" s="44"/>
      <c r="L566" s="44"/>
      <c r="M566" s="44"/>
      <c r="N566" s="44"/>
      <c r="O566" s="44"/>
    </row>
    <row r="567" spans="1:15" ht="17.25" customHeight="1">
      <c r="A567" s="44"/>
      <c r="B567" s="44"/>
      <c r="C567" s="44"/>
      <c r="D567" s="44"/>
      <c r="E567" s="44"/>
      <c r="F567" s="44"/>
      <c r="G567" s="44"/>
      <c r="H567" s="44"/>
      <c r="I567" s="44"/>
      <c r="J567" s="44"/>
      <c r="K567" s="44"/>
      <c r="L567" s="44"/>
      <c r="M567" s="44"/>
      <c r="N567" s="44"/>
      <c r="O567" s="44"/>
    </row>
    <row r="568" spans="1:15" ht="17.25" customHeight="1">
      <c r="A568" s="44"/>
      <c r="B568" s="44"/>
      <c r="C568" s="44"/>
      <c r="D568" s="44"/>
      <c r="E568" s="44"/>
      <c r="F568" s="44"/>
      <c r="G568" s="44"/>
      <c r="H568" s="44"/>
      <c r="I568" s="44"/>
      <c r="J568" s="44"/>
      <c r="K568" s="44"/>
      <c r="L568" s="44"/>
      <c r="M568" s="44"/>
      <c r="N568" s="44"/>
      <c r="O568" s="44"/>
    </row>
    <row r="569" spans="1:15" ht="17.25" customHeight="1">
      <c r="A569" s="44"/>
      <c r="B569" s="44"/>
      <c r="C569" s="44"/>
      <c r="D569" s="44"/>
      <c r="E569" s="44"/>
      <c r="F569" s="44"/>
      <c r="G569" s="44"/>
      <c r="H569" s="44"/>
      <c r="I569" s="44"/>
      <c r="J569" s="44"/>
      <c r="K569" s="44"/>
      <c r="L569" s="44"/>
      <c r="M569" s="44"/>
      <c r="N569" s="44"/>
      <c r="O569" s="44"/>
    </row>
    <row r="570" spans="1:15" ht="17.25" customHeight="1">
      <c r="A570" s="44"/>
      <c r="B570" s="44"/>
      <c r="C570" s="44"/>
      <c r="D570" s="44"/>
      <c r="E570" s="44"/>
      <c r="F570" s="44"/>
      <c r="G570" s="44"/>
      <c r="H570" s="44"/>
      <c r="I570" s="44"/>
      <c r="J570" s="44"/>
      <c r="K570" s="44"/>
      <c r="L570" s="44"/>
      <c r="M570" s="44"/>
      <c r="N570" s="44"/>
      <c r="O570" s="44"/>
    </row>
    <row r="571" spans="1:15" ht="17.25" customHeight="1">
      <c r="A571" s="44"/>
      <c r="B571" s="44"/>
      <c r="C571" s="44"/>
      <c r="D571" s="44"/>
      <c r="E571" s="44"/>
      <c r="F571" s="44"/>
      <c r="G571" s="44"/>
      <c r="H571" s="44"/>
      <c r="I571" s="44"/>
      <c r="J571" s="44"/>
      <c r="K571" s="44"/>
      <c r="L571" s="44"/>
      <c r="M571" s="44"/>
      <c r="N571" s="44"/>
      <c r="O571" s="44"/>
    </row>
    <row r="572" spans="1:15" ht="17.25" customHeight="1">
      <c r="A572" s="44"/>
      <c r="B572" s="44"/>
      <c r="C572" s="44"/>
      <c r="D572" s="44"/>
      <c r="E572" s="44"/>
      <c r="F572" s="44"/>
      <c r="G572" s="44"/>
      <c r="H572" s="44"/>
      <c r="I572" s="44"/>
      <c r="J572" s="44"/>
      <c r="K572" s="44"/>
      <c r="L572" s="44"/>
      <c r="M572" s="44"/>
      <c r="N572" s="44"/>
      <c r="O572" s="44"/>
    </row>
    <row r="573" spans="1:15" ht="17.25" customHeight="1">
      <c r="A573" s="44"/>
      <c r="B573" s="44"/>
      <c r="C573" s="44"/>
      <c r="D573" s="44"/>
      <c r="E573" s="44"/>
      <c r="F573" s="44"/>
      <c r="G573" s="44"/>
      <c r="H573" s="44"/>
      <c r="I573" s="44"/>
      <c r="J573" s="44"/>
      <c r="K573" s="44"/>
      <c r="L573" s="44"/>
      <c r="M573" s="44"/>
      <c r="N573" s="44"/>
      <c r="O573" s="44"/>
    </row>
    <row r="574" spans="1:15" ht="17.25" customHeight="1">
      <c r="A574" s="44"/>
      <c r="B574" s="44"/>
      <c r="C574" s="44"/>
      <c r="D574" s="44"/>
      <c r="E574" s="44"/>
      <c r="F574" s="44"/>
      <c r="G574" s="44"/>
      <c r="H574" s="44"/>
      <c r="I574" s="44"/>
      <c r="J574" s="44"/>
      <c r="K574" s="44"/>
      <c r="L574" s="44"/>
      <c r="M574" s="44"/>
      <c r="N574" s="44"/>
      <c r="O574" s="44"/>
    </row>
    <row r="575" spans="1:15" ht="17.25" customHeight="1">
      <c r="A575" s="44"/>
      <c r="B575" s="44"/>
      <c r="C575" s="44"/>
      <c r="D575" s="44"/>
      <c r="E575" s="44"/>
      <c r="F575" s="44"/>
      <c r="G575" s="44"/>
      <c r="H575" s="44"/>
      <c r="I575" s="44"/>
      <c r="J575" s="44"/>
      <c r="K575" s="44"/>
      <c r="L575" s="44"/>
      <c r="M575" s="44"/>
      <c r="N575" s="44"/>
      <c r="O575" s="44"/>
    </row>
    <row r="576" spans="1:15" ht="17.25" customHeight="1">
      <c r="A576" s="44"/>
      <c r="B576" s="44"/>
      <c r="C576" s="44"/>
      <c r="D576" s="44"/>
      <c r="E576" s="44"/>
      <c r="F576" s="44"/>
      <c r="G576" s="44"/>
      <c r="H576" s="44"/>
      <c r="I576" s="44"/>
      <c r="J576" s="44"/>
      <c r="K576" s="44"/>
      <c r="L576" s="44"/>
      <c r="M576" s="44"/>
      <c r="N576" s="44"/>
      <c r="O576" s="44"/>
    </row>
    <row r="577" spans="1:15" ht="17.25" customHeight="1">
      <c r="A577" s="44"/>
      <c r="B577" s="44"/>
      <c r="C577" s="44"/>
      <c r="D577" s="44"/>
      <c r="E577" s="44"/>
      <c r="F577" s="44"/>
      <c r="G577" s="44"/>
      <c r="H577" s="44"/>
      <c r="I577" s="44"/>
      <c r="J577" s="44"/>
      <c r="K577" s="44"/>
      <c r="L577" s="44"/>
      <c r="M577" s="44"/>
      <c r="N577" s="44"/>
      <c r="O577" s="44"/>
    </row>
    <row r="578" spans="1:15" ht="17.25" customHeight="1">
      <c r="A578" s="44"/>
      <c r="B578" s="44"/>
      <c r="C578" s="44"/>
      <c r="D578" s="44"/>
      <c r="E578" s="44"/>
      <c r="F578" s="44"/>
      <c r="G578" s="44"/>
      <c r="H578" s="44"/>
      <c r="I578" s="44"/>
      <c r="J578" s="44"/>
      <c r="K578" s="44"/>
      <c r="L578" s="44"/>
      <c r="M578" s="44"/>
      <c r="N578" s="44"/>
      <c r="O578" s="44"/>
    </row>
    <row r="579" spans="1:15" ht="17.25" customHeight="1">
      <c r="A579" s="44"/>
      <c r="B579" s="44"/>
      <c r="C579" s="44"/>
      <c r="D579" s="44"/>
      <c r="E579" s="44"/>
      <c r="F579" s="44"/>
      <c r="G579" s="44"/>
      <c r="H579" s="44"/>
      <c r="I579" s="44"/>
      <c r="J579" s="44"/>
      <c r="K579" s="44"/>
      <c r="L579" s="44"/>
      <c r="M579" s="44"/>
      <c r="N579" s="44"/>
      <c r="O579" s="44"/>
    </row>
    <row r="580" spans="1:15" ht="17.25" customHeight="1">
      <c r="A580" s="44"/>
      <c r="B580" s="44"/>
      <c r="C580" s="44"/>
      <c r="D580" s="44"/>
      <c r="E580" s="44"/>
      <c r="F580" s="44"/>
      <c r="G580" s="44"/>
      <c r="H580" s="44"/>
      <c r="I580" s="44"/>
      <c r="J580" s="44"/>
      <c r="K580" s="44"/>
      <c r="L580" s="44"/>
      <c r="M580" s="44"/>
      <c r="N580" s="44"/>
      <c r="O580" s="44"/>
    </row>
    <row r="581" spans="1:15" ht="17.25" customHeight="1">
      <c r="A581" s="44"/>
      <c r="B581" s="44"/>
      <c r="C581" s="44"/>
      <c r="D581" s="44"/>
      <c r="E581" s="44"/>
      <c r="F581" s="44"/>
      <c r="G581" s="44"/>
      <c r="H581" s="44"/>
      <c r="I581" s="44"/>
      <c r="J581" s="44"/>
      <c r="K581" s="44"/>
      <c r="L581" s="44"/>
      <c r="M581" s="44"/>
      <c r="N581" s="44"/>
      <c r="O581" s="44"/>
    </row>
    <row r="582" spans="1:15" ht="17.25" customHeight="1">
      <c r="A582" s="44"/>
      <c r="B582" s="44"/>
      <c r="C582" s="44"/>
      <c r="D582" s="44"/>
      <c r="E582" s="44"/>
      <c r="F582" s="44"/>
      <c r="G582" s="44"/>
      <c r="H582" s="44"/>
      <c r="I582" s="44"/>
      <c r="J582" s="44"/>
      <c r="K582" s="44"/>
      <c r="L582" s="44"/>
      <c r="M582" s="44"/>
      <c r="N582" s="44"/>
      <c r="O582" s="44"/>
    </row>
    <row r="583" spans="1:15" ht="17.25" customHeight="1">
      <c r="A583" s="44"/>
      <c r="B583" s="44"/>
      <c r="C583" s="44"/>
      <c r="D583" s="44"/>
      <c r="E583" s="44"/>
      <c r="F583" s="44"/>
      <c r="G583" s="44"/>
      <c r="H583" s="44"/>
      <c r="I583" s="44"/>
      <c r="J583" s="44"/>
      <c r="K583" s="44"/>
      <c r="L583" s="44"/>
      <c r="M583" s="44"/>
      <c r="N583" s="44"/>
      <c r="O583" s="44"/>
    </row>
    <row r="584" spans="1:15" ht="17.25" customHeight="1">
      <c r="A584" s="44"/>
      <c r="B584" s="44"/>
      <c r="C584" s="44"/>
      <c r="D584" s="44"/>
      <c r="E584" s="44"/>
      <c r="F584" s="44"/>
      <c r="G584" s="44"/>
      <c r="H584" s="44"/>
      <c r="I584" s="44"/>
      <c r="J584" s="44"/>
      <c r="K584" s="44"/>
      <c r="L584" s="44"/>
      <c r="M584" s="44"/>
      <c r="N584" s="44"/>
      <c r="O584" s="44"/>
    </row>
    <row r="585" spans="1:15" ht="17.25" customHeight="1">
      <c r="A585" s="44"/>
      <c r="B585" s="44"/>
      <c r="C585" s="44"/>
      <c r="D585" s="44"/>
      <c r="E585" s="44"/>
      <c r="F585" s="44"/>
      <c r="G585" s="44"/>
      <c r="H585" s="44"/>
      <c r="I585" s="44"/>
      <c r="J585" s="44"/>
      <c r="K585" s="44"/>
      <c r="L585" s="44"/>
      <c r="M585" s="44"/>
      <c r="N585" s="44"/>
      <c r="O585" s="44"/>
    </row>
    <row r="586" spans="1:15" ht="17.25" customHeight="1">
      <c r="A586" s="44"/>
      <c r="B586" s="44"/>
      <c r="C586" s="44"/>
      <c r="D586" s="44"/>
      <c r="E586" s="44"/>
      <c r="F586" s="44"/>
      <c r="G586" s="44"/>
      <c r="H586" s="44"/>
      <c r="I586" s="44"/>
      <c r="J586" s="44"/>
      <c r="K586" s="44"/>
      <c r="L586" s="44"/>
      <c r="M586" s="44"/>
      <c r="N586" s="44"/>
      <c r="O586" s="44"/>
    </row>
    <row r="587" spans="1:15" ht="17.25" customHeight="1">
      <c r="A587" s="44"/>
      <c r="B587" s="44"/>
      <c r="C587" s="44"/>
      <c r="D587" s="44"/>
      <c r="E587" s="44"/>
      <c r="F587" s="44"/>
      <c r="G587" s="44"/>
      <c r="H587" s="44"/>
      <c r="I587" s="44"/>
      <c r="J587" s="44"/>
      <c r="K587" s="44"/>
      <c r="L587" s="44"/>
      <c r="M587" s="44"/>
      <c r="N587" s="44"/>
      <c r="O587" s="44"/>
    </row>
    <row r="588" spans="1:15" ht="17.25" customHeight="1">
      <c r="A588" s="44"/>
      <c r="B588" s="44"/>
      <c r="C588" s="44"/>
      <c r="D588" s="44"/>
      <c r="E588" s="44"/>
      <c r="F588" s="44"/>
      <c r="G588" s="44"/>
      <c r="H588" s="44"/>
      <c r="I588" s="44"/>
      <c r="J588" s="44"/>
      <c r="K588" s="44"/>
      <c r="L588" s="44"/>
      <c r="M588" s="44"/>
      <c r="N588" s="44"/>
      <c r="O588" s="44"/>
    </row>
    <row r="589" spans="1:15" ht="17.25" customHeight="1">
      <c r="A589" s="44"/>
      <c r="B589" s="44"/>
      <c r="C589" s="44"/>
      <c r="D589" s="44"/>
      <c r="E589" s="44"/>
      <c r="F589" s="44"/>
      <c r="G589" s="44"/>
      <c r="H589" s="44"/>
      <c r="I589" s="44"/>
      <c r="J589" s="44"/>
      <c r="K589" s="44"/>
      <c r="L589" s="44"/>
      <c r="M589" s="44"/>
      <c r="N589" s="44"/>
      <c r="O589" s="44"/>
    </row>
    <row r="590" spans="1:15" ht="17.25" customHeight="1">
      <c r="A590" s="44"/>
      <c r="B590" s="44"/>
      <c r="C590" s="44"/>
      <c r="D590" s="44"/>
      <c r="E590" s="44"/>
      <c r="F590" s="44"/>
      <c r="G590" s="44"/>
      <c r="H590" s="44"/>
      <c r="I590" s="44"/>
      <c r="J590" s="44"/>
      <c r="K590" s="44"/>
      <c r="L590" s="44"/>
      <c r="M590" s="44"/>
      <c r="N590" s="44"/>
      <c r="O590" s="44"/>
    </row>
    <row r="591" spans="1:15" ht="17.25" customHeight="1">
      <c r="A591" s="44"/>
      <c r="B591" s="44"/>
      <c r="C591" s="44"/>
      <c r="D591" s="44"/>
      <c r="E591" s="44"/>
      <c r="F591" s="44"/>
      <c r="G591" s="44"/>
      <c r="H591" s="44"/>
      <c r="I591" s="44"/>
      <c r="J591" s="44"/>
      <c r="K591" s="44"/>
      <c r="L591" s="44"/>
      <c r="M591" s="44"/>
      <c r="N591" s="44"/>
      <c r="O591" s="44"/>
    </row>
    <row r="592" spans="1:15" ht="17.25" customHeight="1">
      <c r="A592" s="44"/>
      <c r="B592" s="44"/>
      <c r="C592" s="44"/>
      <c r="D592" s="44"/>
      <c r="E592" s="44"/>
      <c r="F592" s="44"/>
      <c r="G592" s="44"/>
      <c r="H592" s="44"/>
      <c r="I592" s="44"/>
      <c r="J592" s="44"/>
      <c r="K592" s="44"/>
      <c r="L592" s="44"/>
      <c r="M592" s="44"/>
      <c r="N592" s="44"/>
      <c r="O592" s="44"/>
    </row>
    <row r="593" spans="1:15" ht="17.25" customHeight="1">
      <c r="A593" s="44"/>
      <c r="B593" s="44"/>
      <c r="C593" s="44"/>
      <c r="D593" s="44"/>
      <c r="E593" s="44"/>
      <c r="F593" s="44"/>
      <c r="G593" s="44"/>
      <c r="H593" s="44"/>
      <c r="I593" s="44"/>
      <c r="J593" s="44"/>
      <c r="K593" s="44"/>
      <c r="L593" s="44"/>
      <c r="M593" s="44"/>
      <c r="N593" s="44"/>
      <c r="O593" s="44"/>
    </row>
    <row r="594" spans="1:15" ht="17.25" customHeight="1">
      <c r="A594" s="44"/>
      <c r="B594" s="44"/>
      <c r="C594" s="44"/>
      <c r="D594" s="44"/>
      <c r="E594" s="44"/>
      <c r="F594" s="44"/>
      <c r="G594" s="44"/>
      <c r="H594" s="44"/>
      <c r="I594" s="44"/>
      <c r="J594" s="44"/>
      <c r="K594" s="44"/>
      <c r="L594" s="44"/>
      <c r="M594" s="44"/>
      <c r="N594" s="44"/>
      <c r="O594" s="44"/>
    </row>
    <row r="595" spans="1:15" ht="17.25" customHeight="1">
      <c r="A595" s="44"/>
      <c r="B595" s="44"/>
      <c r="C595" s="44"/>
      <c r="D595" s="44"/>
      <c r="E595" s="44"/>
      <c r="F595" s="44"/>
      <c r="G595" s="44"/>
      <c r="H595" s="44"/>
      <c r="I595" s="44"/>
      <c r="J595" s="44"/>
      <c r="K595" s="44"/>
      <c r="L595" s="44"/>
      <c r="M595" s="44"/>
      <c r="N595" s="44"/>
      <c r="O595" s="44"/>
    </row>
    <row r="596" spans="1:15" ht="17.25" customHeight="1">
      <c r="A596" s="44"/>
      <c r="B596" s="44"/>
      <c r="C596" s="44"/>
      <c r="D596" s="44"/>
      <c r="E596" s="44"/>
      <c r="F596" s="44"/>
      <c r="G596" s="44"/>
      <c r="H596" s="44"/>
      <c r="I596" s="44"/>
      <c r="J596" s="44"/>
      <c r="K596" s="44"/>
      <c r="L596" s="44"/>
      <c r="M596" s="44"/>
      <c r="N596" s="44"/>
      <c r="O596" s="44"/>
    </row>
    <row r="597" spans="1:15" ht="17.25" customHeight="1">
      <c r="A597" s="44"/>
      <c r="B597" s="44"/>
      <c r="C597" s="44"/>
      <c r="D597" s="44"/>
      <c r="E597" s="44"/>
      <c r="F597" s="44"/>
      <c r="G597" s="44"/>
      <c r="H597" s="44"/>
      <c r="I597" s="44"/>
      <c r="J597" s="44"/>
      <c r="K597" s="44"/>
      <c r="L597" s="44"/>
      <c r="M597" s="44"/>
      <c r="N597" s="44"/>
      <c r="O597" s="44"/>
    </row>
    <row r="598" spans="1:15" ht="17.25" customHeight="1">
      <c r="A598" s="44"/>
      <c r="B598" s="44"/>
      <c r="C598" s="44"/>
      <c r="D598" s="44"/>
      <c r="E598" s="44"/>
      <c r="F598" s="44"/>
      <c r="G598" s="44"/>
      <c r="H598" s="44"/>
      <c r="I598" s="44"/>
      <c r="J598" s="44"/>
      <c r="K598" s="44"/>
      <c r="L598" s="44"/>
      <c r="M598" s="44"/>
      <c r="N598" s="44"/>
      <c r="O598" s="44"/>
    </row>
    <row r="599" spans="1:15" ht="17.25" customHeight="1">
      <c r="A599" s="44"/>
      <c r="B599" s="44"/>
      <c r="C599" s="44"/>
      <c r="D599" s="44"/>
      <c r="E599" s="44"/>
      <c r="F599" s="44"/>
      <c r="G599" s="44"/>
      <c r="H599" s="44"/>
      <c r="I599" s="44"/>
      <c r="J599" s="44"/>
      <c r="K599" s="44"/>
      <c r="L599" s="44"/>
      <c r="M599" s="44"/>
      <c r="N599" s="44"/>
      <c r="O599" s="44"/>
    </row>
    <row r="600" spans="1:15" ht="17.25" customHeight="1">
      <c r="A600" s="44"/>
      <c r="B600" s="44"/>
      <c r="C600" s="44"/>
      <c r="D600" s="44"/>
      <c r="E600" s="44"/>
      <c r="F600" s="44"/>
      <c r="G600" s="44"/>
      <c r="H600" s="44"/>
      <c r="I600" s="44"/>
      <c r="J600" s="44"/>
      <c r="K600" s="44"/>
      <c r="L600" s="44"/>
      <c r="M600" s="44"/>
      <c r="N600" s="44"/>
      <c r="O600" s="44"/>
    </row>
    <row r="601" spans="1:15" ht="17.25" customHeight="1">
      <c r="A601" s="44"/>
      <c r="B601" s="44"/>
      <c r="C601" s="44"/>
      <c r="D601" s="44"/>
      <c r="E601" s="44"/>
      <c r="F601" s="44"/>
      <c r="G601" s="44"/>
      <c r="H601" s="44"/>
      <c r="I601" s="44"/>
      <c r="J601" s="44"/>
      <c r="K601" s="44"/>
      <c r="L601" s="44"/>
      <c r="M601" s="44"/>
      <c r="N601" s="44"/>
      <c r="O601" s="44"/>
    </row>
    <row r="602" spans="1:15" ht="17.25" customHeight="1">
      <c r="A602" s="44"/>
      <c r="B602" s="44"/>
      <c r="C602" s="44"/>
      <c r="D602" s="44"/>
      <c r="E602" s="44"/>
      <c r="F602" s="44"/>
      <c r="G602" s="44"/>
      <c r="H602" s="44"/>
      <c r="I602" s="44"/>
      <c r="J602" s="44"/>
      <c r="K602" s="44"/>
      <c r="L602" s="44"/>
      <c r="M602" s="44"/>
      <c r="N602" s="44"/>
      <c r="O602" s="44"/>
    </row>
    <row r="603" spans="1:15" ht="17.25" customHeight="1">
      <c r="A603" s="44"/>
      <c r="B603" s="44"/>
      <c r="C603" s="44"/>
      <c r="D603" s="44"/>
      <c r="E603" s="44"/>
      <c r="F603" s="44"/>
      <c r="G603" s="44"/>
      <c r="H603" s="44"/>
      <c r="I603" s="44"/>
      <c r="J603" s="44"/>
      <c r="K603" s="44"/>
      <c r="L603" s="44"/>
      <c r="M603" s="44"/>
      <c r="N603" s="44"/>
      <c r="O603" s="44"/>
    </row>
    <row r="604" spans="1:15" ht="17.25" customHeight="1">
      <c r="A604" s="44"/>
      <c r="B604" s="44"/>
      <c r="C604" s="44"/>
      <c r="D604" s="44"/>
      <c r="E604" s="44"/>
      <c r="F604" s="44"/>
      <c r="G604" s="44"/>
      <c r="H604" s="44"/>
      <c r="I604" s="44"/>
      <c r="J604" s="44"/>
      <c r="K604" s="44"/>
      <c r="L604" s="44"/>
      <c r="M604" s="44"/>
      <c r="N604" s="44"/>
      <c r="O604" s="44"/>
    </row>
    <row r="605" spans="1:15" ht="17.25" customHeight="1">
      <c r="A605" s="44"/>
      <c r="B605" s="44"/>
      <c r="C605" s="44"/>
      <c r="D605" s="44"/>
      <c r="E605" s="44"/>
      <c r="F605" s="44"/>
      <c r="G605" s="44"/>
      <c r="H605" s="44"/>
      <c r="I605" s="44"/>
      <c r="J605" s="44"/>
      <c r="K605" s="44"/>
      <c r="L605" s="44"/>
      <c r="M605" s="44"/>
      <c r="N605" s="44"/>
      <c r="O605" s="44"/>
    </row>
    <row r="606" spans="1:15" ht="17.25" customHeight="1">
      <c r="A606" s="44"/>
      <c r="B606" s="44"/>
      <c r="C606" s="44"/>
      <c r="D606" s="44"/>
      <c r="E606" s="44"/>
      <c r="F606" s="44"/>
      <c r="G606" s="44"/>
      <c r="H606" s="44"/>
      <c r="I606" s="44"/>
      <c r="J606" s="44"/>
      <c r="K606" s="44"/>
      <c r="L606" s="44"/>
      <c r="M606" s="44"/>
      <c r="N606" s="44"/>
      <c r="O606" s="44"/>
    </row>
    <row r="607" spans="1:15" ht="17.25" customHeight="1">
      <c r="A607" s="44"/>
      <c r="B607" s="44"/>
      <c r="C607" s="44"/>
      <c r="D607" s="44"/>
      <c r="E607" s="44"/>
      <c r="F607" s="44"/>
      <c r="G607" s="44"/>
      <c r="H607" s="44"/>
      <c r="I607" s="44"/>
      <c r="J607" s="44"/>
      <c r="K607" s="44"/>
      <c r="L607" s="44"/>
      <c r="M607" s="44"/>
      <c r="N607" s="44"/>
      <c r="O607" s="44"/>
    </row>
    <row r="608" spans="1:15" ht="17.25" customHeight="1">
      <c r="A608" s="44"/>
      <c r="B608" s="44"/>
      <c r="C608" s="44"/>
      <c r="D608" s="44"/>
      <c r="E608" s="44"/>
      <c r="F608" s="44"/>
      <c r="G608" s="44"/>
      <c r="H608" s="44"/>
      <c r="I608" s="44"/>
      <c r="J608" s="44"/>
      <c r="K608" s="44"/>
      <c r="L608" s="44"/>
      <c r="M608" s="44"/>
      <c r="N608" s="44"/>
      <c r="O608" s="44"/>
    </row>
    <row r="609" spans="1:15" ht="17.25" customHeight="1">
      <c r="A609" s="44"/>
      <c r="B609" s="44"/>
      <c r="C609" s="44"/>
      <c r="D609" s="44"/>
      <c r="E609" s="44"/>
      <c r="F609" s="44"/>
      <c r="G609" s="44"/>
      <c r="H609" s="44"/>
      <c r="I609" s="44"/>
      <c r="J609" s="44"/>
      <c r="K609" s="44"/>
      <c r="L609" s="44"/>
      <c r="M609" s="44"/>
      <c r="N609" s="44"/>
      <c r="O609" s="44"/>
    </row>
    <row r="610" spans="1:15" ht="17.25" customHeight="1">
      <c r="A610" s="44"/>
      <c r="B610" s="44"/>
      <c r="C610" s="44"/>
      <c r="D610" s="44"/>
      <c r="E610" s="44"/>
      <c r="F610" s="44"/>
      <c r="G610" s="44"/>
      <c r="H610" s="44"/>
      <c r="I610" s="44"/>
      <c r="J610" s="44"/>
      <c r="K610" s="44"/>
      <c r="L610" s="44"/>
      <c r="M610" s="44"/>
      <c r="N610" s="44"/>
      <c r="O610" s="44"/>
    </row>
    <row r="611" spans="1:15" ht="17.25" customHeight="1">
      <c r="A611" s="44"/>
      <c r="B611" s="44"/>
      <c r="C611" s="44"/>
      <c r="D611" s="44"/>
      <c r="E611" s="44"/>
      <c r="F611" s="44"/>
      <c r="G611" s="44"/>
      <c r="H611" s="44"/>
      <c r="I611" s="44"/>
      <c r="J611" s="44"/>
      <c r="K611" s="44"/>
      <c r="L611" s="44"/>
      <c r="M611" s="44"/>
      <c r="N611" s="44"/>
      <c r="O611" s="44"/>
    </row>
    <row r="612" spans="1:15" ht="17.25" customHeight="1">
      <c r="A612" s="44"/>
      <c r="B612" s="44"/>
      <c r="C612" s="44"/>
      <c r="D612" s="44"/>
      <c r="E612" s="44"/>
      <c r="F612" s="44"/>
      <c r="G612" s="44"/>
      <c r="H612" s="44"/>
      <c r="I612" s="44"/>
      <c r="J612" s="44"/>
      <c r="K612" s="44"/>
      <c r="L612" s="44"/>
      <c r="M612" s="44"/>
      <c r="N612" s="44"/>
      <c r="O612" s="44"/>
    </row>
    <row r="613" spans="1:15" ht="17.25" customHeight="1">
      <c r="A613" s="44"/>
      <c r="B613" s="44"/>
      <c r="C613" s="44"/>
      <c r="D613" s="44"/>
      <c r="E613" s="44"/>
      <c r="F613" s="44"/>
      <c r="G613" s="44"/>
      <c r="H613" s="44"/>
      <c r="I613" s="44"/>
      <c r="J613" s="44"/>
      <c r="K613" s="44"/>
      <c r="L613" s="44"/>
      <c r="M613" s="44"/>
      <c r="N613" s="44"/>
      <c r="O613" s="44"/>
    </row>
    <row r="614" spans="1:15" ht="17.25" customHeight="1">
      <c r="A614" s="44"/>
      <c r="B614" s="44"/>
      <c r="C614" s="44"/>
      <c r="D614" s="44"/>
      <c r="E614" s="44"/>
      <c r="F614" s="44"/>
      <c r="G614" s="44"/>
      <c r="H614" s="44"/>
      <c r="I614" s="44"/>
      <c r="J614" s="44"/>
      <c r="K614" s="44"/>
      <c r="L614" s="44"/>
      <c r="M614" s="44"/>
      <c r="N614" s="44"/>
      <c r="O614" s="44"/>
    </row>
    <row r="615" spans="1:15" ht="17.25" customHeight="1">
      <c r="A615" s="44"/>
      <c r="B615" s="44"/>
      <c r="C615" s="44"/>
      <c r="D615" s="44"/>
      <c r="E615" s="44"/>
      <c r="F615" s="44"/>
      <c r="G615" s="44"/>
      <c r="H615" s="44"/>
      <c r="I615" s="44"/>
      <c r="J615" s="44"/>
      <c r="K615" s="44"/>
      <c r="L615" s="44"/>
      <c r="M615" s="44"/>
      <c r="N615" s="44"/>
      <c r="O615" s="44"/>
    </row>
    <row r="616" spans="1:15" ht="17.25" customHeight="1">
      <c r="A616" s="44"/>
      <c r="B616" s="44"/>
      <c r="C616" s="44"/>
      <c r="D616" s="44"/>
      <c r="E616" s="44"/>
      <c r="F616" s="44"/>
      <c r="G616" s="44"/>
      <c r="H616" s="44"/>
      <c r="I616" s="44"/>
      <c r="J616" s="44"/>
      <c r="K616" s="44"/>
      <c r="L616" s="44"/>
      <c r="M616" s="44"/>
      <c r="N616" s="44"/>
      <c r="O616" s="44"/>
    </row>
    <row r="617" spans="1:15" ht="17.25" customHeight="1">
      <c r="A617" s="44"/>
      <c r="B617" s="44"/>
      <c r="C617" s="44"/>
      <c r="D617" s="44"/>
      <c r="E617" s="44"/>
      <c r="F617" s="44"/>
      <c r="G617" s="44"/>
      <c r="H617" s="44"/>
      <c r="I617" s="44"/>
      <c r="J617" s="44"/>
      <c r="K617" s="44"/>
      <c r="L617" s="44"/>
      <c r="M617" s="44"/>
      <c r="N617" s="44"/>
      <c r="O617" s="44"/>
    </row>
    <row r="618" spans="1:15" ht="17.25" customHeight="1">
      <c r="A618" s="44"/>
      <c r="B618" s="44"/>
      <c r="C618" s="44"/>
      <c r="D618" s="44"/>
      <c r="E618" s="44"/>
      <c r="F618" s="44"/>
      <c r="G618" s="44"/>
      <c r="H618" s="44"/>
      <c r="I618" s="44"/>
      <c r="J618" s="44"/>
      <c r="K618" s="44"/>
      <c r="L618" s="44"/>
      <c r="M618" s="44"/>
      <c r="N618" s="44"/>
      <c r="O618" s="44"/>
    </row>
    <row r="619" spans="1:15" ht="17.25" customHeight="1">
      <c r="A619" s="44"/>
      <c r="B619" s="44"/>
      <c r="C619" s="44"/>
      <c r="D619" s="44"/>
      <c r="E619" s="44"/>
      <c r="F619" s="44"/>
      <c r="G619" s="44"/>
      <c r="H619" s="44"/>
      <c r="I619" s="44"/>
      <c r="J619" s="44"/>
      <c r="K619" s="44"/>
      <c r="L619" s="44"/>
      <c r="M619" s="44"/>
      <c r="N619" s="44"/>
      <c r="O619" s="44"/>
    </row>
    <row r="620" spans="1:15" ht="17.25" customHeight="1">
      <c r="A620" s="44"/>
      <c r="B620" s="44"/>
      <c r="C620" s="44"/>
      <c r="D620" s="44"/>
      <c r="E620" s="44"/>
      <c r="F620" s="44"/>
      <c r="G620" s="44"/>
      <c r="H620" s="44"/>
      <c r="I620" s="44"/>
      <c r="J620" s="44"/>
      <c r="K620" s="44"/>
      <c r="L620" s="44"/>
      <c r="M620" s="44"/>
      <c r="N620" s="44"/>
      <c r="O620" s="44"/>
    </row>
    <row r="621" spans="1:15" ht="17.25" customHeight="1">
      <c r="A621" s="44"/>
      <c r="B621" s="44"/>
      <c r="C621" s="44"/>
      <c r="D621" s="44"/>
      <c r="E621" s="44"/>
      <c r="F621" s="44"/>
      <c r="G621" s="44"/>
      <c r="H621" s="44"/>
      <c r="I621" s="44"/>
      <c r="J621" s="44"/>
      <c r="K621" s="44"/>
      <c r="L621" s="44"/>
      <c r="M621" s="44"/>
      <c r="N621" s="44"/>
      <c r="O621" s="44"/>
    </row>
    <row r="622" spans="1:15" ht="17.25" customHeight="1">
      <c r="A622" s="44"/>
      <c r="B622" s="44"/>
      <c r="C622" s="44"/>
      <c r="D622" s="44"/>
      <c r="E622" s="44"/>
      <c r="F622" s="44"/>
      <c r="G622" s="44"/>
      <c r="H622" s="44"/>
      <c r="I622" s="44"/>
      <c r="J622" s="44"/>
      <c r="K622" s="44"/>
      <c r="L622" s="44"/>
      <c r="M622" s="44"/>
      <c r="N622" s="44"/>
      <c r="O622" s="44"/>
    </row>
    <row r="623" spans="1:15" ht="17.25" customHeight="1">
      <c r="A623" s="44"/>
      <c r="B623" s="44"/>
      <c r="C623" s="44"/>
      <c r="D623" s="44"/>
      <c r="E623" s="44"/>
      <c r="F623" s="44"/>
      <c r="G623" s="44"/>
      <c r="H623" s="44"/>
      <c r="I623" s="44"/>
      <c r="J623" s="44"/>
      <c r="K623" s="44"/>
      <c r="L623" s="44"/>
      <c r="M623" s="44"/>
      <c r="N623" s="44"/>
      <c r="O623" s="44"/>
    </row>
    <row r="624" spans="1:15" ht="17.25" customHeight="1">
      <c r="A624" s="44"/>
      <c r="B624" s="44"/>
      <c r="C624" s="44"/>
      <c r="D624" s="44"/>
      <c r="E624" s="44"/>
      <c r="F624" s="44"/>
      <c r="G624" s="44"/>
      <c r="H624" s="44"/>
      <c r="I624" s="44"/>
      <c r="J624" s="44"/>
      <c r="K624" s="44"/>
      <c r="L624" s="44"/>
      <c r="M624" s="44"/>
      <c r="N624" s="44"/>
      <c r="O624" s="44"/>
    </row>
    <row r="625" spans="1:15" ht="17.25" customHeight="1">
      <c r="A625" s="44"/>
      <c r="B625" s="44"/>
      <c r="C625" s="44"/>
      <c r="D625" s="44"/>
      <c r="E625" s="44"/>
      <c r="F625" s="44"/>
      <c r="G625" s="44"/>
      <c r="H625" s="44"/>
      <c r="I625" s="44"/>
      <c r="J625" s="44"/>
      <c r="K625" s="44"/>
      <c r="L625" s="44"/>
      <c r="M625" s="44"/>
      <c r="N625" s="44"/>
      <c r="O625" s="44"/>
    </row>
    <row r="626" spans="1:15" ht="17.25" customHeight="1">
      <c r="A626" s="44"/>
      <c r="B626" s="44"/>
      <c r="C626" s="44"/>
      <c r="D626" s="44"/>
      <c r="E626" s="44"/>
      <c r="F626" s="44"/>
      <c r="G626" s="44"/>
      <c r="H626" s="44"/>
      <c r="I626" s="44"/>
      <c r="J626" s="44"/>
      <c r="K626" s="44"/>
      <c r="L626" s="44"/>
      <c r="M626" s="44"/>
      <c r="N626" s="44"/>
      <c r="O626" s="44"/>
    </row>
    <row r="627" spans="1:15" ht="17.25" customHeight="1">
      <c r="A627" s="44"/>
      <c r="B627" s="44"/>
      <c r="C627" s="44"/>
      <c r="D627" s="44"/>
      <c r="E627" s="44"/>
      <c r="F627" s="44"/>
      <c r="G627" s="44"/>
      <c r="H627" s="44"/>
      <c r="I627" s="44"/>
      <c r="J627" s="44"/>
      <c r="K627" s="44"/>
      <c r="L627" s="44"/>
      <c r="M627" s="44"/>
      <c r="N627" s="44"/>
      <c r="O627" s="44"/>
    </row>
    <row r="628" spans="1:15" ht="17.25" customHeight="1">
      <c r="A628" s="44"/>
      <c r="B628" s="44"/>
      <c r="C628" s="44"/>
      <c r="D628" s="44"/>
      <c r="E628" s="44"/>
      <c r="F628" s="44"/>
      <c r="G628" s="44"/>
      <c r="H628" s="44"/>
      <c r="I628" s="44"/>
      <c r="J628" s="44"/>
      <c r="K628" s="44"/>
      <c r="L628" s="44"/>
      <c r="M628" s="44"/>
      <c r="N628" s="44"/>
      <c r="O628" s="44"/>
    </row>
    <row r="629" spans="1:15" ht="17.25" customHeight="1">
      <c r="A629" s="44"/>
      <c r="B629" s="44"/>
      <c r="C629" s="44"/>
      <c r="D629" s="44"/>
      <c r="E629" s="44"/>
      <c r="F629" s="44"/>
      <c r="G629" s="44"/>
      <c r="H629" s="44"/>
      <c r="I629" s="44"/>
      <c r="J629" s="44"/>
      <c r="K629" s="44"/>
      <c r="L629" s="44"/>
      <c r="M629" s="44"/>
      <c r="N629" s="44"/>
      <c r="O629" s="44"/>
    </row>
    <row r="630" spans="1:15" ht="17.25" customHeight="1">
      <c r="A630" s="44"/>
      <c r="B630" s="44"/>
      <c r="C630" s="44"/>
      <c r="D630" s="44"/>
      <c r="E630" s="44"/>
      <c r="F630" s="44"/>
      <c r="G630" s="44"/>
      <c r="H630" s="44"/>
      <c r="I630" s="44"/>
      <c r="J630" s="44"/>
      <c r="K630" s="44"/>
      <c r="L630" s="44"/>
      <c r="M630" s="44"/>
      <c r="N630" s="44"/>
      <c r="O630" s="44"/>
    </row>
    <row r="631" spans="1:15" ht="17.25" customHeight="1">
      <c r="A631" s="44"/>
      <c r="B631" s="44"/>
      <c r="C631" s="44"/>
      <c r="D631" s="44"/>
      <c r="E631" s="44"/>
      <c r="F631" s="44"/>
      <c r="G631" s="44"/>
      <c r="H631" s="44"/>
      <c r="I631" s="44"/>
      <c r="J631" s="44"/>
      <c r="K631" s="44"/>
      <c r="L631" s="44"/>
      <c r="M631" s="44"/>
      <c r="N631" s="44"/>
      <c r="O631" s="44"/>
    </row>
    <row r="632" spans="1:15" ht="17.25" customHeight="1">
      <c r="A632" s="44"/>
      <c r="B632" s="44"/>
      <c r="C632" s="44"/>
      <c r="D632" s="44"/>
      <c r="E632" s="44"/>
      <c r="F632" s="44"/>
      <c r="G632" s="44"/>
      <c r="H632" s="44"/>
      <c r="I632" s="44"/>
      <c r="J632" s="44"/>
      <c r="K632" s="44"/>
      <c r="L632" s="44"/>
      <c r="M632" s="44"/>
      <c r="N632" s="44"/>
      <c r="O632" s="44"/>
    </row>
    <row r="633" spans="1:15" ht="17.25" customHeight="1">
      <c r="A633" s="44"/>
      <c r="B633" s="44"/>
      <c r="C633" s="44"/>
      <c r="D633" s="44"/>
      <c r="E633" s="44"/>
      <c r="F633" s="44"/>
      <c r="G633" s="44"/>
      <c r="H633" s="44"/>
      <c r="I633" s="44"/>
      <c r="J633" s="44"/>
      <c r="K633" s="44"/>
      <c r="L633" s="44"/>
      <c r="M633" s="44"/>
      <c r="N633" s="44"/>
      <c r="O633" s="44"/>
    </row>
    <row r="634" spans="1:15" ht="17.25" customHeight="1">
      <c r="A634" s="44"/>
      <c r="B634" s="44"/>
      <c r="C634" s="44"/>
      <c r="D634" s="44"/>
      <c r="E634" s="44"/>
      <c r="F634" s="44"/>
      <c r="G634" s="44"/>
      <c r="H634" s="44"/>
      <c r="I634" s="44"/>
      <c r="J634" s="44"/>
      <c r="K634" s="44"/>
      <c r="L634" s="44"/>
      <c r="M634" s="44"/>
      <c r="N634" s="44"/>
      <c r="O634" s="44"/>
    </row>
    <row r="635" spans="1:15" ht="17.25" customHeight="1">
      <c r="A635" s="44"/>
      <c r="B635" s="44"/>
      <c r="C635" s="44"/>
      <c r="D635" s="44"/>
      <c r="E635" s="44"/>
      <c r="F635" s="44"/>
      <c r="G635" s="44"/>
      <c r="H635" s="44"/>
      <c r="I635" s="44"/>
      <c r="J635" s="44"/>
      <c r="K635" s="44"/>
      <c r="L635" s="44"/>
      <c r="M635" s="44"/>
      <c r="N635" s="44"/>
      <c r="O635" s="44"/>
    </row>
    <row r="636" spans="1:15" ht="17.25" customHeight="1">
      <c r="A636" s="44"/>
      <c r="B636" s="44"/>
      <c r="C636" s="44"/>
      <c r="D636" s="44"/>
      <c r="E636" s="44"/>
      <c r="F636" s="44"/>
      <c r="G636" s="44"/>
      <c r="H636" s="44"/>
      <c r="I636" s="44"/>
      <c r="J636" s="44"/>
      <c r="K636" s="44"/>
      <c r="L636" s="44"/>
      <c r="M636" s="44"/>
      <c r="N636" s="44"/>
      <c r="O636" s="44"/>
    </row>
    <row r="637" spans="1:15" ht="17.25" customHeight="1">
      <c r="A637" s="44"/>
      <c r="B637" s="44"/>
      <c r="C637" s="44"/>
      <c r="D637" s="44"/>
      <c r="E637" s="44"/>
      <c r="F637" s="44"/>
      <c r="G637" s="44"/>
      <c r="H637" s="44"/>
      <c r="I637" s="44"/>
      <c r="J637" s="44"/>
      <c r="K637" s="44"/>
      <c r="L637" s="44"/>
      <c r="M637" s="44"/>
      <c r="N637" s="44"/>
      <c r="O637" s="44"/>
    </row>
    <row r="638" spans="1:15" ht="17.25" customHeight="1">
      <c r="A638" s="44"/>
      <c r="B638" s="44"/>
      <c r="C638" s="44"/>
      <c r="D638" s="44"/>
      <c r="E638" s="44"/>
      <c r="F638" s="44"/>
      <c r="G638" s="44"/>
      <c r="H638" s="44"/>
      <c r="I638" s="44"/>
      <c r="J638" s="44"/>
      <c r="K638" s="44"/>
      <c r="L638" s="44"/>
      <c r="M638" s="44"/>
      <c r="N638" s="44"/>
      <c r="O638" s="44"/>
    </row>
    <row r="639" spans="1:15" ht="17.25" customHeight="1">
      <c r="A639" s="44"/>
      <c r="B639" s="44"/>
      <c r="C639" s="44"/>
      <c r="D639" s="44"/>
      <c r="E639" s="44"/>
      <c r="F639" s="44"/>
      <c r="G639" s="44"/>
      <c r="H639" s="44"/>
      <c r="I639" s="44"/>
      <c r="J639" s="44"/>
      <c r="K639" s="44"/>
      <c r="L639" s="44"/>
      <c r="M639" s="44"/>
      <c r="N639" s="44"/>
      <c r="O639" s="44"/>
    </row>
    <row r="640" spans="1:15" ht="17.25" customHeight="1">
      <c r="A640" s="44"/>
      <c r="B640" s="44"/>
      <c r="C640" s="44"/>
      <c r="D640" s="44"/>
      <c r="E640" s="44"/>
      <c r="F640" s="44"/>
      <c r="G640" s="44"/>
      <c r="H640" s="44"/>
      <c r="I640" s="44"/>
      <c r="J640" s="44"/>
      <c r="K640" s="44"/>
      <c r="L640" s="44"/>
      <c r="M640" s="44"/>
      <c r="N640" s="44"/>
      <c r="O640" s="44"/>
    </row>
    <row r="641" spans="1:15" ht="17.25" customHeight="1">
      <c r="A641" s="44"/>
      <c r="B641" s="44"/>
      <c r="C641" s="44"/>
      <c r="D641" s="44"/>
      <c r="E641" s="44"/>
      <c r="F641" s="44"/>
      <c r="G641" s="44"/>
      <c r="H641" s="44"/>
      <c r="I641" s="44"/>
      <c r="J641" s="44"/>
      <c r="K641" s="44"/>
      <c r="L641" s="44"/>
      <c r="M641" s="44"/>
      <c r="N641" s="44"/>
      <c r="O641" s="44"/>
    </row>
    <row r="642" spans="1:15" ht="17.25" customHeight="1">
      <c r="A642" s="44"/>
      <c r="B642" s="44"/>
      <c r="C642" s="44"/>
      <c r="D642" s="44"/>
      <c r="E642" s="44"/>
      <c r="F642" s="44"/>
      <c r="G642" s="44"/>
      <c r="H642" s="44"/>
      <c r="I642" s="44"/>
      <c r="J642" s="44"/>
      <c r="K642" s="44"/>
      <c r="L642" s="44"/>
      <c r="M642" s="44"/>
      <c r="N642" s="44"/>
      <c r="O642" s="44"/>
    </row>
    <row r="643" spans="1:15" ht="17.25" customHeight="1">
      <c r="A643" s="44"/>
      <c r="B643" s="44"/>
      <c r="C643" s="44"/>
      <c r="D643" s="44"/>
      <c r="E643" s="44"/>
      <c r="F643" s="44"/>
      <c r="G643" s="44"/>
      <c r="H643" s="44"/>
      <c r="I643" s="44"/>
      <c r="J643" s="44"/>
      <c r="K643" s="44"/>
      <c r="L643" s="44"/>
      <c r="M643" s="44"/>
      <c r="N643" s="44"/>
      <c r="O643" s="44"/>
    </row>
    <row r="644" spans="1:15" ht="17.25" customHeight="1">
      <c r="A644" s="44"/>
      <c r="B644" s="44"/>
      <c r="C644" s="44"/>
      <c r="D644" s="44"/>
      <c r="E644" s="44"/>
      <c r="F644" s="44"/>
      <c r="G644" s="44"/>
      <c r="H644" s="44"/>
      <c r="I644" s="44"/>
      <c r="J644" s="44"/>
      <c r="K644" s="44"/>
      <c r="L644" s="44"/>
      <c r="M644" s="44"/>
      <c r="N644" s="44"/>
      <c r="O644" s="44"/>
    </row>
    <row r="645" spans="1:15" ht="17.25" customHeight="1">
      <c r="A645" s="44"/>
      <c r="B645" s="44"/>
      <c r="C645" s="44"/>
      <c r="D645" s="44"/>
      <c r="E645" s="44"/>
      <c r="F645" s="44"/>
      <c r="G645" s="44"/>
      <c r="H645" s="44"/>
      <c r="I645" s="44"/>
      <c r="J645" s="44"/>
      <c r="K645" s="44"/>
      <c r="L645" s="44"/>
      <c r="M645" s="44"/>
      <c r="N645" s="44"/>
      <c r="O645" s="44"/>
    </row>
    <row r="646" spans="1:15" ht="17.25" customHeight="1">
      <c r="A646" s="44"/>
      <c r="B646" s="44"/>
      <c r="C646" s="44"/>
      <c r="D646" s="44"/>
      <c r="E646" s="44"/>
      <c r="F646" s="44"/>
      <c r="G646" s="44"/>
      <c r="H646" s="44"/>
      <c r="I646" s="44"/>
      <c r="J646" s="44"/>
      <c r="K646" s="44"/>
      <c r="L646" s="44"/>
      <c r="M646" s="44"/>
      <c r="N646" s="44"/>
      <c r="O646" s="44"/>
    </row>
    <row r="647" spans="1:15" ht="17.25" customHeight="1">
      <c r="A647" s="44"/>
      <c r="B647" s="44"/>
      <c r="C647" s="44"/>
      <c r="D647" s="44"/>
      <c r="E647" s="44"/>
      <c r="F647" s="44"/>
      <c r="G647" s="44"/>
      <c r="H647" s="44"/>
      <c r="I647" s="44"/>
      <c r="J647" s="44"/>
      <c r="K647" s="44"/>
      <c r="L647" s="44"/>
      <c r="M647" s="44"/>
      <c r="N647" s="44"/>
      <c r="O647" s="44"/>
    </row>
    <row r="648" spans="1:15" ht="17.25" customHeight="1">
      <c r="A648" s="44"/>
      <c r="B648" s="44"/>
      <c r="C648" s="44"/>
      <c r="D648" s="44"/>
      <c r="E648" s="44"/>
      <c r="F648" s="44"/>
      <c r="G648" s="44"/>
      <c r="H648" s="44"/>
      <c r="I648" s="44"/>
      <c r="J648" s="44"/>
      <c r="K648" s="44"/>
      <c r="L648" s="44"/>
      <c r="M648" s="44"/>
      <c r="N648" s="44"/>
      <c r="O648" s="44"/>
    </row>
    <row r="649" spans="1:15" ht="17.25" customHeight="1">
      <c r="A649" s="44"/>
      <c r="B649" s="44"/>
      <c r="C649" s="44"/>
      <c r="D649" s="44"/>
      <c r="E649" s="44"/>
      <c r="F649" s="44"/>
      <c r="G649" s="44"/>
      <c r="H649" s="44"/>
      <c r="I649" s="44"/>
      <c r="J649" s="44"/>
      <c r="K649" s="44"/>
      <c r="L649" s="44"/>
      <c r="M649" s="44"/>
      <c r="N649" s="44"/>
      <c r="O649" s="44"/>
    </row>
    <row r="650" spans="1:15" ht="17.25" customHeight="1">
      <c r="A650" s="44"/>
      <c r="B650" s="44"/>
      <c r="C650" s="44"/>
      <c r="D650" s="44"/>
      <c r="E650" s="44"/>
      <c r="F650" s="44"/>
      <c r="G650" s="44"/>
      <c r="H650" s="44"/>
      <c r="I650" s="44"/>
      <c r="J650" s="44"/>
      <c r="K650" s="44"/>
      <c r="L650" s="44"/>
      <c r="M650" s="44"/>
      <c r="N650" s="44"/>
      <c r="O650" s="44"/>
    </row>
    <row r="651" spans="1:15" ht="17.25" customHeight="1">
      <c r="A651" s="44"/>
      <c r="B651" s="44"/>
      <c r="C651" s="44"/>
      <c r="D651" s="44"/>
      <c r="E651" s="44"/>
      <c r="F651" s="44"/>
      <c r="G651" s="44"/>
      <c r="H651" s="44"/>
      <c r="I651" s="44"/>
      <c r="J651" s="44"/>
      <c r="K651" s="44"/>
      <c r="L651" s="44"/>
      <c r="M651" s="44"/>
      <c r="N651" s="44"/>
      <c r="O651" s="44"/>
    </row>
    <row r="652" spans="1:15" ht="17.25" customHeight="1">
      <c r="A652" s="44"/>
      <c r="B652" s="44"/>
      <c r="C652" s="44"/>
      <c r="D652" s="44"/>
      <c r="E652" s="44"/>
      <c r="F652" s="44"/>
      <c r="G652" s="44"/>
      <c r="H652" s="44"/>
      <c r="I652" s="44"/>
      <c r="J652" s="44"/>
      <c r="K652" s="44"/>
      <c r="L652" s="44"/>
      <c r="M652" s="44"/>
      <c r="N652" s="44"/>
      <c r="O652" s="44"/>
    </row>
    <row r="653" spans="1:15" ht="17.25" customHeight="1">
      <c r="A653" s="44"/>
      <c r="B653" s="44"/>
      <c r="C653" s="44"/>
      <c r="D653" s="44"/>
      <c r="E653" s="44"/>
      <c r="F653" s="44"/>
      <c r="G653" s="44"/>
      <c r="H653" s="44"/>
      <c r="I653" s="44"/>
      <c r="J653" s="44"/>
      <c r="K653" s="44"/>
      <c r="L653" s="44"/>
      <c r="M653" s="44"/>
      <c r="N653" s="44"/>
      <c r="O653" s="44"/>
    </row>
    <row r="654" spans="1:15" ht="17.25" customHeight="1">
      <c r="A654" s="44"/>
      <c r="B654" s="44"/>
      <c r="C654" s="44"/>
      <c r="D654" s="44"/>
      <c r="E654" s="44"/>
      <c r="F654" s="44"/>
      <c r="G654" s="44"/>
      <c r="H654" s="44"/>
      <c r="I654" s="44"/>
      <c r="J654" s="44"/>
      <c r="K654" s="44"/>
      <c r="L654" s="44"/>
      <c r="M654" s="44"/>
      <c r="N654" s="44"/>
      <c r="O654" s="44"/>
    </row>
    <row r="655" spans="1:15" ht="17.25" customHeight="1">
      <c r="A655" s="44"/>
      <c r="B655" s="44"/>
      <c r="C655" s="44"/>
      <c r="D655" s="44"/>
      <c r="E655" s="44"/>
      <c r="F655" s="44"/>
      <c r="G655" s="44"/>
      <c r="H655" s="44"/>
      <c r="I655" s="44"/>
      <c r="J655" s="44"/>
      <c r="K655" s="44"/>
      <c r="L655" s="44"/>
      <c r="M655" s="44"/>
      <c r="N655" s="44"/>
      <c r="O655" s="44"/>
    </row>
    <row r="656" spans="1:15" ht="17.25" customHeight="1">
      <c r="A656" s="44"/>
      <c r="B656" s="44"/>
      <c r="C656" s="44"/>
      <c r="D656" s="44"/>
      <c r="E656" s="44"/>
      <c r="F656" s="44"/>
      <c r="G656" s="44"/>
      <c r="H656" s="44"/>
      <c r="I656" s="44"/>
      <c r="J656" s="44"/>
      <c r="K656" s="44"/>
      <c r="L656" s="44"/>
      <c r="M656" s="44"/>
      <c r="N656" s="44"/>
      <c r="O656" s="44"/>
    </row>
    <row r="657" spans="1:15" ht="17.25" customHeight="1">
      <c r="A657" s="44"/>
      <c r="B657" s="44"/>
      <c r="C657" s="44"/>
      <c r="D657" s="44"/>
      <c r="E657" s="44"/>
      <c r="F657" s="44"/>
      <c r="G657" s="44"/>
      <c r="H657" s="44"/>
      <c r="I657" s="44"/>
      <c r="J657" s="44"/>
      <c r="K657" s="44"/>
      <c r="L657" s="44"/>
      <c r="M657" s="44"/>
      <c r="N657" s="44"/>
      <c r="O657" s="44"/>
    </row>
    <row r="658" spans="1:15" ht="17.25" customHeight="1">
      <c r="A658" s="44"/>
      <c r="B658" s="44"/>
      <c r="C658" s="44"/>
      <c r="D658" s="44"/>
      <c r="E658" s="44"/>
      <c r="F658" s="44"/>
      <c r="G658" s="44"/>
      <c r="H658" s="44"/>
      <c r="I658" s="44"/>
      <c r="J658" s="44"/>
      <c r="K658" s="44"/>
      <c r="L658" s="44"/>
      <c r="M658" s="44"/>
      <c r="N658" s="44"/>
      <c r="O658" s="44"/>
    </row>
    <row r="659" spans="1:15" ht="17.25" customHeight="1">
      <c r="A659" s="44"/>
      <c r="B659" s="44"/>
      <c r="C659" s="44"/>
      <c r="D659" s="44"/>
      <c r="E659" s="44"/>
      <c r="F659" s="44"/>
      <c r="G659" s="44"/>
      <c r="H659" s="44"/>
      <c r="I659" s="44"/>
      <c r="J659" s="44"/>
      <c r="K659" s="44"/>
      <c r="L659" s="44"/>
      <c r="M659" s="44"/>
      <c r="N659" s="44"/>
      <c r="O659" s="44"/>
    </row>
    <row r="660" spans="1:15" ht="17.25" customHeight="1">
      <c r="A660" s="44"/>
      <c r="B660" s="44"/>
      <c r="C660" s="44"/>
      <c r="D660" s="44"/>
      <c r="E660" s="44"/>
      <c r="F660" s="44"/>
      <c r="G660" s="44"/>
      <c r="H660" s="44"/>
      <c r="I660" s="44"/>
      <c r="J660" s="44"/>
      <c r="K660" s="44"/>
      <c r="L660" s="44"/>
      <c r="M660" s="44"/>
      <c r="N660" s="44"/>
      <c r="O660" s="44"/>
    </row>
    <row r="661" spans="1:15" ht="17.25" customHeight="1">
      <c r="A661" s="44"/>
      <c r="B661" s="44"/>
      <c r="C661" s="44"/>
      <c r="D661" s="44"/>
      <c r="E661" s="44"/>
      <c r="F661" s="44"/>
      <c r="G661" s="44"/>
      <c r="H661" s="44"/>
      <c r="I661" s="44"/>
      <c r="J661" s="44"/>
      <c r="K661" s="44"/>
      <c r="L661" s="44"/>
      <c r="M661" s="44"/>
      <c r="N661" s="44"/>
      <c r="O661" s="44"/>
    </row>
    <row r="662" spans="1:15" ht="17.25" customHeight="1">
      <c r="A662" s="44"/>
      <c r="B662" s="44"/>
      <c r="C662" s="44"/>
      <c r="D662" s="44"/>
      <c r="E662" s="44"/>
      <c r="F662" s="44"/>
      <c r="G662" s="44"/>
      <c r="H662" s="44"/>
      <c r="I662" s="44"/>
      <c r="J662" s="44"/>
      <c r="K662" s="44"/>
      <c r="L662" s="44"/>
      <c r="M662" s="44"/>
      <c r="N662" s="44"/>
      <c r="O662" s="44"/>
    </row>
    <row r="663" spans="1:15" ht="17.25" customHeight="1">
      <c r="A663" s="44"/>
      <c r="B663" s="44"/>
      <c r="C663" s="44"/>
      <c r="D663" s="44"/>
      <c r="E663" s="44"/>
      <c r="F663" s="44"/>
      <c r="G663" s="44"/>
      <c r="H663" s="44"/>
      <c r="I663" s="44"/>
      <c r="J663" s="44"/>
      <c r="K663" s="44"/>
      <c r="L663" s="44"/>
      <c r="M663" s="44"/>
      <c r="N663" s="44"/>
      <c r="O663" s="44"/>
    </row>
    <row r="664" spans="1:15" ht="17.25" customHeight="1">
      <c r="A664" s="44"/>
      <c r="B664" s="44"/>
      <c r="C664" s="44"/>
      <c r="D664" s="44"/>
      <c r="E664" s="44"/>
      <c r="F664" s="44"/>
      <c r="G664" s="44"/>
      <c r="H664" s="44"/>
      <c r="I664" s="44"/>
      <c r="J664" s="44"/>
      <c r="K664" s="44"/>
      <c r="L664" s="44"/>
      <c r="M664" s="44"/>
      <c r="N664" s="44"/>
      <c r="O664" s="44"/>
    </row>
    <row r="665" spans="1:15" ht="17.25" customHeight="1">
      <c r="A665" s="44"/>
      <c r="B665" s="44"/>
      <c r="C665" s="44"/>
      <c r="D665" s="44"/>
      <c r="E665" s="44"/>
      <c r="F665" s="44"/>
      <c r="G665" s="44"/>
      <c r="H665" s="44"/>
      <c r="I665" s="44"/>
      <c r="J665" s="44"/>
      <c r="K665" s="44"/>
      <c r="L665" s="44"/>
      <c r="M665" s="44"/>
      <c r="N665" s="44"/>
      <c r="O665" s="44"/>
    </row>
    <row r="666" spans="1:15" ht="17.25" customHeight="1">
      <c r="A666" s="44"/>
      <c r="B666" s="44"/>
      <c r="C666" s="44"/>
      <c r="D666" s="44"/>
      <c r="E666" s="44"/>
      <c r="F666" s="44"/>
      <c r="G666" s="44"/>
      <c r="H666" s="44"/>
      <c r="I666" s="44"/>
      <c r="J666" s="44"/>
      <c r="K666" s="44"/>
      <c r="L666" s="44"/>
      <c r="M666" s="44"/>
      <c r="N666" s="44"/>
      <c r="O666" s="44"/>
    </row>
    <row r="667" spans="1:15" ht="17.25" customHeight="1">
      <c r="A667" s="44"/>
      <c r="B667" s="44"/>
      <c r="C667" s="44"/>
      <c r="D667" s="44"/>
      <c r="E667" s="44"/>
      <c r="F667" s="44"/>
      <c r="G667" s="44"/>
      <c r="H667" s="44"/>
      <c r="I667" s="44"/>
      <c r="J667" s="44"/>
      <c r="K667" s="44"/>
      <c r="L667" s="44"/>
      <c r="M667" s="44"/>
      <c r="N667" s="44"/>
      <c r="O667" s="44"/>
    </row>
    <row r="668" spans="1:15" ht="17.25" customHeight="1">
      <c r="A668" s="44"/>
      <c r="B668" s="44"/>
      <c r="C668" s="44"/>
      <c r="D668" s="44"/>
      <c r="E668" s="44"/>
      <c r="F668" s="44"/>
      <c r="G668" s="44"/>
      <c r="H668" s="44"/>
      <c r="I668" s="44"/>
      <c r="J668" s="44"/>
      <c r="K668" s="44"/>
      <c r="L668" s="44"/>
      <c r="M668" s="44"/>
      <c r="N668" s="44"/>
      <c r="O668" s="44"/>
    </row>
    <row r="669" spans="1:15" ht="17.25" customHeight="1">
      <c r="A669" s="44"/>
      <c r="B669" s="44"/>
      <c r="C669" s="44"/>
      <c r="D669" s="44"/>
      <c r="E669" s="44"/>
      <c r="F669" s="44"/>
      <c r="G669" s="44"/>
      <c r="H669" s="44"/>
      <c r="I669" s="44"/>
      <c r="J669" s="44"/>
      <c r="K669" s="44"/>
      <c r="L669" s="44"/>
      <c r="M669" s="44"/>
      <c r="N669" s="44"/>
      <c r="O669" s="44"/>
    </row>
    <row r="670" spans="1:15" ht="17.25" customHeight="1">
      <c r="A670" s="44"/>
      <c r="B670" s="44"/>
      <c r="C670" s="44"/>
      <c r="D670" s="44"/>
      <c r="E670" s="44"/>
      <c r="F670" s="44"/>
      <c r="G670" s="44"/>
      <c r="H670" s="44"/>
      <c r="I670" s="44"/>
      <c r="J670" s="44"/>
      <c r="K670" s="44"/>
      <c r="L670" s="44"/>
      <c r="M670" s="44"/>
      <c r="N670" s="44"/>
      <c r="O670" s="44"/>
    </row>
    <row r="671" spans="1:15" ht="17.25" customHeight="1">
      <c r="A671" s="44"/>
      <c r="B671" s="44"/>
      <c r="C671" s="44"/>
      <c r="D671" s="44"/>
      <c r="E671" s="44"/>
      <c r="F671" s="44"/>
      <c r="G671" s="44"/>
      <c r="H671" s="44"/>
      <c r="I671" s="44"/>
      <c r="J671" s="44"/>
      <c r="K671" s="44"/>
      <c r="L671" s="44"/>
      <c r="M671" s="44"/>
      <c r="N671" s="44"/>
      <c r="O671" s="44"/>
    </row>
    <row r="672" spans="1:15" ht="17.25" customHeight="1">
      <c r="A672" s="44"/>
      <c r="B672" s="44"/>
      <c r="C672" s="44"/>
      <c r="D672" s="44"/>
      <c r="E672" s="44"/>
      <c r="F672" s="44"/>
      <c r="G672" s="44"/>
      <c r="H672" s="44"/>
      <c r="I672" s="44"/>
      <c r="J672" s="44"/>
      <c r="K672" s="44"/>
      <c r="L672" s="44"/>
      <c r="M672" s="44"/>
      <c r="N672" s="44"/>
      <c r="O672" s="44"/>
    </row>
    <row r="673" spans="1:15" ht="17.25" customHeight="1">
      <c r="A673" s="44"/>
      <c r="B673" s="44"/>
      <c r="C673" s="44"/>
      <c r="D673" s="44"/>
      <c r="E673" s="44"/>
      <c r="F673" s="44"/>
      <c r="G673" s="44"/>
      <c r="H673" s="44"/>
      <c r="I673" s="44"/>
      <c r="J673" s="44"/>
      <c r="K673" s="44"/>
      <c r="L673" s="44"/>
      <c r="M673" s="44"/>
      <c r="N673" s="44"/>
      <c r="O673" s="44"/>
    </row>
    <row r="674" spans="1:15" ht="17.25" customHeight="1">
      <c r="A674" s="44"/>
      <c r="B674" s="44"/>
      <c r="C674" s="44"/>
      <c r="D674" s="44"/>
      <c r="E674" s="44"/>
      <c r="F674" s="44"/>
      <c r="G674" s="44"/>
      <c r="H674" s="44"/>
      <c r="I674" s="44"/>
      <c r="J674" s="44"/>
      <c r="K674" s="44"/>
      <c r="L674" s="44"/>
      <c r="M674" s="44"/>
      <c r="N674" s="44"/>
      <c r="O674" s="44"/>
    </row>
    <row r="675" spans="1:15" ht="17.25" customHeight="1">
      <c r="A675" s="44"/>
      <c r="B675" s="44"/>
      <c r="C675" s="44"/>
      <c r="D675" s="44"/>
      <c r="E675" s="44"/>
      <c r="F675" s="44"/>
      <c r="G675" s="44"/>
      <c r="H675" s="44"/>
      <c r="I675" s="44"/>
      <c r="J675" s="44"/>
      <c r="K675" s="44"/>
      <c r="L675" s="44"/>
      <c r="M675" s="44"/>
      <c r="N675" s="44"/>
      <c r="O675" s="44"/>
    </row>
    <row r="676" spans="1:15" ht="17.25" customHeight="1">
      <c r="A676" s="44"/>
      <c r="B676" s="44"/>
      <c r="C676" s="44"/>
      <c r="D676" s="44"/>
      <c r="E676" s="44"/>
      <c r="F676" s="44"/>
      <c r="G676" s="44"/>
      <c r="H676" s="44"/>
      <c r="I676" s="44"/>
      <c r="J676" s="44"/>
      <c r="K676" s="44"/>
      <c r="L676" s="44"/>
      <c r="M676" s="44"/>
      <c r="N676" s="44"/>
      <c r="O676" s="44"/>
    </row>
    <row r="677" spans="1:15" ht="17.25" customHeight="1">
      <c r="A677" s="44"/>
      <c r="B677" s="44"/>
      <c r="C677" s="44"/>
      <c r="D677" s="44"/>
      <c r="E677" s="44"/>
      <c r="F677" s="44"/>
      <c r="G677" s="44"/>
      <c r="H677" s="44"/>
      <c r="I677" s="44"/>
      <c r="J677" s="44"/>
      <c r="K677" s="44"/>
      <c r="L677" s="44"/>
      <c r="M677" s="44"/>
      <c r="N677" s="44"/>
      <c r="O677" s="44"/>
    </row>
    <row r="678" spans="1:15" ht="17.25" customHeight="1">
      <c r="A678" s="44"/>
      <c r="B678" s="44"/>
      <c r="C678" s="44"/>
      <c r="D678" s="44"/>
      <c r="E678" s="44"/>
      <c r="F678" s="44"/>
      <c r="G678" s="44"/>
      <c r="H678" s="44"/>
      <c r="I678" s="44"/>
      <c r="J678" s="44"/>
      <c r="K678" s="44"/>
      <c r="L678" s="44"/>
      <c r="M678" s="44"/>
      <c r="N678" s="44"/>
      <c r="O678" s="44"/>
    </row>
    <row r="679" spans="1:15" ht="17.25" customHeight="1">
      <c r="A679" s="44"/>
      <c r="B679" s="44"/>
      <c r="C679" s="44"/>
      <c r="D679" s="44"/>
      <c r="E679" s="44"/>
      <c r="F679" s="44"/>
      <c r="G679" s="44"/>
      <c r="H679" s="44"/>
      <c r="I679" s="44"/>
      <c r="J679" s="44"/>
      <c r="K679" s="44"/>
      <c r="L679" s="44"/>
      <c r="M679" s="44"/>
      <c r="N679" s="44"/>
      <c r="O679" s="44"/>
    </row>
    <row r="680" spans="1:15" ht="17.25" customHeight="1">
      <c r="A680" s="44"/>
      <c r="B680" s="44"/>
      <c r="C680" s="44"/>
      <c r="D680" s="44"/>
      <c r="E680" s="44"/>
      <c r="F680" s="44"/>
      <c r="G680" s="44"/>
      <c r="H680" s="44"/>
      <c r="I680" s="44"/>
      <c r="J680" s="44"/>
      <c r="K680" s="44"/>
      <c r="L680" s="44"/>
      <c r="M680" s="44"/>
      <c r="N680" s="44"/>
      <c r="O680" s="44"/>
    </row>
    <row r="681" spans="1:15" ht="17.25" customHeight="1">
      <c r="A681" s="44"/>
      <c r="B681" s="44"/>
      <c r="C681" s="44"/>
      <c r="D681" s="44"/>
      <c r="E681" s="44"/>
      <c r="F681" s="44"/>
      <c r="G681" s="44"/>
      <c r="H681" s="44"/>
      <c r="I681" s="44"/>
      <c r="J681" s="44"/>
      <c r="K681" s="44"/>
      <c r="L681" s="44"/>
      <c r="M681" s="44"/>
      <c r="N681" s="44"/>
      <c r="O681" s="44"/>
    </row>
    <row r="682" spans="1:15" ht="17.25" customHeight="1">
      <c r="A682" s="44"/>
      <c r="B682" s="44"/>
      <c r="C682" s="44"/>
      <c r="D682" s="44"/>
      <c r="E682" s="44"/>
      <c r="F682" s="44"/>
      <c r="G682" s="44"/>
      <c r="H682" s="44"/>
      <c r="I682" s="44"/>
      <c r="J682" s="44"/>
      <c r="K682" s="44"/>
      <c r="L682" s="44"/>
      <c r="M682" s="44"/>
      <c r="N682" s="44"/>
      <c r="O682" s="44"/>
    </row>
    <row r="683" spans="1:15" ht="17.25" customHeight="1">
      <c r="A683" s="44"/>
      <c r="B683" s="44"/>
      <c r="C683" s="44"/>
      <c r="D683" s="44"/>
      <c r="E683" s="44"/>
      <c r="F683" s="44"/>
      <c r="G683" s="44"/>
      <c r="H683" s="44"/>
      <c r="I683" s="44"/>
      <c r="J683" s="44"/>
      <c r="K683" s="44"/>
      <c r="L683" s="44"/>
      <c r="M683" s="44"/>
      <c r="N683" s="44"/>
      <c r="O683" s="44"/>
    </row>
    <row r="684" spans="1:15" ht="17.25" customHeight="1">
      <c r="A684" s="44"/>
      <c r="B684" s="44"/>
      <c r="C684" s="44"/>
      <c r="D684" s="44"/>
      <c r="E684" s="44"/>
      <c r="F684" s="44"/>
      <c r="G684" s="44"/>
      <c r="H684" s="44"/>
      <c r="I684" s="44"/>
      <c r="J684" s="44"/>
      <c r="K684" s="44"/>
      <c r="L684" s="44"/>
      <c r="M684" s="44"/>
      <c r="N684" s="44"/>
      <c r="O684" s="44"/>
    </row>
    <row r="685" spans="1:15" ht="17.25" customHeight="1">
      <c r="A685" s="44"/>
      <c r="B685" s="44"/>
      <c r="C685" s="44"/>
      <c r="D685" s="44"/>
      <c r="E685" s="44"/>
      <c r="F685" s="44"/>
      <c r="G685" s="44"/>
      <c r="H685" s="44"/>
      <c r="I685" s="44"/>
      <c r="J685" s="44"/>
      <c r="K685" s="44"/>
      <c r="L685" s="44"/>
      <c r="M685" s="44"/>
      <c r="N685" s="44"/>
      <c r="O685" s="44"/>
    </row>
    <row r="686" spans="1:15" ht="17.25" customHeight="1">
      <c r="A686" s="44"/>
      <c r="B686" s="44"/>
      <c r="C686" s="44"/>
      <c r="D686" s="44"/>
      <c r="E686" s="44"/>
      <c r="F686" s="44"/>
      <c r="G686" s="44"/>
      <c r="H686" s="44"/>
      <c r="I686" s="44"/>
      <c r="J686" s="44"/>
      <c r="K686" s="44"/>
      <c r="L686" s="44"/>
      <c r="M686" s="44"/>
      <c r="N686" s="44"/>
      <c r="O686" s="44"/>
    </row>
    <row r="687" spans="1:15" ht="17.25" customHeight="1">
      <c r="A687" s="44"/>
      <c r="B687" s="44"/>
      <c r="C687" s="44"/>
      <c r="D687" s="44"/>
      <c r="E687" s="44"/>
      <c r="F687" s="44"/>
      <c r="G687" s="44"/>
      <c r="H687" s="44"/>
      <c r="I687" s="44"/>
      <c r="J687" s="44"/>
      <c r="K687" s="44"/>
      <c r="L687" s="44"/>
      <c r="M687" s="44"/>
      <c r="N687" s="44"/>
      <c r="O687" s="44"/>
    </row>
    <row r="688" spans="1:15" ht="17.25" customHeight="1">
      <c r="A688" s="44"/>
      <c r="B688" s="44"/>
      <c r="C688" s="44"/>
      <c r="D688" s="44"/>
      <c r="E688" s="44"/>
      <c r="F688" s="44"/>
      <c r="G688" s="44"/>
      <c r="H688" s="44"/>
      <c r="I688" s="44"/>
      <c r="J688" s="44"/>
      <c r="K688" s="44"/>
      <c r="L688" s="44"/>
      <c r="M688" s="44"/>
      <c r="N688" s="44"/>
      <c r="O688" s="44"/>
    </row>
    <row r="689" spans="1:15" ht="17.25" customHeight="1">
      <c r="A689" s="44"/>
      <c r="B689" s="44"/>
      <c r="C689" s="44"/>
      <c r="D689" s="44"/>
      <c r="E689" s="44"/>
      <c r="F689" s="44"/>
      <c r="G689" s="44"/>
      <c r="H689" s="44"/>
      <c r="I689" s="44"/>
      <c r="J689" s="44"/>
      <c r="K689" s="44"/>
      <c r="L689" s="44"/>
      <c r="M689" s="44"/>
      <c r="N689" s="44"/>
      <c r="O689" s="44"/>
    </row>
    <row r="690" spans="1:15" ht="17.25" customHeight="1">
      <c r="A690" s="44"/>
      <c r="B690" s="44"/>
      <c r="C690" s="44"/>
      <c r="D690" s="44"/>
      <c r="E690" s="44"/>
      <c r="F690" s="44"/>
      <c r="G690" s="44"/>
      <c r="H690" s="44"/>
      <c r="I690" s="44"/>
      <c r="J690" s="44"/>
      <c r="K690" s="44"/>
      <c r="L690" s="44"/>
      <c r="M690" s="44"/>
      <c r="N690" s="44"/>
      <c r="O690" s="44"/>
    </row>
    <row r="691" spans="1:15" ht="17.25" customHeight="1">
      <c r="A691" s="44"/>
      <c r="B691" s="44"/>
      <c r="C691" s="44"/>
      <c r="D691" s="44"/>
      <c r="E691" s="44"/>
      <c r="F691" s="44"/>
      <c r="G691" s="44"/>
      <c r="H691" s="44"/>
      <c r="I691" s="44"/>
      <c r="J691" s="44"/>
      <c r="K691" s="44"/>
      <c r="L691" s="44"/>
      <c r="M691" s="44"/>
      <c r="N691" s="44"/>
      <c r="O691" s="44"/>
    </row>
    <row r="692" spans="1:15" ht="17.25" customHeight="1">
      <c r="A692" s="44"/>
      <c r="B692" s="44"/>
      <c r="C692" s="44"/>
      <c r="D692" s="44"/>
      <c r="E692" s="44"/>
      <c r="F692" s="44"/>
      <c r="G692" s="44"/>
      <c r="H692" s="44"/>
      <c r="I692" s="44"/>
      <c r="J692" s="44"/>
      <c r="K692" s="44"/>
      <c r="L692" s="44"/>
      <c r="M692" s="44"/>
      <c r="N692" s="44"/>
      <c r="O692" s="44"/>
    </row>
    <row r="693" spans="1:15" ht="17.25" customHeight="1">
      <c r="A693" s="44"/>
      <c r="B693" s="44"/>
      <c r="C693" s="44"/>
      <c r="D693" s="44"/>
      <c r="E693" s="44"/>
      <c r="F693" s="44"/>
      <c r="G693" s="44"/>
      <c r="H693" s="44"/>
      <c r="I693" s="44"/>
      <c r="J693" s="44"/>
      <c r="K693" s="44"/>
      <c r="L693" s="44"/>
      <c r="M693" s="44"/>
      <c r="N693" s="44"/>
      <c r="O693" s="44"/>
    </row>
    <row r="694" spans="1:15" ht="17.25" customHeight="1">
      <c r="A694" s="44"/>
      <c r="B694" s="44"/>
      <c r="C694" s="44"/>
      <c r="D694" s="44"/>
      <c r="E694" s="44"/>
      <c r="F694" s="44"/>
      <c r="G694" s="44"/>
      <c r="H694" s="44"/>
      <c r="I694" s="44"/>
      <c r="J694" s="44"/>
      <c r="K694" s="44"/>
      <c r="L694" s="44"/>
      <c r="M694" s="44"/>
      <c r="N694" s="44"/>
      <c r="O694" s="44"/>
    </row>
    <row r="695" spans="1:15" ht="17.25" customHeight="1">
      <c r="A695" s="44"/>
      <c r="B695" s="44"/>
      <c r="C695" s="44"/>
      <c r="D695" s="44"/>
      <c r="E695" s="44"/>
      <c r="F695" s="44"/>
      <c r="G695" s="44"/>
      <c r="H695" s="44"/>
      <c r="I695" s="44"/>
      <c r="J695" s="44"/>
      <c r="K695" s="44"/>
      <c r="L695" s="44"/>
      <c r="M695" s="44"/>
      <c r="N695" s="44"/>
      <c r="O695" s="44"/>
    </row>
    <row r="696" spans="1:15" ht="17.25" customHeight="1">
      <c r="A696" s="44"/>
      <c r="B696" s="44"/>
      <c r="C696" s="44"/>
      <c r="D696" s="44"/>
      <c r="E696" s="44"/>
      <c r="F696" s="44"/>
      <c r="G696" s="44"/>
      <c r="H696" s="44"/>
      <c r="I696" s="44"/>
      <c r="J696" s="44"/>
      <c r="K696" s="44"/>
      <c r="L696" s="44"/>
      <c r="M696" s="44"/>
      <c r="N696" s="44"/>
      <c r="O696" s="44"/>
    </row>
    <row r="697" spans="1:15" ht="17.25" customHeight="1">
      <c r="A697" s="44"/>
      <c r="B697" s="44"/>
      <c r="C697" s="44"/>
      <c r="D697" s="44"/>
      <c r="E697" s="44"/>
      <c r="F697" s="44"/>
      <c r="G697" s="44"/>
      <c r="H697" s="44"/>
      <c r="I697" s="44"/>
      <c r="J697" s="44"/>
      <c r="K697" s="44"/>
      <c r="L697" s="44"/>
      <c r="M697" s="44"/>
      <c r="N697" s="44"/>
      <c r="O697" s="44"/>
    </row>
    <row r="698" spans="1:15" ht="17.25" customHeight="1">
      <c r="A698" s="44"/>
      <c r="B698" s="44"/>
      <c r="C698" s="44"/>
      <c r="D698" s="44"/>
      <c r="E698" s="44"/>
      <c r="F698" s="44"/>
      <c r="G698" s="44"/>
      <c r="H698" s="44"/>
      <c r="I698" s="44"/>
      <c r="J698" s="44"/>
      <c r="K698" s="44"/>
      <c r="L698" s="44"/>
      <c r="M698" s="44"/>
      <c r="N698" s="44"/>
      <c r="O698" s="44"/>
    </row>
    <row r="699" spans="1:15" ht="17.25" customHeight="1">
      <c r="A699" s="44"/>
      <c r="B699" s="44"/>
      <c r="C699" s="44"/>
      <c r="D699" s="44"/>
      <c r="E699" s="44"/>
      <c r="F699" s="44"/>
      <c r="G699" s="44"/>
      <c r="H699" s="44"/>
      <c r="I699" s="44"/>
      <c r="J699" s="44"/>
      <c r="K699" s="44"/>
      <c r="L699" s="44"/>
      <c r="M699" s="44"/>
      <c r="N699" s="44"/>
      <c r="O699" s="44"/>
    </row>
    <row r="700" spans="1:15" ht="17.25" customHeight="1">
      <c r="A700" s="44"/>
      <c r="B700" s="44"/>
      <c r="C700" s="44"/>
      <c r="D700" s="44"/>
      <c r="E700" s="44"/>
      <c r="F700" s="44"/>
      <c r="G700" s="44"/>
      <c r="H700" s="44"/>
      <c r="I700" s="44"/>
      <c r="J700" s="44"/>
      <c r="K700" s="44"/>
      <c r="L700" s="44"/>
      <c r="M700" s="44"/>
      <c r="N700" s="44"/>
      <c r="O700" s="44"/>
    </row>
    <row r="701" spans="1:15" ht="17.25" customHeight="1">
      <c r="A701" s="44"/>
      <c r="B701" s="44"/>
      <c r="C701" s="44"/>
      <c r="D701" s="44"/>
      <c r="E701" s="44"/>
      <c r="F701" s="44"/>
      <c r="G701" s="44"/>
      <c r="H701" s="44"/>
      <c r="I701" s="44"/>
      <c r="J701" s="44"/>
      <c r="K701" s="44"/>
      <c r="L701" s="44"/>
      <c r="M701" s="44"/>
      <c r="N701" s="44"/>
      <c r="O701" s="44"/>
    </row>
    <row r="702" spans="1:15" ht="17.25" customHeight="1">
      <c r="A702" s="44"/>
      <c r="B702" s="44"/>
      <c r="C702" s="44"/>
      <c r="D702" s="44"/>
      <c r="E702" s="44"/>
      <c r="F702" s="44"/>
      <c r="G702" s="44"/>
      <c r="H702" s="44"/>
      <c r="I702" s="44"/>
      <c r="J702" s="44"/>
      <c r="K702" s="44"/>
      <c r="L702" s="44"/>
      <c r="M702" s="44"/>
      <c r="N702" s="44"/>
      <c r="O702" s="44"/>
    </row>
    <row r="703" spans="1:15" ht="17.25" customHeight="1">
      <c r="A703" s="44"/>
      <c r="B703" s="44"/>
      <c r="C703" s="44"/>
      <c r="D703" s="44"/>
      <c r="E703" s="44"/>
      <c r="F703" s="44"/>
      <c r="G703" s="44"/>
      <c r="H703" s="44"/>
      <c r="I703" s="44"/>
      <c r="J703" s="44"/>
      <c r="K703" s="44"/>
      <c r="L703" s="44"/>
      <c r="M703" s="44"/>
      <c r="N703" s="44"/>
      <c r="O703" s="44"/>
    </row>
    <row r="704" spans="1:15" ht="17.25" customHeight="1">
      <c r="A704" s="44"/>
      <c r="B704" s="44"/>
      <c r="C704" s="44"/>
      <c r="D704" s="44"/>
      <c r="E704" s="44"/>
      <c r="F704" s="44"/>
      <c r="G704" s="44"/>
      <c r="H704" s="44"/>
      <c r="I704" s="44"/>
      <c r="J704" s="44"/>
      <c r="K704" s="44"/>
      <c r="L704" s="44"/>
      <c r="M704" s="44"/>
      <c r="N704" s="44"/>
      <c r="O704" s="44"/>
    </row>
    <row r="705" spans="1:15" ht="17.25" customHeight="1">
      <c r="A705" s="44"/>
      <c r="B705" s="44"/>
      <c r="C705" s="44"/>
      <c r="D705" s="44"/>
      <c r="E705" s="44"/>
      <c r="F705" s="44"/>
      <c r="G705" s="44"/>
      <c r="H705" s="44"/>
      <c r="I705" s="44"/>
      <c r="J705" s="44"/>
      <c r="K705" s="44"/>
      <c r="L705" s="44"/>
      <c r="M705" s="44"/>
      <c r="N705" s="44"/>
      <c r="O705" s="44"/>
    </row>
    <row r="706" spans="1:15" ht="17.25" customHeight="1">
      <c r="A706" s="44"/>
      <c r="B706" s="44"/>
      <c r="C706" s="44"/>
      <c r="D706" s="44"/>
      <c r="E706" s="44"/>
      <c r="F706" s="44"/>
      <c r="G706" s="44"/>
      <c r="H706" s="44"/>
      <c r="I706" s="44"/>
      <c r="J706" s="44"/>
      <c r="K706" s="44"/>
      <c r="L706" s="44"/>
      <c r="M706" s="44"/>
      <c r="N706" s="44"/>
      <c r="O706" s="44"/>
    </row>
    <row r="707" spans="1:15" ht="17.25" customHeight="1">
      <c r="A707" s="44"/>
      <c r="B707" s="44"/>
      <c r="C707" s="44"/>
      <c r="D707" s="44"/>
      <c r="E707" s="44"/>
      <c r="F707" s="44"/>
      <c r="G707" s="44"/>
      <c r="H707" s="44"/>
      <c r="I707" s="44"/>
      <c r="J707" s="44"/>
      <c r="K707" s="44"/>
      <c r="L707" s="44"/>
      <c r="M707" s="44"/>
      <c r="N707" s="44"/>
      <c r="O707" s="44"/>
    </row>
    <row r="708" spans="1:15" ht="17.25" customHeight="1">
      <c r="A708" s="44"/>
      <c r="B708" s="44"/>
      <c r="C708" s="44"/>
      <c r="D708" s="44"/>
      <c r="E708" s="44"/>
      <c r="F708" s="44"/>
      <c r="G708" s="44"/>
      <c r="H708" s="44"/>
      <c r="I708" s="44"/>
      <c r="J708" s="44"/>
      <c r="K708" s="44"/>
      <c r="L708" s="44"/>
      <c r="M708" s="44"/>
      <c r="N708" s="44"/>
      <c r="O708" s="44"/>
    </row>
    <row r="709" spans="1:15" ht="17.25" customHeight="1">
      <c r="A709" s="44"/>
      <c r="B709" s="44"/>
      <c r="C709" s="44"/>
      <c r="D709" s="44"/>
      <c r="E709" s="44"/>
      <c r="F709" s="44"/>
      <c r="G709" s="44"/>
      <c r="H709" s="44"/>
      <c r="I709" s="44"/>
      <c r="J709" s="44"/>
      <c r="K709" s="44"/>
      <c r="L709" s="44"/>
      <c r="M709" s="44"/>
      <c r="N709" s="44"/>
      <c r="O709" s="44"/>
    </row>
    <row r="710" spans="1:15" ht="17.25" customHeight="1">
      <c r="A710" s="44"/>
      <c r="B710" s="44"/>
      <c r="C710" s="44"/>
      <c r="D710" s="44"/>
      <c r="E710" s="44"/>
      <c r="F710" s="44"/>
      <c r="G710" s="44"/>
      <c r="H710" s="44"/>
      <c r="I710" s="44"/>
      <c r="J710" s="44"/>
      <c r="K710" s="44"/>
      <c r="L710" s="44"/>
      <c r="M710" s="44"/>
      <c r="N710" s="44"/>
      <c r="O710" s="44"/>
    </row>
    <row r="711" spans="1:15" ht="17.25" customHeight="1">
      <c r="A711" s="44"/>
      <c r="B711" s="44"/>
      <c r="C711" s="44"/>
      <c r="D711" s="44"/>
      <c r="E711" s="44"/>
      <c r="F711" s="44"/>
      <c r="G711" s="44"/>
      <c r="H711" s="44"/>
      <c r="I711" s="44"/>
      <c r="J711" s="44"/>
      <c r="K711" s="44"/>
      <c r="L711" s="44"/>
      <c r="M711" s="44"/>
      <c r="N711" s="44"/>
      <c r="O711" s="44"/>
    </row>
    <row r="712" spans="1:15" ht="17.25" customHeight="1">
      <c r="A712" s="44"/>
      <c r="B712" s="44"/>
      <c r="C712" s="44"/>
      <c r="D712" s="44"/>
      <c r="E712" s="44"/>
      <c r="F712" s="44"/>
      <c r="G712" s="44"/>
      <c r="H712" s="44"/>
      <c r="I712" s="44"/>
      <c r="J712" s="44"/>
      <c r="K712" s="44"/>
      <c r="L712" s="44"/>
      <c r="M712" s="44"/>
      <c r="N712" s="44"/>
      <c r="O712" s="44"/>
    </row>
    <row r="713" spans="1:15" ht="17.25" customHeight="1">
      <c r="A713" s="44"/>
      <c r="B713" s="44"/>
      <c r="C713" s="44"/>
      <c r="D713" s="44"/>
      <c r="E713" s="44"/>
      <c r="F713" s="44"/>
      <c r="G713" s="44"/>
      <c r="H713" s="44"/>
      <c r="I713" s="44"/>
      <c r="J713" s="44"/>
      <c r="K713" s="44"/>
      <c r="L713" s="44"/>
      <c r="M713" s="44"/>
      <c r="N713" s="44"/>
      <c r="O713" s="44"/>
    </row>
    <row r="714" spans="1:15" ht="17.25" customHeight="1">
      <c r="A714" s="44"/>
      <c r="B714" s="44"/>
      <c r="C714" s="44"/>
      <c r="D714" s="44"/>
      <c r="E714" s="44"/>
      <c r="F714" s="44"/>
      <c r="G714" s="44"/>
      <c r="H714" s="44"/>
      <c r="I714" s="44"/>
      <c r="J714" s="44"/>
      <c r="K714" s="44"/>
      <c r="L714" s="44"/>
      <c r="M714" s="44"/>
      <c r="N714" s="44"/>
      <c r="O714" s="44"/>
    </row>
    <row r="715" spans="1:15" ht="17.25" customHeight="1">
      <c r="A715" s="44"/>
      <c r="B715" s="44"/>
      <c r="C715" s="44"/>
      <c r="D715" s="44"/>
      <c r="E715" s="44"/>
      <c r="F715" s="44"/>
      <c r="G715" s="44"/>
      <c r="H715" s="44"/>
      <c r="I715" s="44"/>
      <c r="J715" s="44"/>
      <c r="K715" s="44"/>
      <c r="L715" s="44"/>
      <c r="M715" s="44"/>
      <c r="N715" s="44"/>
      <c r="O715" s="44"/>
    </row>
    <row r="716" spans="1:15" ht="17.25" customHeight="1">
      <c r="A716" s="44"/>
      <c r="B716" s="44"/>
      <c r="C716" s="44"/>
      <c r="D716" s="44"/>
      <c r="E716" s="44"/>
      <c r="F716" s="44"/>
      <c r="G716" s="44"/>
      <c r="H716" s="44"/>
      <c r="I716" s="44"/>
      <c r="J716" s="44"/>
      <c r="K716" s="44"/>
      <c r="L716" s="44"/>
      <c r="M716" s="44"/>
      <c r="N716" s="44"/>
      <c r="O716" s="44"/>
    </row>
    <row r="717" spans="1:15" ht="17.25" customHeight="1">
      <c r="A717" s="44"/>
      <c r="B717" s="44"/>
      <c r="C717" s="44"/>
      <c r="D717" s="44"/>
      <c r="E717" s="44"/>
      <c r="F717" s="44"/>
      <c r="G717" s="44"/>
      <c r="H717" s="44"/>
      <c r="I717" s="44"/>
      <c r="J717" s="44"/>
      <c r="K717" s="44"/>
      <c r="L717" s="44"/>
      <c r="M717" s="44"/>
      <c r="N717" s="44"/>
      <c r="O717" s="44"/>
    </row>
    <row r="718" spans="1:15" ht="17.25" customHeight="1">
      <c r="A718" s="44"/>
      <c r="B718" s="44"/>
      <c r="C718" s="44"/>
      <c r="D718" s="44"/>
      <c r="E718" s="44"/>
      <c r="F718" s="44"/>
      <c r="G718" s="44"/>
      <c r="H718" s="44"/>
      <c r="I718" s="44"/>
      <c r="J718" s="44"/>
      <c r="K718" s="44"/>
      <c r="L718" s="44"/>
      <c r="M718" s="44"/>
      <c r="N718" s="44"/>
      <c r="O718" s="44"/>
    </row>
    <row r="719" spans="1:15" ht="17.25" customHeight="1">
      <c r="A719" s="44"/>
      <c r="B719" s="44"/>
      <c r="C719" s="44"/>
      <c r="D719" s="44"/>
      <c r="E719" s="44"/>
      <c r="F719" s="44"/>
      <c r="G719" s="44"/>
      <c r="H719" s="44"/>
      <c r="I719" s="44"/>
      <c r="J719" s="44"/>
      <c r="K719" s="44"/>
      <c r="L719" s="44"/>
      <c r="M719" s="44"/>
      <c r="N719" s="44"/>
      <c r="O719" s="44"/>
    </row>
    <row r="720" spans="1:15" ht="17.25" customHeight="1">
      <c r="A720" s="44"/>
      <c r="B720" s="44"/>
      <c r="C720" s="44"/>
      <c r="D720" s="44"/>
      <c r="E720" s="44"/>
      <c r="F720" s="44"/>
      <c r="G720" s="44"/>
      <c r="H720" s="44"/>
      <c r="I720" s="44"/>
      <c r="J720" s="44"/>
      <c r="K720" s="44"/>
      <c r="L720" s="44"/>
      <c r="M720" s="44"/>
      <c r="N720" s="44"/>
      <c r="O720" s="44"/>
    </row>
    <row r="721" spans="1:15" ht="17.25" customHeight="1">
      <c r="A721" s="44"/>
      <c r="B721" s="44"/>
      <c r="C721" s="44"/>
      <c r="D721" s="44"/>
      <c r="E721" s="44"/>
      <c r="F721" s="44"/>
      <c r="G721" s="44"/>
      <c r="H721" s="44"/>
      <c r="I721" s="44"/>
      <c r="J721" s="44"/>
      <c r="K721" s="44"/>
      <c r="L721" s="44"/>
      <c r="M721" s="44"/>
      <c r="N721" s="44"/>
      <c r="O721" s="44"/>
    </row>
    <row r="722" spans="1:15" ht="17.25" customHeight="1">
      <c r="A722" s="44"/>
      <c r="B722" s="44"/>
      <c r="C722" s="44"/>
      <c r="D722" s="44"/>
      <c r="E722" s="44"/>
      <c r="F722" s="44"/>
      <c r="G722" s="44"/>
      <c r="H722" s="44"/>
      <c r="I722" s="44"/>
      <c r="J722" s="44"/>
      <c r="K722" s="44"/>
      <c r="L722" s="44"/>
      <c r="M722" s="44"/>
      <c r="N722" s="44"/>
      <c r="O722" s="44"/>
    </row>
    <row r="723" spans="1:15" ht="17.25" customHeight="1">
      <c r="A723" s="44"/>
      <c r="B723" s="44"/>
      <c r="C723" s="44"/>
      <c r="D723" s="44"/>
      <c r="E723" s="44"/>
      <c r="F723" s="44"/>
      <c r="G723" s="44"/>
      <c r="H723" s="44"/>
      <c r="I723" s="44"/>
      <c r="J723" s="44"/>
      <c r="K723" s="44"/>
      <c r="L723" s="44"/>
      <c r="M723" s="44"/>
      <c r="N723" s="44"/>
      <c r="O723" s="44"/>
    </row>
    <row r="724" spans="1:15" ht="17.25" customHeight="1">
      <c r="A724" s="44"/>
      <c r="B724" s="44"/>
      <c r="C724" s="44"/>
      <c r="D724" s="44"/>
      <c r="E724" s="44"/>
      <c r="F724" s="44"/>
      <c r="G724" s="44"/>
      <c r="H724" s="44"/>
      <c r="I724" s="44"/>
      <c r="J724" s="44"/>
      <c r="K724" s="44"/>
      <c r="L724" s="44"/>
      <c r="M724" s="44"/>
      <c r="N724" s="44"/>
      <c r="O724" s="44"/>
    </row>
    <row r="725" spans="1:15" ht="17.25" customHeight="1">
      <c r="A725" s="44"/>
      <c r="B725" s="44"/>
      <c r="C725" s="44"/>
      <c r="D725" s="44"/>
      <c r="E725" s="44"/>
      <c r="F725" s="44"/>
      <c r="G725" s="44"/>
      <c r="H725" s="44"/>
      <c r="I725" s="44"/>
      <c r="J725" s="44"/>
      <c r="K725" s="44"/>
      <c r="L725" s="44"/>
      <c r="M725" s="44"/>
      <c r="N725" s="44"/>
      <c r="O725" s="44"/>
    </row>
    <row r="726" spans="1:15" ht="17.25" customHeight="1">
      <c r="A726" s="44"/>
      <c r="B726" s="44"/>
      <c r="C726" s="44"/>
      <c r="D726" s="44"/>
      <c r="E726" s="44"/>
      <c r="F726" s="44"/>
      <c r="G726" s="44"/>
      <c r="H726" s="44"/>
      <c r="I726" s="44"/>
      <c r="J726" s="44"/>
      <c r="K726" s="44"/>
      <c r="L726" s="44"/>
      <c r="M726" s="44"/>
      <c r="N726" s="44"/>
      <c r="O726" s="44"/>
    </row>
    <row r="727" spans="1:15" ht="17.25" customHeight="1">
      <c r="A727" s="44"/>
      <c r="B727" s="44"/>
      <c r="C727" s="44"/>
      <c r="D727" s="44"/>
      <c r="E727" s="44"/>
      <c r="F727" s="44"/>
      <c r="G727" s="44"/>
      <c r="H727" s="44"/>
      <c r="I727" s="44"/>
      <c r="J727" s="44"/>
      <c r="K727" s="44"/>
      <c r="L727" s="44"/>
      <c r="M727" s="44"/>
      <c r="N727" s="44"/>
      <c r="O727" s="44"/>
    </row>
    <row r="728" spans="1:15" ht="17.25" customHeight="1">
      <c r="A728" s="44"/>
      <c r="B728" s="44"/>
      <c r="C728" s="44"/>
      <c r="D728" s="44"/>
      <c r="E728" s="44"/>
      <c r="F728" s="44"/>
      <c r="G728" s="44"/>
      <c r="H728" s="44"/>
      <c r="I728" s="44"/>
      <c r="J728" s="44"/>
      <c r="K728" s="44"/>
      <c r="L728" s="44"/>
      <c r="M728" s="44"/>
      <c r="N728" s="44"/>
      <c r="O728" s="44"/>
    </row>
    <row r="729" spans="1:15" ht="17.25" customHeight="1">
      <c r="A729" s="44"/>
      <c r="B729" s="44"/>
      <c r="C729" s="44"/>
      <c r="D729" s="44"/>
      <c r="E729" s="44"/>
      <c r="F729" s="44"/>
      <c r="G729" s="44"/>
      <c r="H729" s="44"/>
      <c r="I729" s="44"/>
      <c r="J729" s="44"/>
      <c r="K729" s="44"/>
      <c r="L729" s="44"/>
      <c r="M729" s="44"/>
      <c r="N729" s="44"/>
      <c r="O729" s="44"/>
    </row>
    <row r="730" spans="1:15" ht="17.25" customHeight="1">
      <c r="A730" s="44"/>
      <c r="B730" s="44"/>
      <c r="C730" s="44"/>
      <c r="D730" s="44"/>
      <c r="E730" s="44"/>
      <c r="F730" s="44"/>
      <c r="G730" s="44"/>
      <c r="H730" s="44"/>
      <c r="I730" s="44"/>
      <c r="J730" s="44"/>
      <c r="K730" s="44"/>
      <c r="L730" s="44"/>
      <c r="M730" s="44"/>
      <c r="N730" s="44"/>
      <c r="O730" s="44"/>
    </row>
    <row r="731" spans="1:15" ht="17.25" customHeight="1">
      <c r="A731" s="44"/>
      <c r="B731" s="44"/>
      <c r="C731" s="44"/>
      <c r="D731" s="44"/>
      <c r="E731" s="44"/>
      <c r="F731" s="44"/>
      <c r="G731" s="44"/>
      <c r="H731" s="44"/>
      <c r="I731" s="44"/>
      <c r="J731" s="44"/>
      <c r="K731" s="44"/>
      <c r="L731" s="44"/>
      <c r="M731" s="44"/>
      <c r="N731" s="44"/>
      <c r="O731" s="44"/>
    </row>
    <row r="732" spans="1:15" ht="17.25" customHeight="1">
      <c r="A732" s="44"/>
      <c r="B732" s="44"/>
      <c r="C732" s="44"/>
      <c r="D732" s="44"/>
      <c r="E732" s="44"/>
      <c r="F732" s="44"/>
      <c r="G732" s="44"/>
      <c r="H732" s="44"/>
      <c r="I732" s="44"/>
      <c r="J732" s="44"/>
      <c r="K732" s="44"/>
      <c r="L732" s="44"/>
      <c r="M732" s="44"/>
      <c r="N732" s="44"/>
      <c r="O732" s="44"/>
    </row>
    <row r="733" spans="1:15" ht="17.25" customHeight="1">
      <c r="A733" s="44"/>
      <c r="B733" s="44"/>
      <c r="C733" s="44"/>
      <c r="D733" s="44"/>
      <c r="E733" s="44"/>
      <c r="F733" s="44"/>
      <c r="G733" s="44"/>
      <c r="H733" s="44"/>
      <c r="I733" s="44"/>
      <c r="J733" s="44"/>
      <c r="K733" s="44"/>
      <c r="L733" s="44"/>
      <c r="M733" s="44"/>
      <c r="N733" s="44"/>
      <c r="O733" s="44"/>
    </row>
    <row r="734" spans="1:15" ht="17.25" customHeight="1">
      <c r="A734" s="44"/>
      <c r="B734" s="44"/>
      <c r="C734" s="44"/>
      <c r="D734" s="44"/>
      <c r="E734" s="44"/>
      <c r="F734" s="44"/>
      <c r="G734" s="44"/>
      <c r="H734" s="44"/>
      <c r="I734" s="44"/>
      <c r="J734" s="44"/>
      <c r="K734" s="44"/>
      <c r="L734" s="44"/>
      <c r="M734" s="44"/>
      <c r="N734" s="44"/>
      <c r="O734" s="44"/>
    </row>
    <row r="735" spans="1:15" ht="17.25" customHeight="1">
      <c r="A735" s="44"/>
      <c r="B735" s="44"/>
      <c r="C735" s="44"/>
      <c r="D735" s="44"/>
      <c r="E735" s="44"/>
      <c r="F735" s="44"/>
      <c r="G735" s="44"/>
      <c r="H735" s="44"/>
      <c r="I735" s="44"/>
      <c r="J735" s="44"/>
      <c r="K735" s="44"/>
      <c r="L735" s="44"/>
      <c r="M735" s="44"/>
      <c r="N735" s="44"/>
      <c r="O735" s="44"/>
    </row>
    <row r="736" spans="1:15" ht="17.25" customHeight="1">
      <c r="A736" s="44"/>
      <c r="B736" s="44"/>
      <c r="C736" s="44"/>
      <c r="D736" s="44"/>
      <c r="E736" s="44"/>
      <c r="F736" s="44"/>
      <c r="G736" s="44"/>
      <c r="H736" s="44"/>
      <c r="I736" s="44"/>
      <c r="J736" s="44"/>
      <c r="K736" s="44"/>
      <c r="L736" s="44"/>
      <c r="M736" s="44"/>
      <c r="N736" s="44"/>
      <c r="O736" s="44"/>
    </row>
    <row r="737" spans="1:15" ht="17.25" customHeight="1">
      <c r="A737" s="44"/>
      <c r="B737" s="44"/>
      <c r="C737" s="44"/>
      <c r="D737" s="44"/>
      <c r="E737" s="44"/>
      <c r="F737" s="44"/>
      <c r="G737" s="44"/>
      <c r="H737" s="44"/>
      <c r="I737" s="44"/>
      <c r="J737" s="44"/>
      <c r="K737" s="44"/>
      <c r="L737" s="44"/>
      <c r="M737" s="44"/>
      <c r="N737" s="44"/>
      <c r="O737" s="44"/>
    </row>
    <row r="738" spans="1:15" ht="17.25" customHeight="1">
      <c r="A738" s="44"/>
      <c r="B738" s="44"/>
      <c r="C738" s="44"/>
      <c r="D738" s="44"/>
      <c r="E738" s="44"/>
      <c r="F738" s="44"/>
      <c r="G738" s="44"/>
      <c r="H738" s="44"/>
      <c r="I738" s="44"/>
      <c r="J738" s="44"/>
      <c r="K738" s="44"/>
      <c r="L738" s="44"/>
      <c r="M738" s="44"/>
      <c r="N738" s="44"/>
      <c r="O738" s="44"/>
    </row>
    <row r="739" spans="1:15" ht="17.25" customHeight="1">
      <c r="A739" s="44"/>
      <c r="B739" s="44"/>
      <c r="C739" s="44"/>
      <c r="D739" s="44"/>
      <c r="E739" s="44"/>
      <c r="F739" s="44"/>
      <c r="G739" s="44"/>
      <c r="H739" s="44"/>
      <c r="I739" s="44"/>
      <c r="J739" s="44"/>
      <c r="K739" s="44"/>
      <c r="L739" s="44"/>
      <c r="M739" s="44"/>
      <c r="N739" s="44"/>
      <c r="O739" s="44"/>
    </row>
    <row r="740" spans="1:15" ht="17.25" customHeight="1">
      <c r="A740" s="44"/>
      <c r="B740" s="44"/>
      <c r="C740" s="44"/>
      <c r="D740" s="44"/>
      <c r="E740" s="44"/>
      <c r="F740" s="44"/>
      <c r="G740" s="44"/>
      <c r="H740" s="44"/>
      <c r="I740" s="44"/>
      <c r="J740" s="44"/>
      <c r="K740" s="44"/>
      <c r="L740" s="44"/>
      <c r="M740" s="44"/>
      <c r="N740" s="44"/>
      <c r="O740" s="44"/>
    </row>
    <row r="741" spans="1:15" ht="17.25" customHeight="1">
      <c r="A741" s="44"/>
      <c r="B741" s="44"/>
      <c r="C741" s="44"/>
      <c r="D741" s="44"/>
      <c r="E741" s="44"/>
      <c r="F741" s="44"/>
      <c r="G741" s="44"/>
      <c r="H741" s="44"/>
      <c r="I741" s="44"/>
      <c r="J741" s="44"/>
      <c r="K741" s="44"/>
      <c r="L741" s="44"/>
      <c r="M741" s="44"/>
      <c r="N741" s="44"/>
      <c r="O741" s="44"/>
    </row>
    <row r="742" spans="1:15" ht="17.25" customHeight="1">
      <c r="A742" s="44"/>
      <c r="B742" s="44"/>
      <c r="C742" s="44"/>
      <c r="D742" s="44"/>
      <c r="E742" s="44"/>
      <c r="F742" s="44"/>
      <c r="G742" s="44"/>
      <c r="H742" s="44"/>
      <c r="I742" s="44"/>
      <c r="J742" s="44"/>
      <c r="K742" s="44"/>
      <c r="L742" s="44"/>
      <c r="M742" s="44"/>
      <c r="N742" s="44"/>
      <c r="O742" s="44"/>
    </row>
    <row r="743" spans="1:15" ht="17.25" customHeight="1">
      <c r="A743" s="44"/>
      <c r="B743" s="44"/>
      <c r="C743" s="44"/>
      <c r="D743" s="44"/>
      <c r="E743" s="44"/>
      <c r="F743" s="44"/>
      <c r="G743" s="44"/>
      <c r="H743" s="44"/>
      <c r="I743" s="44"/>
      <c r="J743" s="44"/>
      <c r="K743" s="44"/>
      <c r="L743" s="44"/>
      <c r="M743" s="44"/>
      <c r="N743" s="44"/>
      <c r="O743" s="44"/>
    </row>
    <row r="744" spans="1:15" ht="17.25" customHeight="1">
      <c r="A744" s="44"/>
      <c r="B744" s="44"/>
      <c r="C744" s="44"/>
      <c r="D744" s="44"/>
      <c r="E744" s="44"/>
      <c r="F744" s="44"/>
      <c r="G744" s="44"/>
      <c r="H744" s="44"/>
      <c r="I744" s="44"/>
      <c r="J744" s="44"/>
      <c r="K744" s="44"/>
      <c r="L744" s="44"/>
      <c r="M744" s="44"/>
      <c r="N744" s="44"/>
      <c r="O744" s="44"/>
    </row>
    <row r="745" spans="1:15" ht="17.25" customHeight="1">
      <c r="A745" s="44"/>
      <c r="B745" s="44"/>
      <c r="C745" s="44"/>
      <c r="D745" s="44"/>
      <c r="E745" s="44"/>
      <c r="F745" s="44"/>
      <c r="G745" s="44"/>
      <c r="H745" s="44"/>
      <c r="I745" s="44"/>
      <c r="J745" s="44"/>
      <c r="K745" s="44"/>
      <c r="L745" s="44"/>
      <c r="M745" s="44"/>
      <c r="N745" s="44"/>
      <c r="O745" s="44"/>
    </row>
    <row r="746" spans="1:15" ht="17.25" customHeight="1">
      <c r="A746" s="44"/>
      <c r="B746" s="44"/>
      <c r="C746" s="44"/>
      <c r="D746" s="44"/>
      <c r="E746" s="44"/>
      <c r="F746" s="44"/>
      <c r="G746" s="44"/>
      <c r="H746" s="44"/>
      <c r="I746" s="44"/>
      <c r="J746" s="44"/>
      <c r="K746" s="44"/>
      <c r="L746" s="44"/>
      <c r="M746" s="44"/>
      <c r="N746" s="44"/>
      <c r="O746" s="44"/>
    </row>
    <row r="747" spans="1:15" ht="17.25" customHeight="1">
      <c r="A747" s="44"/>
      <c r="B747" s="44"/>
      <c r="C747" s="44"/>
      <c r="D747" s="44"/>
      <c r="E747" s="44"/>
      <c r="F747" s="44"/>
      <c r="G747" s="44"/>
      <c r="H747" s="44"/>
      <c r="I747" s="44"/>
      <c r="J747" s="44"/>
      <c r="K747" s="44"/>
      <c r="L747" s="44"/>
      <c r="M747" s="44"/>
      <c r="N747" s="44"/>
      <c r="O747" s="44"/>
    </row>
    <row r="748" spans="1:15" ht="17.25" customHeight="1">
      <c r="A748" s="44"/>
      <c r="B748" s="44"/>
      <c r="C748" s="44"/>
      <c r="D748" s="44"/>
      <c r="E748" s="44"/>
      <c r="F748" s="44"/>
      <c r="G748" s="44"/>
      <c r="H748" s="44"/>
      <c r="I748" s="44"/>
      <c r="J748" s="44"/>
      <c r="K748" s="44"/>
      <c r="L748" s="44"/>
      <c r="M748" s="44"/>
      <c r="N748" s="44"/>
      <c r="O748" s="44"/>
    </row>
    <row r="749" spans="1:15" ht="17.25" customHeight="1">
      <c r="A749" s="44"/>
      <c r="B749" s="44"/>
      <c r="C749" s="44"/>
      <c r="D749" s="44"/>
      <c r="E749" s="44"/>
      <c r="F749" s="44"/>
      <c r="G749" s="44"/>
      <c r="H749" s="44"/>
      <c r="I749" s="44"/>
      <c r="J749" s="44"/>
      <c r="K749" s="44"/>
      <c r="L749" s="44"/>
      <c r="M749" s="44"/>
      <c r="N749" s="44"/>
      <c r="O749" s="44"/>
    </row>
    <row r="750" spans="1:15" ht="17.25" customHeight="1">
      <c r="A750" s="44"/>
      <c r="B750" s="44"/>
      <c r="C750" s="44"/>
      <c r="D750" s="44"/>
      <c r="E750" s="44"/>
      <c r="F750" s="44"/>
      <c r="G750" s="44"/>
      <c r="H750" s="44"/>
      <c r="I750" s="44"/>
      <c r="J750" s="44"/>
      <c r="K750" s="44"/>
      <c r="L750" s="44"/>
      <c r="M750" s="44"/>
      <c r="N750" s="44"/>
      <c r="O750" s="44"/>
    </row>
    <row r="751" spans="1:15" ht="17.25" customHeight="1">
      <c r="A751" s="44"/>
      <c r="B751" s="44"/>
      <c r="C751" s="44"/>
      <c r="D751" s="44"/>
      <c r="E751" s="44"/>
      <c r="F751" s="44"/>
      <c r="G751" s="44"/>
      <c r="H751" s="44"/>
      <c r="I751" s="44"/>
      <c r="J751" s="44"/>
      <c r="K751" s="44"/>
      <c r="L751" s="44"/>
      <c r="M751" s="44"/>
      <c r="N751" s="44"/>
      <c r="O751" s="44"/>
    </row>
    <row r="752" spans="1:15" ht="17.25" customHeight="1">
      <c r="A752" s="44"/>
      <c r="B752" s="44"/>
      <c r="C752" s="44"/>
      <c r="D752" s="44"/>
      <c r="E752" s="44"/>
      <c r="F752" s="44"/>
      <c r="G752" s="44"/>
      <c r="H752" s="44"/>
      <c r="I752" s="44"/>
      <c r="J752" s="44"/>
      <c r="K752" s="44"/>
      <c r="L752" s="44"/>
      <c r="M752" s="44"/>
      <c r="N752" s="44"/>
      <c r="O752" s="44"/>
    </row>
    <row r="753" spans="1:15" ht="17.25" customHeight="1">
      <c r="A753" s="44"/>
      <c r="B753" s="44"/>
      <c r="C753" s="44"/>
      <c r="D753" s="44"/>
      <c r="E753" s="44"/>
      <c r="F753" s="44"/>
      <c r="G753" s="44"/>
      <c r="H753" s="44"/>
      <c r="I753" s="44"/>
      <c r="J753" s="44"/>
      <c r="K753" s="44"/>
      <c r="L753" s="44"/>
      <c r="M753" s="44"/>
      <c r="N753" s="44"/>
      <c r="O753" s="44"/>
    </row>
    <row r="754" spans="1:15" ht="17.25" customHeight="1">
      <c r="A754" s="44"/>
      <c r="B754" s="44"/>
      <c r="C754" s="44"/>
      <c r="D754" s="44"/>
      <c r="E754" s="44"/>
      <c r="F754" s="44"/>
      <c r="G754" s="44"/>
      <c r="H754" s="44"/>
      <c r="I754" s="44"/>
      <c r="J754" s="44"/>
      <c r="K754" s="44"/>
      <c r="L754" s="44"/>
      <c r="M754" s="44"/>
      <c r="N754" s="44"/>
      <c r="O754" s="44"/>
    </row>
    <row r="755" spans="1:15" ht="17.25" customHeight="1">
      <c r="A755" s="44"/>
      <c r="B755" s="44"/>
      <c r="C755" s="44"/>
      <c r="D755" s="44"/>
      <c r="E755" s="44"/>
      <c r="F755" s="44"/>
      <c r="G755" s="44"/>
      <c r="H755" s="44"/>
      <c r="I755" s="44"/>
      <c r="J755" s="44"/>
      <c r="K755" s="44"/>
      <c r="L755" s="44"/>
      <c r="M755" s="44"/>
      <c r="N755" s="44"/>
      <c r="O755" s="44"/>
    </row>
    <row r="756" spans="1:15" ht="17.25" customHeight="1">
      <c r="A756" s="44"/>
      <c r="B756" s="44"/>
      <c r="C756" s="44"/>
      <c r="D756" s="44"/>
      <c r="E756" s="44"/>
      <c r="F756" s="44"/>
      <c r="G756" s="44"/>
      <c r="H756" s="44"/>
      <c r="I756" s="44"/>
      <c r="J756" s="44"/>
      <c r="K756" s="44"/>
      <c r="L756" s="44"/>
      <c r="M756" s="44"/>
      <c r="N756" s="44"/>
      <c r="O756" s="44"/>
    </row>
    <row r="757" spans="1:15" ht="17.25" customHeight="1">
      <c r="A757" s="44"/>
      <c r="B757" s="44"/>
      <c r="C757" s="44"/>
      <c r="D757" s="44"/>
      <c r="E757" s="44"/>
      <c r="F757" s="44"/>
      <c r="G757" s="44"/>
      <c r="H757" s="44"/>
      <c r="I757" s="44"/>
      <c r="J757" s="44"/>
      <c r="K757" s="44"/>
      <c r="L757" s="44"/>
      <c r="M757" s="44"/>
      <c r="N757" s="44"/>
      <c r="O757" s="44"/>
    </row>
    <row r="758" spans="1:15" ht="17.25" customHeight="1">
      <c r="A758" s="44"/>
      <c r="B758" s="44"/>
      <c r="C758" s="44"/>
      <c r="D758" s="44"/>
      <c r="E758" s="44"/>
      <c r="F758" s="44"/>
      <c r="G758" s="44"/>
      <c r="H758" s="44"/>
      <c r="I758" s="44"/>
      <c r="J758" s="44"/>
      <c r="K758" s="44"/>
      <c r="L758" s="44"/>
      <c r="M758" s="44"/>
      <c r="N758" s="44"/>
      <c r="O758" s="44"/>
    </row>
    <row r="759" spans="1:15" ht="17.25" customHeight="1">
      <c r="A759" s="44"/>
      <c r="B759" s="44"/>
      <c r="C759" s="44"/>
      <c r="D759" s="44"/>
      <c r="E759" s="44"/>
      <c r="F759" s="44"/>
      <c r="G759" s="44"/>
      <c r="H759" s="44"/>
      <c r="I759" s="44"/>
      <c r="J759" s="44"/>
      <c r="K759" s="44"/>
      <c r="L759" s="44"/>
      <c r="M759" s="44"/>
      <c r="N759" s="44"/>
      <c r="O759" s="44"/>
    </row>
    <row r="760" spans="1:15" ht="17.25" customHeight="1">
      <c r="A760" s="44"/>
      <c r="B760" s="44"/>
      <c r="C760" s="44"/>
      <c r="D760" s="44"/>
      <c r="E760" s="44"/>
      <c r="F760" s="44"/>
      <c r="G760" s="44"/>
      <c r="H760" s="44"/>
      <c r="I760" s="44"/>
      <c r="J760" s="44"/>
      <c r="K760" s="44"/>
      <c r="L760" s="44"/>
      <c r="M760" s="44"/>
      <c r="N760" s="44"/>
      <c r="O760" s="44"/>
    </row>
    <row r="761" spans="1:15" ht="17.25" customHeight="1">
      <c r="A761" s="44"/>
      <c r="B761" s="44"/>
      <c r="C761" s="44"/>
      <c r="D761" s="44"/>
      <c r="E761" s="44"/>
      <c r="F761" s="44"/>
      <c r="G761" s="44"/>
      <c r="H761" s="44"/>
      <c r="I761" s="44"/>
      <c r="J761" s="44"/>
      <c r="K761" s="44"/>
      <c r="L761" s="44"/>
      <c r="M761" s="44"/>
      <c r="N761" s="44"/>
      <c r="O761" s="44"/>
    </row>
    <row r="762" spans="1:15" ht="17.25" customHeight="1">
      <c r="A762" s="44"/>
      <c r="B762" s="44"/>
      <c r="C762" s="44"/>
      <c r="D762" s="44"/>
      <c r="E762" s="44"/>
      <c r="F762" s="44"/>
      <c r="G762" s="44"/>
      <c r="H762" s="44"/>
      <c r="I762" s="44"/>
      <c r="J762" s="44"/>
      <c r="K762" s="44"/>
      <c r="L762" s="44"/>
      <c r="M762" s="44"/>
      <c r="N762" s="44"/>
      <c r="O762" s="44"/>
    </row>
    <row r="763" spans="1:15" ht="17.25" customHeight="1">
      <c r="A763" s="44"/>
      <c r="B763" s="44"/>
      <c r="C763" s="44"/>
      <c r="D763" s="44"/>
      <c r="E763" s="44"/>
      <c r="F763" s="44"/>
      <c r="G763" s="44"/>
      <c r="H763" s="44"/>
      <c r="I763" s="44"/>
      <c r="J763" s="44"/>
      <c r="K763" s="44"/>
      <c r="L763" s="44"/>
      <c r="M763" s="44"/>
      <c r="N763" s="44"/>
      <c r="O763" s="44"/>
    </row>
    <row r="764" spans="1:15" ht="17.25" customHeight="1">
      <c r="A764" s="44"/>
      <c r="B764" s="44"/>
      <c r="C764" s="44"/>
      <c r="D764" s="44"/>
      <c r="E764" s="44"/>
      <c r="F764" s="44"/>
      <c r="G764" s="44"/>
      <c r="H764" s="44"/>
      <c r="I764" s="44"/>
      <c r="J764" s="44"/>
      <c r="K764" s="44"/>
      <c r="L764" s="44"/>
      <c r="M764" s="44"/>
      <c r="N764" s="44"/>
      <c r="O764" s="44"/>
    </row>
    <row r="765" spans="1:15" ht="17.25" customHeight="1">
      <c r="A765" s="44"/>
      <c r="B765" s="44"/>
      <c r="C765" s="44"/>
      <c r="D765" s="44"/>
      <c r="E765" s="44"/>
      <c r="F765" s="44"/>
      <c r="G765" s="44"/>
      <c r="H765" s="44"/>
      <c r="I765" s="44"/>
      <c r="J765" s="44"/>
      <c r="K765" s="44"/>
      <c r="L765" s="44"/>
      <c r="M765" s="44"/>
      <c r="N765" s="44"/>
      <c r="O765" s="44"/>
    </row>
    <row r="766" spans="1:15" ht="17.25" customHeight="1">
      <c r="A766" s="44"/>
      <c r="B766" s="44"/>
      <c r="C766" s="44"/>
      <c r="D766" s="44"/>
      <c r="E766" s="44"/>
      <c r="F766" s="44"/>
      <c r="G766" s="44"/>
      <c r="H766" s="44"/>
      <c r="I766" s="44"/>
      <c r="J766" s="44"/>
      <c r="K766" s="44"/>
      <c r="L766" s="44"/>
      <c r="M766" s="44"/>
      <c r="N766" s="44"/>
      <c r="O766" s="44"/>
    </row>
    <row r="767" spans="1:15" ht="17.25" customHeight="1">
      <c r="A767" s="44"/>
      <c r="B767" s="44"/>
      <c r="C767" s="44"/>
      <c r="D767" s="44"/>
      <c r="E767" s="44"/>
      <c r="F767" s="44"/>
      <c r="G767" s="44"/>
      <c r="H767" s="44"/>
      <c r="I767" s="44"/>
      <c r="J767" s="44"/>
      <c r="K767" s="44"/>
      <c r="L767" s="44"/>
      <c r="M767" s="44"/>
      <c r="N767" s="44"/>
      <c r="O767" s="44"/>
    </row>
    <row r="768" spans="1:15" ht="17.25" customHeight="1">
      <c r="A768" s="44"/>
      <c r="B768" s="44"/>
      <c r="C768" s="44"/>
      <c r="D768" s="44"/>
      <c r="E768" s="44"/>
      <c r="F768" s="44"/>
      <c r="G768" s="44"/>
      <c r="H768" s="44"/>
      <c r="I768" s="44"/>
      <c r="J768" s="44"/>
      <c r="K768" s="44"/>
      <c r="L768" s="44"/>
      <c r="M768" s="44"/>
      <c r="N768" s="44"/>
      <c r="O768" s="44"/>
    </row>
    <row r="769" spans="1:15" ht="17.25" customHeight="1">
      <c r="A769" s="44"/>
      <c r="B769" s="44"/>
      <c r="C769" s="44"/>
      <c r="D769" s="44"/>
      <c r="E769" s="44"/>
      <c r="F769" s="44"/>
      <c r="G769" s="44"/>
      <c r="H769" s="44"/>
      <c r="I769" s="44"/>
      <c r="J769" s="44"/>
      <c r="K769" s="44"/>
      <c r="L769" s="44"/>
      <c r="M769" s="44"/>
      <c r="N769" s="44"/>
      <c r="O769" s="44"/>
    </row>
    <row r="770" spans="1:15" ht="17.25" customHeight="1">
      <c r="A770" s="44"/>
      <c r="B770" s="44"/>
      <c r="C770" s="44"/>
      <c r="D770" s="44"/>
      <c r="E770" s="44"/>
      <c r="F770" s="44"/>
      <c r="G770" s="44"/>
      <c r="H770" s="44"/>
      <c r="I770" s="44"/>
      <c r="J770" s="44"/>
      <c r="K770" s="44"/>
      <c r="L770" s="44"/>
      <c r="M770" s="44"/>
      <c r="N770" s="44"/>
      <c r="O770" s="44"/>
    </row>
    <row r="771" spans="1:15" ht="17.25" customHeight="1">
      <c r="A771" s="44"/>
      <c r="B771" s="44"/>
      <c r="C771" s="44"/>
      <c r="D771" s="44"/>
      <c r="E771" s="44"/>
      <c r="F771" s="44"/>
      <c r="G771" s="44"/>
      <c r="H771" s="44"/>
      <c r="I771" s="44"/>
      <c r="J771" s="44"/>
      <c r="K771" s="44"/>
      <c r="L771" s="44"/>
      <c r="M771" s="44"/>
      <c r="N771" s="44"/>
      <c r="O771" s="44"/>
    </row>
    <row r="772" spans="1:15" ht="17.25" customHeight="1">
      <c r="A772" s="44"/>
      <c r="B772" s="44"/>
      <c r="C772" s="44"/>
      <c r="D772" s="44"/>
      <c r="E772" s="44"/>
      <c r="F772" s="44"/>
      <c r="G772" s="44"/>
      <c r="H772" s="44"/>
      <c r="I772" s="44"/>
      <c r="J772" s="44"/>
      <c r="K772" s="44"/>
      <c r="L772" s="44"/>
      <c r="M772" s="44"/>
      <c r="N772" s="44"/>
      <c r="O772" s="44"/>
    </row>
    <row r="773" spans="1:15" ht="17.25" customHeight="1">
      <c r="A773" s="44"/>
      <c r="B773" s="44"/>
      <c r="C773" s="44"/>
      <c r="D773" s="44"/>
      <c r="E773" s="44"/>
      <c r="F773" s="44"/>
      <c r="G773" s="44"/>
      <c r="H773" s="44"/>
      <c r="I773" s="44"/>
      <c r="J773" s="44"/>
      <c r="K773" s="44"/>
      <c r="L773" s="44"/>
      <c r="M773" s="44"/>
      <c r="N773" s="44"/>
      <c r="O773" s="44"/>
    </row>
    <row r="774" spans="1:15" ht="17.25" customHeight="1">
      <c r="A774" s="44"/>
      <c r="B774" s="44"/>
      <c r="C774" s="44"/>
      <c r="D774" s="44"/>
      <c r="E774" s="44"/>
      <c r="F774" s="44"/>
      <c r="G774" s="44"/>
      <c r="H774" s="44"/>
      <c r="I774" s="44"/>
      <c r="J774" s="44"/>
      <c r="K774" s="44"/>
      <c r="L774" s="44"/>
      <c r="M774" s="44"/>
      <c r="N774" s="44"/>
      <c r="O774" s="44"/>
    </row>
    <row r="775" spans="1:15" ht="17.25" customHeight="1">
      <c r="A775" s="44"/>
      <c r="B775" s="44"/>
      <c r="C775" s="44"/>
      <c r="D775" s="44"/>
      <c r="E775" s="44"/>
      <c r="F775" s="44"/>
      <c r="G775" s="44"/>
      <c r="H775" s="44"/>
      <c r="I775" s="44"/>
      <c r="J775" s="44"/>
      <c r="K775" s="44"/>
      <c r="L775" s="44"/>
      <c r="M775" s="44"/>
      <c r="N775" s="44"/>
      <c r="O775" s="44"/>
    </row>
    <row r="776" spans="1:15" ht="17.25" customHeight="1">
      <c r="A776" s="44"/>
      <c r="B776" s="44"/>
      <c r="C776" s="44"/>
      <c r="D776" s="44"/>
      <c r="E776" s="44"/>
      <c r="F776" s="44"/>
      <c r="G776" s="44"/>
      <c r="H776" s="44"/>
      <c r="I776" s="44"/>
      <c r="J776" s="44"/>
      <c r="K776" s="44"/>
      <c r="L776" s="44"/>
      <c r="M776" s="44"/>
      <c r="N776" s="44"/>
      <c r="O776" s="44"/>
    </row>
    <row r="777" spans="1:15" ht="17.25" customHeight="1">
      <c r="A777" s="44"/>
      <c r="B777" s="44"/>
      <c r="C777" s="44"/>
      <c r="D777" s="44"/>
      <c r="E777" s="44"/>
      <c r="F777" s="44"/>
      <c r="G777" s="44"/>
      <c r="H777" s="44"/>
      <c r="I777" s="44"/>
      <c r="J777" s="44"/>
      <c r="K777" s="44"/>
      <c r="L777" s="44"/>
      <c r="M777" s="44"/>
      <c r="N777" s="44"/>
      <c r="O777" s="44"/>
    </row>
    <row r="778" spans="1:15" ht="17.25" customHeight="1">
      <c r="A778" s="44"/>
      <c r="B778" s="44"/>
      <c r="C778" s="44"/>
      <c r="D778" s="44"/>
      <c r="E778" s="44"/>
      <c r="F778" s="44"/>
      <c r="G778" s="44"/>
      <c r="H778" s="44"/>
      <c r="I778" s="44"/>
      <c r="J778" s="44"/>
      <c r="K778" s="44"/>
      <c r="L778" s="44"/>
      <c r="M778" s="44"/>
      <c r="N778" s="44"/>
      <c r="O778" s="44"/>
    </row>
    <row r="779" spans="1:15" ht="17.25" customHeight="1">
      <c r="A779" s="44"/>
      <c r="B779" s="44"/>
      <c r="C779" s="44"/>
      <c r="D779" s="44"/>
      <c r="E779" s="44"/>
      <c r="F779" s="44"/>
      <c r="G779" s="44"/>
      <c r="H779" s="44"/>
      <c r="I779" s="44"/>
      <c r="J779" s="44"/>
      <c r="K779" s="44"/>
      <c r="L779" s="44"/>
      <c r="M779" s="44"/>
      <c r="N779" s="44"/>
      <c r="O779" s="44"/>
    </row>
    <row r="780" spans="1:15" ht="17.25" customHeight="1">
      <c r="A780" s="44"/>
      <c r="B780" s="44"/>
      <c r="C780" s="44"/>
      <c r="D780" s="44"/>
      <c r="E780" s="44"/>
      <c r="F780" s="44"/>
      <c r="G780" s="44"/>
      <c r="H780" s="44"/>
      <c r="I780" s="44"/>
      <c r="J780" s="44"/>
      <c r="K780" s="44"/>
      <c r="L780" s="44"/>
      <c r="M780" s="44"/>
      <c r="N780" s="44"/>
      <c r="O780" s="44"/>
    </row>
    <row r="781" spans="1:15" ht="17.25" customHeight="1">
      <c r="A781" s="44"/>
      <c r="B781" s="44"/>
      <c r="C781" s="44"/>
      <c r="D781" s="44"/>
      <c r="E781" s="44"/>
      <c r="F781" s="44"/>
      <c r="G781" s="44"/>
      <c r="H781" s="44"/>
      <c r="I781" s="44"/>
      <c r="J781" s="44"/>
      <c r="K781" s="44"/>
      <c r="L781" s="44"/>
      <c r="M781" s="44"/>
      <c r="N781" s="44"/>
      <c r="O781" s="44"/>
    </row>
    <row r="782" spans="1:15" ht="17.25" customHeight="1">
      <c r="A782" s="44"/>
      <c r="B782" s="44"/>
      <c r="C782" s="44"/>
      <c r="D782" s="44"/>
      <c r="E782" s="44"/>
      <c r="F782" s="44"/>
      <c r="G782" s="44"/>
      <c r="H782" s="44"/>
      <c r="I782" s="44"/>
      <c r="J782" s="44"/>
      <c r="K782" s="44"/>
      <c r="L782" s="44"/>
      <c r="M782" s="44"/>
      <c r="N782" s="44"/>
      <c r="O782" s="44"/>
    </row>
    <row r="783" spans="1:15" ht="17.25" customHeight="1">
      <c r="A783" s="44"/>
      <c r="B783" s="44"/>
      <c r="C783" s="44"/>
      <c r="D783" s="44"/>
      <c r="E783" s="44"/>
      <c r="F783" s="44"/>
      <c r="G783" s="44"/>
      <c r="H783" s="44"/>
      <c r="I783" s="44"/>
      <c r="J783" s="44"/>
      <c r="K783" s="44"/>
      <c r="L783" s="44"/>
      <c r="M783" s="44"/>
      <c r="N783" s="44"/>
      <c r="O783" s="44"/>
    </row>
    <row r="784" spans="1:15" ht="17.25" customHeight="1">
      <c r="A784" s="44"/>
      <c r="B784" s="44"/>
      <c r="C784" s="44"/>
      <c r="D784" s="44"/>
      <c r="E784" s="44"/>
      <c r="F784" s="44"/>
      <c r="G784" s="44"/>
      <c r="H784" s="44"/>
      <c r="I784" s="44"/>
      <c r="J784" s="44"/>
      <c r="K784" s="44"/>
      <c r="L784" s="44"/>
      <c r="M784" s="44"/>
      <c r="N784" s="44"/>
      <c r="O784" s="44"/>
    </row>
    <row r="785" spans="1:15" ht="17.25" customHeight="1">
      <c r="A785" s="44"/>
      <c r="B785" s="44"/>
      <c r="C785" s="44"/>
      <c r="D785" s="44"/>
      <c r="E785" s="44"/>
      <c r="F785" s="44"/>
      <c r="G785" s="44"/>
      <c r="H785" s="44"/>
      <c r="I785" s="44"/>
      <c r="J785" s="44"/>
      <c r="K785" s="44"/>
      <c r="L785" s="44"/>
      <c r="M785" s="44"/>
      <c r="N785" s="44"/>
      <c r="O785" s="44"/>
    </row>
    <row r="786" spans="1:15" ht="17.25" customHeight="1">
      <c r="A786" s="44"/>
      <c r="B786" s="44"/>
      <c r="C786" s="44"/>
      <c r="D786" s="44"/>
      <c r="E786" s="44"/>
      <c r="F786" s="44"/>
      <c r="G786" s="44"/>
      <c r="H786" s="44"/>
      <c r="I786" s="44"/>
      <c r="J786" s="44"/>
      <c r="K786" s="44"/>
      <c r="L786" s="44"/>
      <c r="M786" s="44"/>
      <c r="N786" s="44"/>
      <c r="O786" s="44"/>
    </row>
    <row r="787" spans="1:15" ht="17.25" customHeight="1">
      <c r="A787" s="44"/>
      <c r="B787" s="44"/>
      <c r="C787" s="44"/>
      <c r="D787" s="44"/>
      <c r="E787" s="44"/>
      <c r="F787" s="44"/>
      <c r="G787" s="44"/>
      <c r="H787" s="44"/>
      <c r="I787" s="44"/>
      <c r="J787" s="44"/>
      <c r="K787" s="44"/>
      <c r="L787" s="44"/>
      <c r="M787" s="44"/>
      <c r="N787" s="44"/>
      <c r="O787" s="44"/>
    </row>
    <row r="788" spans="1:15" ht="17.25" customHeight="1">
      <c r="A788" s="44"/>
      <c r="B788" s="44"/>
      <c r="C788" s="44"/>
      <c r="D788" s="44"/>
      <c r="E788" s="44"/>
      <c r="F788" s="44"/>
      <c r="G788" s="44"/>
      <c r="H788" s="44"/>
      <c r="I788" s="44"/>
      <c r="J788" s="44"/>
      <c r="K788" s="44"/>
      <c r="L788" s="44"/>
      <c r="M788" s="44"/>
      <c r="N788" s="44"/>
      <c r="O788" s="44"/>
    </row>
    <row r="789" spans="1:15" ht="17.25" customHeight="1">
      <c r="A789" s="44"/>
      <c r="B789" s="44"/>
      <c r="C789" s="44"/>
      <c r="D789" s="44"/>
      <c r="E789" s="44"/>
      <c r="F789" s="44"/>
      <c r="G789" s="44"/>
      <c r="H789" s="44"/>
      <c r="I789" s="44"/>
      <c r="J789" s="44"/>
      <c r="K789" s="44"/>
      <c r="L789" s="44"/>
      <c r="M789" s="44"/>
      <c r="N789" s="44"/>
      <c r="O789" s="44"/>
    </row>
    <row r="790" spans="1:15" ht="17.25" customHeight="1">
      <c r="A790" s="44"/>
      <c r="B790" s="44"/>
      <c r="C790" s="44"/>
      <c r="D790" s="44"/>
      <c r="E790" s="44"/>
      <c r="F790" s="44"/>
      <c r="G790" s="44"/>
      <c r="H790" s="44"/>
      <c r="I790" s="44"/>
      <c r="J790" s="44"/>
      <c r="K790" s="44"/>
      <c r="L790" s="44"/>
      <c r="M790" s="44"/>
      <c r="N790" s="44"/>
      <c r="O790" s="44"/>
    </row>
    <row r="791" spans="1:15" ht="17.25" customHeight="1">
      <c r="A791" s="44"/>
      <c r="B791" s="44"/>
      <c r="C791" s="44"/>
      <c r="D791" s="44"/>
      <c r="E791" s="44"/>
      <c r="F791" s="44"/>
      <c r="G791" s="44"/>
      <c r="H791" s="44"/>
      <c r="I791" s="44"/>
      <c r="J791" s="44"/>
      <c r="K791" s="44"/>
      <c r="L791" s="44"/>
      <c r="M791" s="44"/>
      <c r="N791" s="44"/>
      <c r="O791" s="44"/>
    </row>
    <row r="792" spans="1:15" ht="17.25" customHeight="1">
      <c r="A792" s="44"/>
      <c r="B792" s="44"/>
      <c r="C792" s="44"/>
      <c r="D792" s="44"/>
      <c r="E792" s="44"/>
      <c r="F792" s="44"/>
      <c r="G792" s="44"/>
      <c r="H792" s="44"/>
      <c r="I792" s="44"/>
      <c r="J792" s="44"/>
      <c r="K792" s="44"/>
      <c r="L792" s="44"/>
      <c r="M792" s="44"/>
      <c r="N792" s="44"/>
      <c r="O792" s="44"/>
    </row>
    <row r="793" spans="1:15" ht="17.25" customHeight="1">
      <c r="A793" s="44"/>
      <c r="B793" s="44"/>
      <c r="C793" s="44"/>
      <c r="D793" s="44"/>
      <c r="E793" s="44"/>
      <c r="F793" s="44"/>
      <c r="G793" s="44"/>
      <c r="H793" s="44"/>
      <c r="I793" s="44"/>
      <c r="J793" s="44"/>
      <c r="K793" s="44"/>
      <c r="L793" s="44"/>
      <c r="M793" s="44"/>
      <c r="N793" s="44"/>
      <c r="O793" s="44"/>
    </row>
    <row r="794" spans="1:15" ht="17.25" customHeight="1">
      <c r="A794" s="44"/>
      <c r="B794" s="44"/>
      <c r="C794" s="44"/>
      <c r="D794" s="44"/>
      <c r="E794" s="44"/>
      <c r="F794" s="44"/>
      <c r="G794" s="44"/>
      <c r="H794" s="44"/>
      <c r="I794" s="44"/>
      <c r="J794" s="44"/>
      <c r="K794" s="44"/>
      <c r="L794" s="44"/>
      <c r="M794" s="44"/>
      <c r="N794" s="44"/>
      <c r="O794" s="44"/>
    </row>
    <row r="795" spans="1:15" ht="17.25" customHeight="1">
      <c r="A795" s="44"/>
      <c r="B795" s="44"/>
      <c r="C795" s="44"/>
      <c r="D795" s="44"/>
      <c r="E795" s="44"/>
      <c r="F795" s="44"/>
      <c r="G795" s="44"/>
      <c r="H795" s="44"/>
      <c r="I795" s="44"/>
      <c r="J795" s="44"/>
      <c r="K795" s="44"/>
      <c r="L795" s="44"/>
      <c r="M795" s="44"/>
      <c r="N795" s="44"/>
      <c r="O795" s="44"/>
    </row>
    <row r="796" spans="1:15" ht="17.25" customHeight="1">
      <c r="A796" s="44"/>
      <c r="B796" s="44"/>
      <c r="C796" s="44"/>
      <c r="D796" s="44"/>
      <c r="E796" s="44"/>
      <c r="F796" s="44"/>
      <c r="G796" s="44"/>
      <c r="H796" s="44"/>
      <c r="I796" s="44"/>
      <c r="J796" s="44"/>
      <c r="K796" s="44"/>
      <c r="L796" s="44"/>
      <c r="M796" s="44"/>
      <c r="N796" s="44"/>
      <c r="O796" s="44"/>
    </row>
    <row r="797" spans="1:15" ht="17.25" customHeight="1">
      <c r="A797" s="44"/>
      <c r="B797" s="44"/>
      <c r="C797" s="44"/>
      <c r="D797" s="44"/>
      <c r="E797" s="44"/>
      <c r="F797" s="44"/>
      <c r="G797" s="44"/>
      <c r="H797" s="44"/>
      <c r="I797" s="44"/>
      <c r="J797" s="44"/>
      <c r="K797" s="44"/>
      <c r="L797" s="44"/>
      <c r="M797" s="44"/>
      <c r="N797" s="44"/>
      <c r="O797" s="44"/>
    </row>
    <row r="798" spans="1:15" ht="17.25" customHeight="1">
      <c r="A798" s="44"/>
      <c r="B798" s="44"/>
      <c r="C798" s="44"/>
      <c r="D798" s="44"/>
      <c r="E798" s="44"/>
      <c r="F798" s="44"/>
      <c r="G798" s="44"/>
      <c r="H798" s="44"/>
      <c r="I798" s="44"/>
      <c r="J798" s="44"/>
      <c r="K798" s="44"/>
      <c r="L798" s="44"/>
      <c r="M798" s="44"/>
      <c r="N798" s="44"/>
      <c r="O798" s="44"/>
    </row>
    <row r="799" spans="1:15" ht="17.25" customHeight="1">
      <c r="A799" s="44"/>
      <c r="B799" s="44"/>
      <c r="C799" s="44"/>
      <c r="D799" s="44"/>
      <c r="E799" s="44"/>
      <c r="F799" s="44"/>
      <c r="G799" s="44"/>
      <c r="H799" s="44"/>
      <c r="I799" s="44"/>
      <c r="J799" s="44"/>
      <c r="K799" s="44"/>
      <c r="L799" s="44"/>
      <c r="M799" s="44"/>
      <c r="N799" s="44"/>
      <c r="O799" s="44"/>
    </row>
    <row r="800" spans="1:15" ht="17.25" customHeight="1">
      <c r="A800" s="44"/>
      <c r="B800" s="44"/>
      <c r="C800" s="44"/>
      <c r="D800" s="44"/>
      <c r="E800" s="44"/>
      <c r="F800" s="44"/>
      <c r="G800" s="44"/>
      <c r="H800" s="44"/>
      <c r="I800" s="44"/>
      <c r="J800" s="44"/>
      <c r="K800" s="44"/>
      <c r="L800" s="44"/>
      <c r="M800" s="44"/>
      <c r="N800" s="44"/>
      <c r="O800" s="44"/>
    </row>
    <row r="801" spans="1:15" ht="17.25" customHeight="1">
      <c r="A801" s="44"/>
      <c r="B801" s="44"/>
      <c r="C801" s="44"/>
      <c r="D801" s="44"/>
      <c r="E801" s="44"/>
      <c r="F801" s="44"/>
      <c r="G801" s="44"/>
      <c r="H801" s="44"/>
      <c r="I801" s="44"/>
      <c r="J801" s="44"/>
      <c r="K801" s="44"/>
      <c r="L801" s="44"/>
      <c r="M801" s="44"/>
      <c r="N801" s="44"/>
      <c r="O801" s="44"/>
    </row>
    <row r="802" spans="1:15" ht="17.25" customHeight="1">
      <c r="A802" s="44"/>
      <c r="B802" s="44"/>
      <c r="C802" s="44"/>
      <c r="D802" s="44"/>
      <c r="E802" s="44"/>
      <c r="F802" s="44"/>
      <c r="G802" s="44"/>
      <c r="H802" s="44"/>
      <c r="I802" s="44"/>
      <c r="J802" s="44"/>
      <c r="K802" s="44"/>
      <c r="L802" s="44"/>
      <c r="M802" s="44"/>
      <c r="N802" s="44"/>
      <c r="O802" s="44"/>
    </row>
    <row r="803" spans="1:15" ht="17.25" customHeight="1">
      <c r="A803" s="44"/>
      <c r="B803" s="44"/>
      <c r="C803" s="44"/>
      <c r="D803" s="44"/>
      <c r="E803" s="44"/>
      <c r="F803" s="44"/>
      <c r="G803" s="44"/>
      <c r="H803" s="44"/>
      <c r="I803" s="44"/>
      <c r="J803" s="44"/>
      <c r="K803" s="44"/>
      <c r="L803" s="44"/>
      <c r="M803" s="44"/>
      <c r="N803" s="44"/>
      <c r="O803" s="44"/>
    </row>
    <row r="804" spans="1:15" ht="17.25" customHeight="1">
      <c r="A804" s="44"/>
      <c r="B804" s="44"/>
      <c r="C804" s="44"/>
      <c r="D804" s="44"/>
      <c r="E804" s="44"/>
      <c r="F804" s="44"/>
      <c r="G804" s="44"/>
      <c r="H804" s="44"/>
      <c r="I804" s="44"/>
      <c r="J804" s="44"/>
      <c r="K804" s="44"/>
      <c r="L804" s="44"/>
      <c r="M804" s="44"/>
      <c r="N804" s="44"/>
      <c r="O804" s="44"/>
    </row>
    <row r="805" spans="1:15" ht="17.25" customHeight="1">
      <c r="A805" s="44"/>
      <c r="B805" s="44"/>
      <c r="C805" s="44"/>
      <c r="D805" s="44"/>
      <c r="E805" s="44"/>
      <c r="F805" s="44"/>
      <c r="G805" s="44"/>
      <c r="H805" s="44"/>
      <c r="I805" s="44"/>
      <c r="J805" s="44"/>
      <c r="K805" s="44"/>
      <c r="L805" s="44"/>
      <c r="M805" s="44"/>
      <c r="N805" s="44"/>
      <c r="O805" s="44"/>
    </row>
    <row r="806" spans="1:15" ht="17.25" customHeight="1">
      <c r="A806" s="44"/>
      <c r="B806" s="44"/>
      <c r="C806" s="44"/>
      <c r="D806" s="44"/>
      <c r="E806" s="44"/>
      <c r="F806" s="44"/>
      <c r="G806" s="44"/>
      <c r="H806" s="44"/>
      <c r="I806" s="44"/>
      <c r="J806" s="44"/>
      <c r="K806" s="44"/>
      <c r="L806" s="44"/>
      <c r="M806" s="44"/>
      <c r="N806" s="44"/>
      <c r="O806" s="44"/>
    </row>
    <row r="807" spans="1:15" ht="17.25" customHeight="1">
      <c r="A807" s="44"/>
      <c r="B807" s="44"/>
      <c r="C807" s="44"/>
      <c r="D807" s="44"/>
      <c r="E807" s="44"/>
      <c r="F807" s="44"/>
      <c r="G807" s="44"/>
      <c r="H807" s="44"/>
      <c r="I807" s="44"/>
      <c r="J807" s="44"/>
      <c r="K807" s="44"/>
      <c r="L807" s="44"/>
      <c r="M807" s="44"/>
      <c r="N807" s="44"/>
      <c r="O807" s="44"/>
    </row>
    <row r="808" spans="1:15" ht="17.25" customHeight="1">
      <c r="A808" s="44"/>
      <c r="B808" s="44"/>
      <c r="C808" s="44"/>
      <c r="D808" s="44"/>
      <c r="E808" s="44"/>
      <c r="F808" s="44"/>
      <c r="G808" s="44"/>
      <c r="H808" s="44"/>
      <c r="I808" s="44"/>
      <c r="J808" s="44"/>
      <c r="K808" s="44"/>
      <c r="L808" s="44"/>
      <c r="M808" s="44"/>
      <c r="N808" s="44"/>
      <c r="O808" s="44"/>
    </row>
    <row r="809" spans="1:15" ht="17.25" customHeight="1">
      <c r="A809" s="44"/>
      <c r="B809" s="44"/>
      <c r="C809" s="44"/>
      <c r="D809" s="44"/>
      <c r="E809" s="44"/>
      <c r="F809" s="44"/>
      <c r="G809" s="44"/>
      <c r="H809" s="44"/>
      <c r="I809" s="44"/>
      <c r="J809" s="44"/>
      <c r="K809" s="44"/>
      <c r="L809" s="44"/>
      <c r="M809" s="44"/>
      <c r="N809" s="44"/>
      <c r="O809" s="44"/>
    </row>
    <row r="810" spans="1:15" ht="17.25" customHeight="1">
      <c r="A810" s="44"/>
      <c r="B810" s="44"/>
      <c r="C810" s="44"/>
      <c r="D810" s="44"/>
      <c r="E810" s="44"/>
      <c r="F810" s="44"/>
      <c r="G810" s="44"/>
      <c r="H810" s="44"/>
      <c r="I810" s="44"/>
      <c r="J810" s="44"/>
      <c r="K810" s="44"/>
      <c r="L810" s="44"/>
      <c r="M810" s="44"/>
      <c r="N810" s="44"/>
      <c r="O810" s="44"/>
    </row>
    <row r="811" spans="1:15" ht="17.25" customHeight="1">
      <c r="A811" s="44"/>
      <c r="B811" s="44"/>
      <c r="C811" s="44"/>
      <c r="D811" s="44"/>
      <c r="E811" s="44"/>
      <c r="F811" s="44"/>
      <c r="G811" s="44"/>
      <c r="H811" s="44"/>
      <c r="I811" s="44"/>
      <c r="J811" s="44"/>
      <c r="K811" s="44"/>
      <c r="L811" s="44"/>
      <c r="M811" s="44"/>
      <c r="N811" s="44"/>
      <c r="O811" s="44"/>
    </row>
    <row r="812" spans="1:15" ht="17.25" customHeight="1">
      <c r="A812" s="44"/>
      <c r="B812" s="44"/>
      <c r="C812" s="44"/>
      <c r="D812" s="44"/>
      <c r="E812" s="44"/>
      <c r="F812" s="44"/>
      <c r="G812" s="44"/>
      <c r="H812" s="44"/>
      <c r="I812" s="44"/>
      <c r="J812" s="44"/>
      <c r="K812" s="44"/>
      <c r="L812" s="44"/>
      <c r="M812" s="44"/>
      <c r="N812" s="44"/>
      <c r="O812" s="44"/>
    </row>
    <row r="813" spans="1:15" ht="17.25" customHeight="1">
      <c r="A813" s="44"/>
      <c r="B813" s="44"/>
      <c r="C813" s="44"/>
      <c r="D813" s="44"/>
      <c r="E813" s="44"/>
      <c r="F813" s="44"/>
      <c r="G813" s="44"/>
      <c r="H813" s="44"/>
      <c r="I813" s="44"/>
      <c r="J813" s="44"/>
      <c r="K813" s="44"/>
      <c r="L813" s="44"/>
      <c r="M813" s="44"/>
      <c r="N813" s="44"/>
      <c r="O813" s="44"/>
    </row>
    <row r="814" spans="1:15" ht="17.25" customHeight="1">
      <c r="A814" s="44"/>
      <c r="B814" s="44"/>
      <c r="C814" s="44"/>
      <c r="D814" s="44"/>
      <c r="E814" s="44"/>
      <c r="F814" s="44"/>
      <c r="G814" s="44"/>
      <c r="H814" s="44"/>
      <c r="I814" s="44"/>
      <c r="J814" s="44"/>
      <c r="K814" s="44"/>
      <c r="L814" s="44"/>
      <c r="M814" s="44"/>
      <c r="N814" s="44"/>
      <c r="O814" s="44"/>
    </row>
    <row r="815" spans="1:15" ht="17.25" customHeight="1">
      <c r="A815" s="44"/>
      <c r="B815" s="44"/>
      <c r="C815" s="44"/>
      <c r="D815" s="44"/>
      <c r="E815" s="44"/>
      <c r="F815" s="44"/>
      <c r="G815" s="44"/>
      <c r="H815" s="44"/>
      <c r="I815" s="44"/>
      <c r="J815" s="44"/>
      <c r="K815" s="44"/>
      <c r="L815" s="44"/>
      <c r="M815" s="44"/>
      <c r="N815" s="44"/>
      <c r="O815" s="44"/>
    </row>
    <row r="816" spans="1:15" ht="17.25" customHeight="1">
      <c r="A816" s="44"/>
      <c r="B816" s="44"/>
      <c r="C816" s="44"/>
      <c r="D816" s="44"/>
      <c r="E816" s="44"/>
      <c r="F816" s="44"/>
      <c r="G816" s="44"/>
      <c r="H816" s="44"/>
      <c r="I816" s="44"/>
      <c r="J816" s="44"/>
      <c r="K816" s="44"/>
      <c r="L816" s="44"/>
      <c r="M816" s="44"/>
      <c r="N816" s="44"/>
      <c r="O816" s="44"/>
    </row>
    <row r="817" spans="1:15" ht="17.25" customHeight="1">
      <c r="A817" s="44"/>
      <c r="B817" s="44"/>
      <c r="C817" s="44"/>
      <c r="D817" s="44"/>
      <c r="E817" s="44"/>
      <c r="F817" s="44"/>
      <c r="G817" s="44"/>
      <c r="H817" s="44"/>
      <c r="I817" s="44"/>
      <c r="J817" s="44"/>
      <c r="K817" s="44"/>
      <c r="L817" s="44"/>
      <c r="M817" s="44"/>
      <c r="N817" s="44"/>
      <c r="O817" s="44"/>
    </row>
    <row r="818" spans="1:15" ht="17.25" customHeight="1">
      <c r="A818" s="44"/>
      <c r="B818" s="44"/>
      <c r="C818" s="44"/>
      <c r="D818" s="44"/>
      <c r="E818" s="44"/>
      <c r="F818" s="44"/>
      <c r="G818" s="44"/>
      <c r="H818" s="44"/>
      <c r="I818" s="44"/>
      <c r="J818" s="44"/>
      <c r="K818" s="44"/>
      <c r="L818" s="44"/>
      <c r="M818" s="44"/>
      <c r="N818" s="44"/>
      <c r="O818" s="44"/>
    </row>
    <row r="819" spans="1:15" ht="17.25" customHeight="1">
      <c r="A819" s="44"/>
      <c r="B819" s="44"/>
      <c r="C819" s="44"/>
      <c r="D819" s="44"/>
      <c r="E819" s="44"/>
      <c r="F819" s="44"/>
      <c r="G819" s="44"/>
      <c r="H819" s="44"/>
      <c r="I819" s="44"/>
      <c r="J819" s="44"/>
      <c r="K819" s="44"/>
      <c r="L819" s="44"/>
      <c r="M819" s="44"/>
      <c r="N819" s="44"/>
      <c r="O819" s="44"/>
    </row>
    <row r="820" spans="1:15" ht="17.25" customHeight="1">
      <c r="A820" s="44"/>
      <c r="B820" s="44"/>
      <c r="C820" s="44"/>
      <c r="D820" s="44"/>
      <c r="E820" s="44"/>
      <c r="F820" s="44"/>
      <c r="G820" s="44"/>
      <c r="H820" s="44"/>
      <c r="I820" s="44"/>
      <c r="J820" s="44"/>
      <c r="K820" s="44"/>
      <c r="L820" s="44"/>
      <c r="M820" s="44"/>
      <c r="N820" s="44"/>
      <c r="O820" s="44"/>
    </row>
    <row r="821" spans="1:15" ht="17.25" customHeight="1">
      <c r="A821" s="44"/>
      <c r="B821" s="44"/>
      <c r="C821" s="44"/>
      <c r="D821" s="44"/>
      <c r="E821" s="44"/>
      <c r="F821" s="44"/>
      <c r="G821" s="44"/>
      <c r="H821" s="44"/>
      <c r="I821" s="44"/>
      <c r="J821" s="44"/>
      <c r="K821" s="44"/>
      <c r="L821" s="44"/>
      <c r="M821" s="44"/>
      <c r="N821" s="44"/>
      <c r="O821" s="44"/>
    </row>
    <row r="822" spans="1:15" ht="17.25" customHeight="1">
      <c r="A822" s="44"/>
      <c r="B822" s="44"/>
      <c r="C822" s="44"/>
      <c r="D822" s="44"/>
      <c r="E822" s="44"/>
      <c r="F822" s="44"/>
      <c r="G822" s="44"/>
      <c r="H822" s="44"/>
      <c r="I822" s="44"/>
      <c r="J822" s="44"/>
      <c r="K822" s="44"/>
      <c r="L822" s="44"/>
      <c r="M822" s="44"/>
      <c r="N822" s="44"/>
      <c r="O822" s="44"/>
    </row>
    <row r="823" spans="1:15" ht="17.25" customHeight="1">
      <c r="A823" s="44"/>
      <c r="B823" s="44"/>
      <c r="C823" s="44"/>
      <c r="D823" s="44"/>
      <c r="E823" s="44"/>
      <c r="F823" s="44"/>
      <c r="G823" s="44"/>
      <c r="H823" s="44"/>
      <c r="I823" s="44"/>
      <c r="J823" s="44"/>
      <c r="K823" s="44"/>
      <c r="L823" s="44"/>
      <c r="M823" s="44"/>
      <c r="N823" s="44"/>
      <c r="O823" s="44"/>
    </row>
    <row r="824" spans="1:15" ht="17.25" customHeight="1">
      <c r="A824" s="44"/>
      <c r="B824" s="44"/>
      <c r="C824" s="44"/>
      <c r="D824" s="44"/>
      <c r="E824" s="44"/>
      <c r="F824" s="44"/>
      <c r="G824" s="44"/>
      <c r="H824" s="44"/>
      <c r="I824" s="44"/>
      <c r="J824" s="44"/>
      <c r="K824" s="44"/>
      <c r="L824" s="44"/>
      <c r="M824" s="44"/>
      <c r="N824" s="44"/>
      <c r="O824" s="44"/>
    </row>
    <row r="825" spans="1:15" ht="17.25" customHeight="1">
      <c r="A825" s="44"/>
      <c r="B825" s="44"/>
      <c r="C825" s="44"/>
      <c r="D825" s="44"/>
      <c r="E825" s="44"/>
      <c r="F825" s="44"/>
      <c r="G825" s="44"/>
      <c r="H825" s="44"/>
      <c r="I825" s="44"/>
      <c r="J825" s="44"/>
      <c r="K825" s="44"/>
      <c r="L825" s="44"/>
      <c r="M825" s="44"/>
      <c r="N825" s="44"/>
      <c r="O825" s="44"/>
    </row>
    <row r="826" spans="1:15" ht="17.25" customHeight="1">
      <c r="A826" s="44"/>
      <c r="B826" s="44"/>
      <c r="C826" s="44"/>
      <c r="D826" s="44"/>
      <c r="E826" s="44"/>
      <c r="F826" s="44"/>
      <c r="G826" s="44"/>
      <c r="H826" s="44"/>
      <c r="I826" s="44"/>
      <c r="J826" s="44"/>
      <c r="K826" s="44"/>
      <c r="L826" s="44"/>
      <c r="M826" s="44"/>
      <c r="N826" s="44"/>
      <c r="O826" s="44"/>
    </row>
    <row r="827" spans="1:15" ht="17.25" customHeight="1">
      <c r="A827" s="44"/>
      <c r="B827" s="44"/>
      <c r="C827" s="44"/>
      <c r="D827" s="44"/>
      <c r="E827" s="44"/>
      <c r="F827" s="44"/>
      <c r="G827" s="44"/>
      <c r="H827" s="44"/>
      <c r="I827" s="44"/>
      <c r="J827" s="44"/>
      <c r="K827" s="44"/>
      <c r="L827" s="44"/>
      <c r="M827" s="44"/>
      <c r="N827" s="44"/>
      <c r="O827" s="44"/>
    </row>
    <row r="828" spans="1:15" ht="17.25" customHeight="1">
      <c r="A828" s="44"/>
      <c r="B828" s="44"/>
      <c r="C828" s="44"/>
      <c r="D828" s="44"/>
      <c r="E828" s="44"/>
      <c r="F828" s="44"/>
      <c r="G828" s="44"/>
      <c r="H828" s="44"/>
      <c r="I828" s="44"/>
      <c r="J828" s="44"/>
      <c r="K828" s="44"/>
      <c r="L828" s="44"/>
      <c r="M828" s="44"/>
      <c r="N828" s="44"/>
      <c r="O828" s="44"/>
    </row>
    <row r="829" spans="1:15" ht="17.25" customHeight="1">
      <c r="A829" s="44"/>
      <c r="B829" s="44"/>
      <c r="C829" s="44"/>
      <c r="D829" s="44"/>
      <c r="E829" s="44"/>
      <c r="F829" s="44"/>
      <c r="G829" s="44"/>
      <c r="H829" s="44"/>
      <c r="I829" s="44"/>
      <c r="J829" s="44"/>
      <c r="K829" s="44"/>
      <c r="L829" s="44"/>
      <c r="M829" s="44"/>
      <c r="N829" s="44"/>
      <c r="O829" s="44"/>
    </row>
    <row r="830" spans="1:15" ht="17.25" customHeight="1">
      <c r="A830" s="44"/>
      <c r="B830" s="44"/>
      <c r="C830" s="44"/>
      <c r="D830" s="44"/>
      <c r="E830" s="44"/>
      <c r="F830" s="44"/>
      <c r="G830" s="44"/>
      <c r="H830" s="44"/>
      <c r="I830" s="44"/>
      <c r="J830" s="44"/>
      <c r="K830" s="44"/>
      <c r="L830" s="44"/>
      <c r="M830" s="44"/>
      <c r="N830" s="44"/>
      <c r="O830" s="44"/>
    </row>
    <row r="831" spans="1:15" ht="17.25" customHeight="1">
      <c r="A831" s="44"/>
      <c r="B831" s="44"/>
      <c r="C831" s="44"/>
      <c r="D831" s="44"/>
      <c r="E831" s="44"/>
      <c r="F831" s="44"/>
      <c r="G831" s="44"/>
      <c r="H831" s="44"/>
      <c r="I831" s="44"/>
      <c r="J831" s="44"/>
      <c r="K831" s="44"/>
      <c r="L831" s="44"/>
      <c r="M831" s="44"/>
      <c r="N831" s="44"/>
      <c r="O831" s="44"/>
    </row>
    <row r="832" spans="1:15" ht="17.25" customHeight="1">
      <c r="A832" s="44"/>
      <c r="B832" s="44"/>
      <c r="C832" s="44"/>
      <c r="D832" s="44"/>
      <c r="E832" s="44"/>
      <c r="F832" s="44"/>
      <c r="G832" s="44"/>
      <c r="H832" s="44"/>
      <c r="I832" s="44"/>
      <c r="J832" s="44"/>
      <c r="K832" s="44"/>
      <c r="L832" s="44"/>
      <c r="M832" s="44"/>
      <c r="N832" s="44"/>
      <c r="O832" s="44"/>
    </row>
    <row r="833" spans="1:15" ht="17.25" customHeight="1">
      <c r="A833" s="44"/>
      <c r="B833" s="44"/>
      <c r="C833" s="44"/>
      <c r="D833" s="44"/>
      <c r="E833" s="44"/>
      <c r="F833" s="44"/>
      <c r="G833" s="44"/>
      <c r="H833" s="44"/>
      <c r="I833" s="44"/>
      <c r="J833" s="44"/>
      <c r="K833" s="44"/>
      <c r="L833" s="44"/>
      <c r="M833" s="44"/>
      <c r="N833" s="44"/>
      <c r="O833" s="44"/>
    </row>
    <row r="834" spans="1:15" ht="17.25" customHeight="1">
      <c r="A834" s="44"/>
      <c r="B834" s="44"/>
      <c r="C834" s="44"/>
      <c r="D834" s="44"/>
      <c r="E834" s="44"/>
      <c r="F834" s="44"/>
      <c r="G834" s="44"/>
      <c r="H834" s="44"/>
      <c r="I834" s="44"/>
      <c r="J834" s="44"/>
      <c r="K834" s="44"/>
      <c r="L834" s="44"/>
      <c r="M834" s="44"/>
      <c r="N834" s="44"/>
      <c r="O834" s="44"/>
    </row>
    <row r="835" spans="1:15" ht="17.25" customHeight="1">
      <c r="A835" s="44"/>
      <c r="B835" s="44"/>
      <c r="C835" s="44"/>
      <c r="D835" s="44"/>
      <c r="E835" s="44"/>
      <c r="F835" s="44"/>
      <c r="G835" s="44"/>
      <c r="H835" s="44"/>
      <c r="I835" s="44"/>
      <c r="J835" s="44"/>
      <c r="K835" s="44"/>
      <c r="L835" s="44"/>
      <c r="M835" s="44"/>
      <c r="N835" s="44"/>
      <c r="O835" s="44"/>
    </row>
    <row r="836" spans="1:15" ht="17.25" customHeight="1">
      <c r="A836" s="44"/>
      <c r="B836" s="44"/>
      <c r="C836" s="44"/>
      <c r="D836" s="44"/>
      <c r="E836" s="44"/>
      <c r="F836" s="44"/>
      <c r="G836" s="44"/>
      <c r="H836" s="44"/>
      <c r="I836" s="44"/>
      <c r="J836" s="44"/>
      <c r="K836" s="44"/>
      <c r="L836" s="44"/>
      <c r="M836" s="44"/>
      <c r="N836" s="44"/>
      <c r="O836" s="44"/>
    </row>
    <row r="837" spans="1:15" ht="17.25" customHeight="1">
      <c r="A837" s="44"/>
      <c r="B837" s="44"/>
      <c r="C837" s="44"/>
      <c r="D837" s="44"/>
      <c r="E837" s="44"/>
      <c r="F837" s="44"/>
      <c r="G837" s="44"/>
      <c r="H837" s="44"/>
      <c r="I837" s="44"/>
      <c r="J837" s="44"/>
      <c r="K837" s="44"/>
      <c r="L837" s="44"/>
      <c r="M837" s="44"/>
      <c r="N837" s="44"/>
      <c r="O837" s="44"/>
    </row>
    <row r="838" spans="1:15" ht="17.25" customHeight="1">
      <c r="A838" s="44"/>
      <c r="B838" s="44"/>
      <c r="C838" s="44"/>
      <c r="D838" s="44"/>
      <c r="E838" s="44"/>
      <c r="F838" s="44"/>
      <c r="G838" s="44"/>
      <c r="H838" s="44"/>
      <c r="I838" s="44"/>
      <c r="J838" s="44"/>
      <c r="K838" s="44"/>
      <c r="L838" s="44"/>
      <c r="M838" s="44"/>
      <c r="N838" s="44"/>
      <c r="O838" s="44"/>
    </row>
    <row r="839" spans="1:15" ht="17.25" customHeight="1">
      <c r="A839" s="44"/>
      <c r="B839" s="44"/>
      <c r="C839" s="44"/>
      <c r="D839" s="44"/>
      <c r="E839" s="44"/>
      <c r="F839" s="44"/>
      <c r="G839" s="44"/>
      <c r="H839" s="44"/>
      <c r="I839" s="44"/>
      <c r="J839" s="44"/>
      <c r="K839" s="44"/>
      <c r="L839" s="44"/>
      <c r="M839" s="44"/>
      <c r="N839" s="44"/>
      <c r="O839" s="44"/>
    </row>
    <row r="840" spans="1:15" ht="17.25" customHeight="1">
      <c r="A840" s="44"/>
      <c r="B840" s="44"/>
      <c r="C840" s="44"/>
      <c r="D840" s="44"/>
      <c r="E840" s="44"/>
      <c r="F840" s="44"/>
      <c r="G840" s="44"/>
      <c r="H840" s="44"/>
      <c r="I840" s="44"/>
      <c r="J840" s="44"/>
      <c r="K840" s="44"/>
      <c r="L840" s="44"/>
      <c r="M840" s="44"/>
      <c r="N840" s="44"/>
      <c r="O840" s="44"/>
    </row>
    <row r="841" spans="1:15" ht="17.25" customHeight="1">
      <c r="A841" s="44"/>
      <c r="B841" s="44"/>
      <c r="C841" s="44"/>
      <c r="D841" s="44"/>
      <c r="E841" s="44"/>
      <c r="F841" s="44"/>
      <c r="G841" s="44"/>
      <c r="H841" s="44"/>
      <c r="I841" s="44"/>
      <c r="J841" s="44"/>
      <c r="K841" s="44"/>
      <c r="L841" s="44"/>
      <c r="M841" s="44"/>
      <c r="N841" s="44"/>
      <c r="O841" s="44"/>
    </row>
    <row r="842" spans="1:15" ht="17.25" customHeight="1">
      <c r="A842" s="44"/>
      <c r="B842" s="44"/>
      <c r="C842" s="44"/>
      <c r="D842" s="44"/>
      <c r="E842" s="44"/>
      <c r="F842" s="44"/>
      <c r="G842" s="44"/>
      <c r="H842" s="44"/>
      <c r="I842" s="44"/>
      <c r="J842" s="44"/>
      <c r="K842" s="44"/>
      <c r="L842" s="44"/>
      <c r="M842" s="44"/>
      <c r="N842" s="44"/>
      <c r="O842" s="44"/>
    </row>
    <row r="843" spans="1:15" ht="17.25" customHeight="1">
      <c r="A843" s="44"/>
      <c r="B843" s="44"/>
      <c r="C843" s="44"/>
      <c r="D843" s="44"/>
      <c r="E843" s="44"/>
      <c r="F843" s="44"/>
      <c r="G843" s="44"/>
      <c r="H843" s="44"/>
      <c r="I843" s="44"/>
      <c r="J843" s="44"/>
      <c r="K843" s="44"/>
      <c r="L843" s="44"/>
      <c r="M843" s="44"/>
      <c r="N843" s="44"/>
      <c r="O843" s="44"/>
    </row>
    <row r="844" spans="1:15" ht="17.25" customHeight="1">
      <c r="A844" s="44"/>
      <c r="B844" s="44"/>
      <c r="C844" s="44"/>
      <c r="D844" s="44"/>
      <c r="E844" s="44"/>
      <c r="F844" s="44"/>
      <c r="G844" s="44"/>
      <c r="H844" s="44"/>
      <c r="I844" s="44"/>
      <c r="J844" s="44"/>
      <c r="K844" s="44"/>
      <c r="L844" s="44"/>
      <c r="M844" s="44"/>
      <c r="N844" s="44"/>
      <c r="O844" s="44"/>
    </row>
    <row r="845" spans="1:15" ht="17.25" customHeight="1">
      <c r="A845" s="44"/>
      <c r="B845" s="44"/>
      <c r="C845" s="44"/>
      <c r="D845" s="44"/>
      <c r="E845" s="44"/>
      <c r="F845" s="44"/>
      <c r="G845" s="44"/>
      <c r="H845" s="44"/>
      <c r="I845" s="44"/>
      <c r="J845" s="44"/>
      <c r="K845" s="44"/>
      <c r="L845" s="44"/>
      <c r="M845" s="44"/>
      <c r="N845" s="44"/>
      <c r="O845" s="44"/>
    </row>
    <row r="846" spans="1:15" ht="17.25" customHeight="1">
      <c r="A846" s="44"/>
      <c r="B846" s="44"/>
      <c r="C846" s="44"/>
      <c r="D846" s="44"/>
      <c r="E846" s="44"/>
      <c r="F846" s="44"/>
      <c r="G846" s="44"/>
      <c r="H846" s="44"/>
      <c r="I846" s="44"/>
      <c r="J846" s="44"/>
      <c r="K846" s="44"/>
      <c r="L846" s="44"/>
      <c r="M846" s="44"/>
      <c r="N846" s="44"/>
      <c r="O846" s="44"/>
    </row>
    <row r="847" spans="1:15" ht="17.25" customHeight="1">
      <c r="A847" s="44"/>
      <c r="B847" s="44"/>
      <c r="C847" s="44"/>
      <c r="D847" s="44"/>
      <c r="E847" s="44"/>
      <c r="F847" s="44"/>
      <c r="G847" s="44"/>
      <c r="H847" s="44"/>
      <c r="I847" s="44"/>
      <c r="J847" s="44"/>
      <c r="K847" s="44"/>
      <c r="L847" s="44"/>
      <c r="M847" s="44"/>
      <c r="N847" s="44"/>
      <c r="O847" s="44"/>
    </row>
    <row r="848" spans="1:15" ht="17.25" customHeight="1">
      <c r="A848" s="44"/>
      <c r="B848" s="44"/>
      <c r="C848" s="44"/>
      <c r="D848" s="44"/>
      <c r="E848" s="44"/>
      <c r="F848" s="44"/>
      <c r="G848" s="44"/>
      <c r="H848" s="44"/>
      <c r="I848" s="44"/>
      <c r="J848" s="44"/>
      <c r="K848" s="44"/>
      <c r="L848" s="44"/>
      <c r="M848" s="44"/>
      <c r="N848" s="44"/>
      <c r="O848" s="44"/>
    </row>
    <row r="849" spans="1:15" ht="17.25" customHeight="1">
      <c r="A849" s="44"/>
      <c r="B849" s="44"/>
      <c r="C849" s="44"/>
      <c r="D849" s="44"/>
      <c r="E849" s="44"/>
      <c r="F849" s="44"/>
      <c r="G849" s="44"/>
      <c r="H849" s="44"/>
      <c r="I849" s="44"/>
      <c r="J849" s="44"/>
      <c r="K849" s="44"/>
      <c r="L849" s="44"/>
      <c r="M849" s="44"/>
      <c r="N849" s="44"/>
      <c r="O849" s="44"/>
    </row>
    <row r="850" spans="1:15" ht="17.25" customHeight="1">
      <c r="A850" s="44"/>
      <c r="B850" s="44"/>
      <c r="C850" s="44"/>
      <c r="D850" s="44"/>
      <c r="E850" s="44"/>
      <c r="F850" s="44"/>
      <c r="G850" s="44"/>
      <c r="H850" s="44"/>
      <c r="I850" s="44"/>
      <c r="J850" s="44"/>
      <c r="K850" s="44"/>
      <c r="L850" s="44"/>
      <c r="M850" s="44"/>
      <c r="N850" s="44"/>
      <c r="O850" s="44"/>
    </row>
    <row r="851" spans="1:15" ht="17.25" customHeight="1">
      <c r="A851" s="44"/>
      <c r="B851" s="44"/>
      <c r="C851" s="44"/>
      <c r="D851" s="44"/>
      <c r="E851" s="44"/>
      <c r="F851" s="44"/>
      <c r="G851" s="44"/>
      <c r="H851" s="44"/>
      <c r="I851" s="44"/>
      <c r="J851" s="44"/>
      <c r="K851" s="44"/>
      <c r="L851" s="44"/>
      <c r="M851" s="44"/>
      <c r="N851" s="44"/>
      <c r="O851" s="44"/>
    </row>
    <row r="852" spans="1:15" ht="17.25" customHeight="1">
      <c r="A852" s="44"/>
      <c r="B852" s="44"/>
      <c r="C852" s="44"/>
      <c r="D852" s="44"/>
      <c r="E852" s="44"/>
      <c r="F852" s="44"/>
      <c r="G852" s="44"/>
      <c r="H852" s="44"/>
      <c r="I852" s="44"/>
      <c r="J852" s="44"/>
      <c r="K852" s="44"/>
      <c r="L852" s="44"/>
      <c r="M852" s="44"/>
      <c r="N852" s="44"/>
      <c r="O852" s="44"/>
    </row>
    <row r="853" spans="1:15" ht="17.25" customHeight="1">
      <c r="A853" s="44"/>
      <c r="B853" s="44"/>
      <c r="C853" s="44"/>
      <c r="D853" s="44"/>
      <c r="E853" s="44"/>
      <c r="F853" s="44"/>
      <c r="G853" s="44"/>
      <c r="H853" s="44"/>
      <c r="I853" s="44"/>
      <c r="J853" s="44"/>
      <c r="K853" s="44"/>
      <c r="L853" s="44"/>
      <c r="M853" s="44"/>
      <c r="N853" s="44"/>
      <c r="O853" s="44"/>
    </row>
    <row r="854" spans="1:15" ht="17.25" customHeight="1">
      <c r="A854" s="44"/>
      <c r="B854" s="44"/>
      <c r="C854" s="44"/>
      <c r="D854" s="44"/>
      <c r="E854" s="44"/>
      <c r="F854" s="44"/>
      <c r="G854" s="44"/>
      <c r="H854" s="44"/>
      <c r="I854" s="44"/>
      <c r="J854" s="44"/>
      <c r="K854" s="44"/>
      <c r="L854" s="44"/>
      <c r="M854" s="44"/>
      <c r="N854" s="44"/>
      <c r="O854" s="44"/>
    </row>
    <row r="855" spans="1:15" ht="17.25" customHeight="1">
      <c r="A855" s="44"/>
      <c r="B855" s="44"/>
      <c r="C855" s="44"/>
      <c r="D855" s="44"/>
      <c r="E855" s="44"/>
      <c r="F855" s="44"/>
      <c r="G855" s="44"/>
      <c r="H855" s="44"/>
      <c r="I855" s="44"/>
      <c r="J855" s="44"/>
      <c r="K855" s="44"/>
      <c r="L855" s="44"/>
      <c r="M855" s="44"/>
      <c r="N855" s="44"/>
      <c r="O855" s="44"/>
    </row>
    <row r="856" spans="1:15" ht="17.25" customHeight="1">
      <c r="A856" s="44"/>
      <c r="B856" s="44"/>
      <c r="C856" s="44"/>
      <c r="D856" s="44"/>
      <c r="E856" s="44"/>
      <c r="F856" s="44"/>
      <c r="G856" s="44"/>
      <c r="H856" s="44"/>
      <c r="I856" s="44"/>
      <c r="J856" s="44"/>
      <c r="K856" s="44"/>
      <c r="L856" s="44"/>
      <c r="M856" s="44"/>
      <c r="N856" s="44"/>
      <c r="O856" s="44"/>
    </row>
    <row r="857" spans="1:15" ht="17.25" customHeight="1">
      <c r="A857" s="44"/>
      <c r="B857" s="44"/>
      <c r="C857" s="44"/>
      <c r="D857" s="44"/>
      <c r="E857" s="44"/>
      <c r="F857" s="44"/>
      <c r="G857" s="44"/>
      <c r="H857" s="44"/>
      <c r="I857" s="44"/>
      <c r="J857" s="44"/>
      <c r="K857" s="44"/>
      <c r="L857" s="44"/>
      <c r="M857" s="44"/>
      <c r="N857" s="44"/>
      <c r="O857" s="44"/>
    </row>
    <row r="858" spans="1:15" ht="17.25" customHeight="1">
      <c r="A858" s="44"/>
      <c r="B858" s="44"/>
      <c r="C858" s="44"/>
      <c r="D858" s="44"/>
      <c r="E858" s="44"/>
      <c r="F858" s="44"/>
      <c r="G858" s="44"/>
      <c r="H858" s="44"/>
      <c r="I858" s="44"/>
      <c r="J858" s="44"/>
      <c r="K858" s="44"/>
      <c r="L858" s="44"/>
      <c r="M858" s="44"/>
      <c r="N858" s="44"/>
      <c r="O858" s="44"/>
    </row>
    <row r="859" spans="1:15" ht="17.25" customHeight="1">
      <c r="A859" s="44"/>
      <c r="B859" s="44"/>
      <c r="C859" s="44"/>
      <c r="D859" s="44"/>
      <c r="E859" s="44"/>
      <c r="F859" s="44"/>
      <c r="G859" s="44"/>
      <c r="H859" s="44"/>
      <c r="I859" s="44"/>
      <c r="J859" s="44"/>
      <c r="K859" s="44"/>
      <c r="L859" s="44"/>
      <c r="M859" s="44"/>
      <c r="N859" s="44"/>
      <c r="O859" s="44"/>
    </row>
    <row r="860" spans="1:15" ht="17.25" customHeight="1">
      <c r="A860" s="44"/>
      <c r="B860" s="44"/>
      <c r="C860" s="44"/>
      <c r="D860" s="44"/>
      <c r="E860" s="44"/>
      <c r="F860" s="44"/>
      <c r="G860" s="44"/>
      <c r="H860" s="44"/>
      <c r="I860" s="44"/>
      <c r="J860" s="44"/>
      <c r="K860" s="44"/>
      <c r="L860" s="44"/>
      <c r="M860" s="44"/>
      <c r="N860" s="44"/>
      <c r="O860" s="44"/>
    </row>
    <row r="861" spans="1:15" ht="17.25" customHeight="1">
      <c r="A861" s="44"/>
      <c r="B861" s="44"/>
      <c r="C861" s="44"/>
      <c r="D861" s="44"/>
      <c r="E861" s="44"/>
      <c r="F861" s="44"/>
      <c r="G861" s="44"/>
      <c r="H861" s="44"/>
      <c r="I861" s="44"/>
      <c r="J861" s="44"/>
      <c r="K861" s="44"/>
      <c r="L861" s="44"/>
      <c r="M861" s="44"/>
      <c r="N861" s="44"/>
      <c r="O861" s="44"/>
    </row>
    <row r="862" spans="1:15" ht="17.25" customHeight="1">
      <c r="A862" s="44"/>
      <c r="B862" s="44"/>
      <c r="C862" s="44"/>
      <c r="D862" s="44"/>
      <c r="E862" s="44"/>
      <c r="F862" s="44"/>
      <c r="G862" s="44"/>
      <c r="H862" s="44"/>
      <c r="I862" s="44"/>
      <c r="J862" s="44"/>
      <c r="K862" s="44"/>
      <c r="L862" s="44"/>
      <c r="M862" s="44"/>
      <c r="N862" s="44"/>
      <c r="O862" s="44"/>
    </row>
    <row r="863" spans="1:15" ht="17.25" customHeight="1">
      <c r="A863" s="44"/>
      <c r="B863" s="44"/>
      <c r="C863" s="44"/>
      <c r="D863" s="44"/>
      <c r="E863" s="44"/>
      <c r="F863" s="44"/>
      <c r="G863" s="44"/>
      <c r="H863" s="44"/>
      <c r="I863" s="44"/>
      <c r="J863" s="44"/>
      <c r="K863" s="44"/>
      <c r="L863" s="44"/>
      <c r="M863" s="44"/>
      <c r="N863" s="44"/>
      <c r="O863" s="44"/>
    </row>
    <row r="864" spans="1:15" ht="17.25" customHeight="1">
      <c r="A864" s="44"/>
      <c r="B864" s="44"/>
      <c r="C864" s="44"/>
      <c r="D864" s="44"/>
      <c r="E864" s="44"/>
      <c r="F864" s="44"/>
      <c r="G864" s="44"/>
      <c r="H864" s="44"/>
      <c r="I864" s="44"/>
      <c r="J864" s="44"/>
      <c r="K864" s="44"/>
      <c r="L864" s="44"/>
      <c r="M864" s="44"/>
      <c r="N864" s="44"/>
      <c r="O864" s="44"/>
    </row>
    <row r="865" spans="1:15" ht="17.25" customHeight="1">
      <c r="A865" s="44"/>
      <c r="B865" s="44"/>
      <c r="C865" s="44"/>
      <c r="D865" s="44"/>
      <c r="E865" s="44"/>
      <c r="F865" s="44"/>
      <c r="G865" s="44"/>
      <c r="H865" s="44"/>
      <c r="I865" s="44"/>
      <c r="J865" s="44"/>
      <c r="K865" s="44"/>
      <c r="L865" s="44"/>
      <c r="M865" s="44"/>
      <c r="N865" s="44"/>
      <c r="O865" s="44"/>
    </row>
    <row r="866" spans="1:15" ht="17.25" customHeight="1">
      <c r="A866" s="44"/>
      <c r="B866" s="44"/>
      <c r="C866" s="44"/>
      <c r="D866" s="44"/>
      <c r="E866" s="44"/>
      <c r="F866" s="44"/>
      <c r="G866" s="44"/>
      <c r="H866" s="44"/>
      <c r="I866" s="44"/>
      <c r="J866" s="44"/>
      <c r="K866" s="44"/>
      <c r="L866" s="44"/>
      <c r="M866" s="44"/>
      <c r="N866" s="44"/>
      <c r="O866" s="44"/>
    </row>
    <row r="867" spans="1:15" ht="17.25" customHeight="1">
      <c r="A867" s="44"/>
      <c r="B867" s="44"/>
      <c r="C867" s="44"/>
      <c r="D867" s="44"/>
      <c r="E867" s="44"/>
      <c r="F867" s="44"/>
      <c r="G867" s="44"/>
      <c r="H867" s="44"/>
      <c r="I867" s="44"/>
      <c r="J867" s="44"/>
      <c r="K867" s="44"/>
      <c r="L867" s="44"/>
      <c r="M867" s="44"/>
      <c r="N867" s="44"/>
      <c r="O867" s="44"/>
    </row>
    <row r="868" spans="1:15" ht="17.25" customHeight="1">
      <c r="A868" s="44"/>
      <c r="B868" s="44"/>
      <c r="C868" s="44"/>
      <c r="D868" s="44"/>
      <c r="E868" s="44"/>
      <c r="F868" s="44"/>
      <c r="G868" s="44"/>
      <c r="H868" s="44"/>
      <c r="I868" s="44"/>
      <c r="J868" s="44"/>
      <c r="K868" s="44"/>
      <c r="L868" s="44"/>
      <c r="M868" s="44"/>
      <c r="N868" s="44"/>
      <c r="O868" s="44"/>
    </row>
    <row r="869" spans="1:15" ht="17.25" customHeight="1">
      <c r="A869" s="44"/>
      <c r="B869" s="44"/>
      <c r="C869" s="44"/>
      <c r="D869" s="44"/>
      <c r="E869" s="44"/>
      <c r="F869" s="44"/>
      <c r="G869" s="44"/>
      <c r="H869" s="44"/>
      <c r="I869" s="44"/>
      <c r="J869" s="44"/>
      <c r="K869" s="44"/>
      <c r="L869" s="44"/>
      <c r="M869" s="44"/>
      <c r="N869" s="44"/>
      <c r="O869" s="44"/>
    </row>
    <row r="870" spans="1:15" ht="17.25" customHeight="1">
      <c r="A870" s="44"/>
      <c r="B870" s="44"/>
      <c r="C870" s="44"/>
      <c r="D870" s="44"/>
      <c r="E870" s="44"/>
      <c r="F870" s="44"/>
      <c r="G870" s="44"/>
      <c r="H870" s="44"/>
      <c r="I870" s="44"/>
      <c r="J870" s="44"/>
      <c r="K870" s="44"/>
      <c r="L870" s="44"/>
      <c r="M870" s="44"/>
      <c r="N870" s="44"/>
      <c r="O870" s="44"/>
    </row>
    <row r="871" spans="1:15" ht="17.25" customHeight="1">
      <c r="A871" s="44"/>
      <c r="B871" s="44"/>
      <c r="C871" s="44"/>
      <c r="D871" s="44"/>
      <c r="E871" s="44"/>
      <c r="F871" s="44"/>
      <c r="G871" s="44"/>
      <c r="H871" s="44"/>
      <c r="I871" s="44"/>
      <c r="J871" s="44"/>
      <c r="K871" s="44"/>
      <c r="L871" s="44"/>
      <c r="M871" s="44"/>
      <c r="N871" s="44"/>
      <c r="O871" s="44"/>
    </row>
    <row r="872" spans="1:15" ht="17.25" customHeight="1">
      <c r="A872" s="44"/>
      <c r="B872" s="44"/>
      <c r="C872" s="44"/>
      <c r="D872" s="44"/>
      <c r="E872" s="44"/>
      <c r="F872" s="44"/>
      <c r="G872" s="44"/>
      <c r="H872" s="44"/>
      <c r="I872" s="44"/>
      <c r="J872" s="44"/>
      <c r="K872" s="44"/>
      <c r="L872" s="44"/>
      <c r="M872" s="44"/>
      <c r="N872" s="44"/>
      <c r="O872" s="44"/>
    </row>
    <row r="873" spans="1:15" ht="17.25" customHeight="1">
      <c r="A873" s="44"/>
      <c r="B873" s="44"/>
      <c r="C873" s="44"/>
      <c r="D873" s="44"/>
      <c r="E873" s="44"/>
      <c r="F873" s="44"/>
      <c r="G873" s="44"/>
      <c r="H873" s="44"/>
      <c r="I873" s="44"/>
      <c r="J873" s="44"/>
      <c r="K873" s="44"/>
      <c r="L873" s="44"/>
      <c r="M873" s="44"/>
      <c r="N873" s="44"/>
      <c r="O873" s="44"/>
    </row>
    <row r="874" spans="1:15" ht="17.25" customHeight="1">
      <c r="A874" s="44"/>
      <c r="B874" s="44"/>
      <c r="C874" s="44"/>
      <c r="D874" s="44"/>
      <c r="E874" s="44"/>
      <c r="F874" s="44"/>
      <c r="G874" s="44"/>
      <c r="H874" s="44"/>
      <c r="I874" s="44"/>
      <c r="J874" s="44"/>
      <c r="K874" s="44"/>
      <c r="L874" s="44"/>
      <c r="M874" s="44"/>
      <c r="N874" s="44"/>
      <c r="O874" s="44"/>
    </row>
    <row r="875" spans="1:15" ht="17.25" customHeight="1">
      <c r="A875" s="44"/>
      <c r="B875" s="44"/>
      <c r="C875" s="44"/>
      <c r="D875" s="44"/>
      <c r="E875" s="44"/>
      <c r="F875" s="44"/>
      <c r="G875" s="44"/>
      <c r="H875" s="44"/>
      <c r="I875" s="44"/>
      <c r="J875" s="44"/>
      <c r="K875" s="44"/>
      <c r="L875" s="44"/>
      <c r="M875" s="44"/>
      <c r="N875" s="44"/>
      <c r="O875" s="44"/>
    </row>
    <row r="876" spans="1:15" ht="17.25" customHeight="1">
      <c r="A876" s="44"/>
      <c r="B876" s="44"/>
      <c r="C876" s="44"/>
      <c r="D876" s="44"/>
      <c r="E876" s="44"/>
      <c r="F876" s="44"/>
      <c r="G876" s="44"/>
      <c r="H876" s="44"/>
      <c r="I876" s="44"/>
      <c r="J876" s="44"/>
      <c r="K876" s="44"/>
      <c r="L876" s="44"/>
      <c r="M876" s="44"/>
      <c r="N876" s="44"/>
      <c r="O876" s="44"/>
    </row>
    <row r="877" spans="1:15" ht="17.25" customHeight="1">
      <c r="A877" s="44"/>
      <c r="B877" s="44"/>
      <c r="C877" s="44"/>
      <c r="D877" s="44"/>
      <c r="E877" s="44"/>
      <c r="F877" s="44"/>
      <c r="G877" s="44"/>
      <c r="H877" s="44"/>
      <c r="I877" s="44"/>
      <c r="J877" s="44"/>
      <c r="K877" s="44"/>
      <c r="L877" s="44"/>
      <c r="M877" s="44"/>
      <c r="N877" s="44"/>
      <c r="O877" s="44"/>
    </row>
    <row r="878" spans="1:15" ht="17.25" customHeight="1">
      <c r="A878" s="44"/>
      <c r="B878" s="44"/>
      <c r="C878" s="44"/>
      <c r="D878" s="44"/>
      <c r="E878" s="44"/>
      <c r="F878" s="44"/>
      <c r="G878" s="44"/>
      <c r="H878" s="44"/>
      <c r="I878" s="44"/>
      <c r="J878" s="44"/>
      <c r="K878" s="44"/>
      <c r="L878" s="44"/>
      <c r="M878" s="44"/>
      <c r="N878" s="44"/>
      <c r="O878" s="44"/>
    </row>
    <row r="879" spans="1:15" ht="17.25" customHeight="1">
      <c r="A879" s="44"/>
      <c r="B879" s="44"/>
      <c r="C879" s="44"/>
      <c r="D879" s="44"/>
      <c r="E879" s="44"/>
      <c r="F879" s="44"/>
      <c r="G879" s="44"/>
      <c r="H879" s="44"/>
      <c r="I879" s="44"/>
      <c r="J879" s="44"/>
      <c r="K879" s="44"/>
      <c r="L879" s="44"/>
      <c r="M879" s="44"/>
      <c r="N879" s="44"/>
      <c r="O879" s="44"/>
    </row>
    <row r="880" spans="1:15" ht="17.25" customHeight="1">
      <c r="A880" s="44"/>
      <c r="B880" s="44"/>
      <c r="C880" s="44"/>
      <c r="D880" s="44"/>
      <c r="E880" s="44"/>
      <c r="F880" s="44"/>
      <c r="G880" s="44"/>
      <c r="H880" s="44"/>
      <c r="I880" s="44"/>
      <c r="J880" s="44"/>
      <c r="K880" s="44"/>
      <c r="L880" s="44"/>
      <c r="M880" s="44"/>
      <c r="N880" s="44"/>
      <c r="O880" s="44"/>
    </row>
    <row r="881" spans="1:15" ht="17.25" customHeight="1">
      <c r="A881" s="44"/>
      <c r="B881" s="44"/>
      <c r="C881" s="44"/>
      <c r="D881" s="44"/>
      <c r="E881" s="44"/>
      <c r="F881" s="44"/>
      <c r="G881" s="44"/>
      <c r="H881" s="44"/>
      <c r="I881" s="44"/>
      <c r="J881" s="44"/>
      <c r="K881" s="44"/>
      <c r="L881" s="44"/>
      <c r="M881" s="44"/>
      <c r="N881" s="44"/>
      <c r="O881" s="44"/>
    </row>
    <row r="882" spans="1:15" ht="17.25" customHeight="1">
      <c r="A882" s="44"/>
      <c r="B882" s="44"/>
      <c r="C882" s="44"/>
      <c r="D882" s="44"/>
      <c r="E882" s="44"/>
      <c r="F882" s="44"/>
      <c r="G882" s="44"/>
      <c r="H882" s="44"/>
      <c r="I882" s="44"/>
      <c r="J882" s="44"/>
      <c r="K882" s="44"/>
      <c r="L882" s="44"/>
      <c r="M882" s="44"/>
      <c r="N882" s="44"/>
      <c r="O882" s="44"/>
    </row>
    <row r="883" spans="1:15" ht="17.25" customHeight="1">
      <c r="A883" s="44"/>
      <c r="B883" s="44"/>
      <c r="C883" s="44"/>
      <c r="D883" s="44"/>
      <c r="E883" s="44"/>
      <c r="F883" s="44"/>
      <c r="G883" s="44"/>
      <c r="H883" s="44"/>
      <c r="I883" s="44"/>
      <c r="J883" s="44"/>
      <c r="K883" s="44"/>
      <c r="L883" s="44"/>
      <c r="M883" s="44"/>
      <c r="N883" s="44"/>
      <c r="O883" s="44"/>
    </row>
    <row r="884" spans="1:15" ht="17.25" customHeight="1">
      <c r="A884" s="44"/>
      <c r="B884" s="44"/>
      <c r="C884" s="44"/>
      <c r="D884" s="44"/>
      <c r="E884" s="44"/>
      <c r="F884" s="44"/>
      <c r="G884" s="44"/>
      <c r="H884" s="44"/>
      <c r="I884" s="44"/>
      <c r="J884" s="44"/>
      <c r="K884" s="44"/>
      <c r="L884" s="44"/>
      <c r="M884" s="44"/>
      <c r="N884" s="44"/>
      <c r="O884" s="44"/>
    </row>
    <row r="885" spans="1:15" ht="17.25" customHeight="1">
      <c r="A885" s="44"/>
      <c r="B885" s="44"/>
      <c r="C885" s="44"/>
      <c r="D885" s="44"/>
      <c r="E885" s="44"/>
      <c r="F885" s="44"/>
      <c r="G885" s="44"/>
      <c r="H885" s="44"/>
      <c r="I885" s="44"/>
      <c r="J885" s="44"/>
      <c r="K885" s="44"/>
      <c r="L885" s="44"/>
      <c r="M885" s="44"/>
      <c r="N885" s="44"/>
      <c r="O885" s="44"/>
    </row>
    <row r="886" spans="1:15" ht="17.25" customHeight="1">
      <c r="A886" s="44"/>
      <c r="B886" s="44"/>
      <c r="C886" s="44"/>
      <c r="D886" s="44"/>
      <c r="E886" s="44"/>
      <c r="F886" s="44"/>
      <c r="G886" s="44"/>
      <c r="H886" s="44"/>
      <c r="I886" s="44"/>
      <c r="J886" s="44"/>
      <c r="K886" s="44"/>
      <c r="L886" s="44"/>
      <c r="M886" s="44"/>
      <c r="N886" s="44"/>
      <c r="O886" s="44"/>
    </row>
    <row r="887" spans="1:15" ht="17.25" customHeight="1">
      <c r="A887" s="44"/>
      <c r="B887" s="44"/>
      <c r="C887" s="44"/>
      <c r="D887" s="44"/>
      <c r="E887" s="44"/>
      <c r="F887" s="44"/>
      <c r="G887" s="44"/>
      <c r="H887" s="44"/>
      <c r="I887" s="44"/>
      <c r="J887" s="44"/>
      <c r="K887" s="44"/>
      <c r="L887" s="44"/>
      <c r="M887" s="44"/>
      <c r="N887" s="44"/>
      <c r="O887" s="44"/>
    </row>
    <row r="888" spans="1:15" ht="17.25" customHeight="1">
      <c r="A888" s="44"/>
      <c r="B888" s="44"/>
      <c r="C888" s="44"/>
      <c r="D888" s="44"/>
      <c r="E888" s="44"/>
      <c r="F888" s="44"/>
      <c r="G888" s="44"/>
      <c r="H888" s="44"/>
      <c r="I888" s="44"/>
      <c r="J888" s="44"/>
      <c r="K888" s="44"/>
      <c r="L888" s="44"/>
      <c r="M888" s="44"/>
      <c r="N888" s="44"/>
      <c r="O888" s="44"/>
    </row>
    <row r="889" spans="1:15" ht="17.25" customHeight="1">
      <c r="A889" s="44"/>
      <c r="B889" s="44"/>
      <c r="C889" s="44"/>
      <c r="D889" s="44"/>
      <c r="E889" s="44"/>
      <c r="F889" s="44"/>
      <c r="G889" s="44"/>
      <c r="H889" s="44"/>
      <c r="I889" s="44"/>
      <c r="J889" s="44"/>
      <c r="K889" s="44"/>
      <c r="L889" s="44"/>
      <c r="M889" s="44"/>
      <c r="N889" s="44"/>
      <c r="O889" s="44"/>
    </row>
    <row r="890" spans="1:15" ht="17.25" customHeight="1">
      <c r="A890" s="44"/>
      <c r="B890" s="44"/>
      <c r="C890" s="44"/>
      <c r="D890" s="44"/>
      <c r="E890" s="44"/>
      <c r="F890" s="44"/>
      <c r="G890" s="44"/>
      <c r="H890" s="44"/>
      <c r="I890" s="44"/>
      <c r="J890" s="44"/>
      <c r="K890" s="44"/>
      <c r="L890" s="44"/>
      <c r="M890" s="44"/>
      <c r="N890" s="44"/>
      <c r="O890" s="44"/>
    </row>
    <row r="891" spans="1:15" ht="17.25" customHeight="1">
      <c r="A891" s="44"/>
      <c r="B891" s="44"/>
      <c r="C891" s="44"/>
      <c r="D891" s="44"/>
      <c r="E891" s="44"/>
      <c r="F891" s="44"/>
      <c r="G891" s="44"/>
      <c r="H891" s="44"/>
      <c r="I891" s="44"/>
      <c r="J891" s="44"/>
      <c r="K891" s="44"/>
      <c r="L891" s="44"/>
      <c r="M891" s="44"/>
      <c r="N891" s="44"/>
      <c r="O891" s="44"/>
    </row>
    <row r="892" spans="1:15" ht="17.25" customHeight="1">
      <c r="A892" s="44"/>
      <c r="B892" s="44"/>
      <c r="C892" s="44"/>
      <c r="D892" s="44"/>
      <c r="E892" s="44"/>
      <c r="F892" s="44"/>
      <c r="G892" s="44"/>
      <c r="H892" s="44"/>
      <c r="I892" s="44"/>
      <c r="J892" s="44"/>
      <c r="K892" s="44"/>
      <c r="L892" s="44"/>
      <c r="M892" s="44"/>
      <c r="N892" s="44"/>
      <c r="O892" s="44"/>
    </row>
    <row r="893" spans="1:15" ht="17.25" customHeight="1">
      <c r="A893" s="44"/>
      <c r="B893" s="44"/>
      <c r="C893" s="44"/>
      <c r="D893" s="44"/>
      <c r="E893" s="44"/>
      <c r="F893" s="44"/>
      <c r="G893" s="44"/>
      <c r="H893" s="44"/>
      <c r="I893" s="44"/>
      <c r="J893" s="44"/>
      <c r="K893" s="44"/>
      <c r="L893" s="44"/>
      <c r="M893" s="44"/>
      <c r="N893" s="44"/>
      <c r="O893" s="44"/>
    </row>
    <row r="894" spans="1:15" ht="17.25" customHeight="1">
      <c r="A894" s="44"/>
      <c r="B894" s="44"/>
      <c r="C894" s="44"/>
      <c r="D894" s="44"/>
      <c r="E894" s="44"/>
      <c r="F894" s="44"/>
      <c r="G894" s="44"/>
      <c r="H894" s="44"/>
      <c r="I894" s="44"/>
      <c r="J894" s="44"/>
      <c r="K894" s="44"/>
      <c r="L894" s="44"/>
      <c r="M894" s="44"/>
      <c r="N894" s="44"/>
      <c r="O894" s="44"/>
    </row>
    <row r="895" spans="1:15" ht="17.25" customHeight="1">
      <c r="A895" s="44"/>
      <c r="B895" s="44"/>
      <c r="C895" s="44"/>
      <c r="D895" s="44"/>
      <c r="E895" s="44"/>
      <c r="F895" s="44"/>
      <c r="G895" s="44"/>
      <c r="H895" s="44"/>
      <c r="I895" s="44"/>
      <c r="J895" s="44"/>
      <c r="K895" s="44"/>
      <c r="L895" s="44"/>
      <c r="M895" s="44"/>
      <c r="N895" s="44"/>
      <c r="O895" s="44"/>
    </row>
    <row r="896" spans="1:15" ht="17.25" customHeight="1">
      <c r="A896" s="44"/>
      <c r="B896" s="44"/>
      <c r="C896" s="44"/>
      <c r="D896" s="44"/>
      <c r="E896" s="44"/>
      <c r="F896" s="44"/>
      <c r="G896" s="44"/>
      <c r="H896" s="44"/>
      <c r="I896" s="44"/>
      <c r="J896" s="44"/>
      <c r="K896" s="44"/>
      <c r="L896" s="44"/>
      <c r="M896" s="44"/>
      <c r="N896" s="44"/>
      <c r="O896" s="44"/>
    </row>
    <row r="897" spans="1:15" ht="17.25" customHeight="1">
      <c r="A897" s="44"/>
      <c r="B897" s="44"/>
      <c r="C897" s="44"/>
      <c r="D897" s="44"/>
      <c r="E897" s="44"/>
      <c r="F897" s="44"/>
      <c r="G897" s="44"/>
      <c r="H897" s="44"/>
      <c r="I897" s="44"/>
      <c r="J897" s="44"/>
      <c r="K897" s="44"/>
      <c r="L897" s="44"/>
      <c r="M897" s="44"/>
      <c r="N897" s="44"/>
      <c r="O897" s="44"/>
    </row>
    <row r="898" spans="1:15" ht="17.25" customHeight="1">
      <c r="A898" s="44"/>
      <c r="B898" s="44"/>
      <c r="C898" s="44"/>
      <c r="D898" s="44"/>
      <c r="E898" s="44"/>
      <c r="F898" s="44"/>
      <c r="G898" s="44"/>
      <c r="H898" s="44"/>
      <c r="I898" s="44"/>
      <c r="J898" s="44"/>
      <c r="K898" s="44"/>
      <c r="L898" s="44"/>
      <c r="M898" s="44"/>
      <c r="N898" s="44"/>
      <c r="O898" s="44"/>
    </row>
    <row r="899" spans="1:15" ht="17.25" customHeight="1">
      <c r="A899" s="44"/>
      <c r="B899" s="44"/>
      <c r="C899" s="44"/>
      <c r="D899" s="44"/>
      <c r="E899" s="44"/>
      <c r="F899" s="44"/>
      <c r="G899" s="44"/>
      <c r="H899" s="44"/>
      <c r="I899" s="44"/>
      <c r="J899" s="44"/>
      <c r="K899" s="44"/>
      <c r="L899" s="44"/>
      <c r="M899" s="44"/>
      <c r="N899" s="44"/>
      <c r="O899" s="44"/>
    </row>
    <row r="900" spans="1:15" ht="17.25" customHeight="1">
      <c r="A900" s="44"/>
      <c r="B900" s="44"/>
      <c r="C900" s="44"/>
      <c r="D900" s="44"/>
      <c r="E900" s="44"/>
      <c r="F900" s="44"/>
      <c r="G900" s="44"/>
      <c r="H900" s="44"/>
      <c r="I900" s="44"/>
      <c r="J900" s="44"/>
      <c r="K900" s="44"/>
      <c r="L900" s="44"/>
      <c r="M900" s="44"/>
      <c r="N900" s="44"/>
      <c r="O900" s="44"/>
    </row>
    <row r="901" spans="1:15" ht="17.25" customHeight="1">
      <c r="A901" s="44"/>
      <c r="B901" s="44"/>
      <c r="C901" s="44"/>
      <c r="D901" s="44"/>
      <c r="E901" s="44"/>
      <c r="F901" s="44"/>
      <c r="G901" s="44"/>
      <c r="H901" s="44"/>
      <c r="I901" s="44"/>
      <c r="J901" s="44"/>
      <c r="K901" s="44"/>
      <c r="L901" s="44"/>
      <c r="M901" s="44"/>
      <c r="N901" s="44"/>
      <c r="O901" s="44"/>
    </row>
    <row r="902" spans="1:15" ht="17.25" customHeight="1">
      <c r="A902" s="44"/>
      <c r="B902" s="44"/>
      <c r="C902" s="44"/>
      <c r="D902" s="44"/>
      <c r="E902" s="44"/>
      <c r="F902" s="44"/>
      <c r="G902" s="44"/>
      <c r="H902" s="44"/>
      <c r="I902" s="44"/>
      <c r="J902" s="44"/>
      <c r="K902" s="44"/>
      <c r="L902" s="44"/>
      <c r="M902" s="44"/>
      <c r="N902" s="44"/>
      <c r="O902" s="44"/>
    </row>
    <row r="903" spans="1:15" ht="17.25" customHeight="1">
      <c r="A903" s="44"/>
      <c r="B903" s="44"/>
      <c r="C903" s="44"/>
      <c r="D903" s="44"/>
      <c r="E903" s="44"/>
      <c r="F903" s="44"/>
      <c r="G903" s="44"/>
      <c r="H903" s="44"/>
      <c r="I903" s="44"/>
      <c r="J903" s="44"/>
      <c r="K903" s="44"/>
      <c r="L903" s="44"/>
      <c r="M903" s="44"/>
      <c r="N903" s="44"/>
      <c r="O903" s="44"/>
    </row>
    <row r="904" spans="1:15" ht="17.25" customHeight="1">
      <c r="A904" s="44"/>
      <c r="B904" s="44"/>
      <c r="C904" s="44"/>
      <c r="D904" s="44"/>
      <c r="E904" s="44"/>
      <c r="F904" s="44"/>
      <c r="G904" s="44"/>
      <c r="H904" s="44"/>
      <c r="I904" s="44"/>
      <c r="J904" s="44"/>
      <c r="K904" s="44"/>
      <c r="L904" s="44"/>
      <c r="M904" s="44"/>
      <c r="N904" s="44"/>
      <c r="O904" s="44"/>
    </row>
    <row r="905" spans="1:15" ht="17.25" customHeight="1">
      <c r="A905" s="44"/>
      <c r="B905" s="44"/>
      <c r="C905" s="44"/>
      <c r="D905" s="44"/>
      <c r="E905" s="44"/>
      <c r="F905" s="44"/>
      <c r="G905" s="44"/>
      <c r="H905" s="44"/>
      <c r="I905" s="44"/>
      <c r="J905" s="44"/>
      <c r="K905" s="44"/>
      <c r="L905" s="44"/>
      <c r="M905" s="44"/>
      <c r="N905" s="44"/>
      <c r="O905" s="44"/>
    </row>
    <row r="906" spans="1:15" ht="17.25" customHeight="1">
      <c r="A906" s="44"/>
      <c r="B906" s="44"/>
      <c r="C906" s="44"/>
      <c r="D906" s="44"/>
      <c r="E906" s="44"/>
      <c r="F906" s="44"/>
      <c r="G906" s="44"/>
      <c r="H906" s="44"/>
      <c r="I906" s="44"/>
      <c r="J906" s="44"/>
      <c r="K906" s="44"/>
      <c r="L906" s="44"/>
      <c r="M906" s="44"/>
      <c r="N906" s="44"/>
      <c r="O906" s="44"/>
    </row>
    <row r="907" spans="1:15" ht="17.25" customHeight="1">
      <c r="A907" s="44"/>
      <c r="B907" s="44"/>
      <c r="C907" s="44"/>
      <c r="D907" s="44"/>
      <c r="E907" s="44"/>
      <c r="F907" s="44"/>
      <c r="G907" s="44"/>
      <c r="H907" s="44"/>
      <c r="I907" s="44"/>
      <c r="J907" s="44"/>
      <c r="K907" s="44"/>
      <c r="L907" s="44"/>
      <c r="M907" s="44"/>
      <c r="N907" s="44"/>
      <c r="O907" s="44"/>
    </row>
    <row r="908" spans="1:15" ht="17.25" customHeight="1">
      <c r="A908" s="44"/>
      <c r="B908" s="44"/>
      <c r="C908" s="44"/>
      <c r="D908" s="44"/>
      <c r="E908" s="44"/>
      <c r="F908" s="44"/>
      <c r="G908" s="44"/>
      <c r="H908" s="44"/>
      <c r="I908" s="44"/>
      <c r="J908" s="44"/>
      <c r="K908" s="44"/>
      <c r="L908" s="44"/>
      <c r="M908" s="44"/>
      <c r="N908" s="44"/>
      <c r="O908" s="44"/>
    </row>
    <row r="909" spans="1:15" ht="17.25" customHeight="1">
      <c r="A909" s="44"/>
      <c r="B909" s="44"/>
      <c r="C909" s="44"/>
      <c r="D909" s="44"/>
      <c r="E909" s="44"/>
      <c r="F909" s="44"/>
      <c r="G909" s="44"/>
      <c r="H909" s="44"/>
      <c r="I909" s="44"/>
      <c r="J909" s="44"/>
      <c r="K909" s="44"/>
      <c r="L909" s="44"/>
      <c r="M909" s="44"/>
      <c r="N909" s="44"/>
      <c r="O909" s="44"/>
    </row>
    <row r="910" spans="1:15" ht="17.25" customHeight="1">
      <c r="A910" s="44"/>
      <c r="B910" s="44"/>
      <c r="C910" s="44"/>
      <c r="D910" s="44"/>
      <c r="E910" s="44"/>
      <c r="F910" s="44"/>
      <c r="G910" s="44"/>
      <c r="H910" s="44"/>
      <c r="I910" s="44"/>
      <c r="J910" s="44"/>
      <c r="K910" s="44"/>
      <c r="L910" s="44"/>
      <c r="M910" s="44"/>
      <c r="N910" s="44"/>
      <c r="O910" s="44"/>
    </row>
    <row r="911" spans="1:15" ht="17.25" customHeight="1">
      <c r="A911" s="44"/>
      <c r="B911" s="44"/>
      <c r="C911" s="44"/>
      <c r="D911" s="44"/>
      <c r="E911" s="44"/>
      <c r="F911" s="44"/>
      <c r="G911" s="44"/>
      <c r="H911" s="44"/>
      <c r="I911" s="44"/>
      <c r="J911" s="44"/>
      <c r="K911" s="44"/>
      <c r="L911" s="44"/>
      <c r="M911" s="44"/>
      <c r="N911" s="44"/>
      <c r="O911" s="44"/>
    </row>
    <row r="912" spans="1:15" ht="17.25" customHeight="1">
      <c r="A912" s="44"/>
      <c r="B912" s="44"/>
      <c r="C912" s="44"/>
      <c r="D912" s="44"/>
      <c r="E912" s="44"/>
      <c r="F912" s="44"/>
      <c r="G912" s="44"/>
      <c r="H912" s="44"/>
      <c r="I912" s="44"/>
      <c r="J912" s="44"/>
      <c r="K912" s="44"/>
      <c r="L912" s="44"/>
      <c r="M912" s="44"/>
      <c r="N912" s="44"/>
      <c r="O912" s="44"/>
    </row>
    <row r="913" spans="1:15" ht="17.25" customHeight="1">
      <c r="A913" s="44"/>
      <c r="B913" s="44"/>
      <c r="C913" s="44"/>
      <c r="D913" s="44"/>
      <c r="E913" s="44"/>
      <c r="F913" s="44"/>
      <c r="G913" s="44"/>
      <c r="H913" s="44"/>
      <c r="I913" s="44"/>
      <c r="J913" s="44"/>
      <c r="K913" s="44"/>
      <c r="L913" s="44"/>
      <c r="M913" s="44"/>
      <c r="N913" s="44"/>
      <c r="O913" s="44"/>
    </row>
    <row r="914" spans="1:15" ht="17.25" customHeight="1">
      <c r="A914" s="44"/>
      <c r="B914" s="44"/>
      <c r="C914" s="44"/>
      <c r="D914" s="44"/>
      <c r="E914" s="44"/>
      <c r="F914" s="44"/>
      <c r="G914" s="44"/>
      <c r="H914" s="44"/>
      <c r="I914" s="44"/>
      <c r="J914" s="44"/>
      <c r="K914" s="44"/>
      <c r="L914" s="44"/>
      <c r="M914" s="44"/>
      <c r="N914" s="44"/>
      <c r="O914" s="44"/>
    </row>
    <row r="915" spans="1:15" ht="17.25" customHeight="1">
      <c r="A915" s="44"/>
      <c r="B915" s="44"/>
      <c r="C915" s="44"/>
      <c r="D915" s="44"/>
      <c r="E915" s="44"/>
      <c r="F915" s="44"/>
      <c r="G915" s="44"/>
      <c r="H915" s="44"/>
      <c r="I915" s="44"/>
      <c r="J915" s="44"/>
      <c r="K915" s="44"/>
      <c r="L915" s="44"/>
      <c r="M915" s="44"/>
      <c r="N915" s="44"/>
      <c r="O915" s="44"/>
    </row>
    <row r="916" spans="1:15" ht="17.25" customHeight="1">
      <c r="A916" s="44"/>
      <c r="B916" s="44"/>
      <c r="C916" s="44"/>
      <c r="D916" s="44"/>
      <c r="E916" s="44"/>
      <c r="F916" s="44"/>
      <c r="G916" s="44"/>
      <c r="H916" s="44"/>
      <c r="I916" s="44"/>
      <c r="J916" s="44"/>
      <c r="K916" s="44"/>
      <c r="L916" s="44"/>
      <c r="M916" s="44"/>
      <c r="N916" s="44"/>
      <c r="O916" s="44"/>
    </row>
    <row r="917" spans="1:15" ht="17.25" customHeight="1">
      <c r="A917" s="44"/>
      <c r="B917" s="44"/>
      <c r="C917" s="44"/>
      <c r="D917" s="44"/>
      <c r="E917" s="44"/>
      <c r="F917" s="44"/>
      <c r="G917" s="44"/>
      <c r="H917" s="44"/>
      <c r="I917" s="44"/>
      <c r="J917" s="44"/>
      <c r="K917" s="44"/>
      <c r="L917" s="44"/>
      <c r="M917" s="44"/>
      <c r="N917" s="44"/>
      <c r="O917" s="44"/>
    </row>
    <row r="918" spans="1:15" ht="17.25" customHeight="1">
      <c r="A918" s="44"/>
      <c r="B918" s="44"/>
      <c r="C918" s="44"/>
      <c r="D918" s="44"/>
      <c r="E918" s="44"/>
      <c r="F918" s="44"/>
      <c r="G918" s="44"/>
      <c r="H918" s="44"/>
      <c r="I918" s="44"/>
      <c r="J918" s="44"/>
      <c r="K918" s="44"/>
      <c r="L918" s="44"/>
      <c r="M918" s="44"/>
      <c r="N918" s="44"/>
      <c r="O918" s="44"/>
    </row>
    <row r="919" spans="1:15" ht="17.25" customHeight="1">
      <c r="A919" s="44"/>
      <c r="B919" s="44"/>
      <c r="C919" s="44"/>
      <c r="D919" s="44"/>
      <c r="E919" s="44"/>
      <c r="F919" s="44"/>
      <c r="G919" s="44"/>
      <c r="H919" s="44"/>
      <c r="I919" s="44"/>
      <c r="J919" s="44"/>
      <c r="K919" s="44"/>
      <c r="L919" s="44"/>
      <c r="M919" s="44"/>
      <c r="N919" s="44"/>
      <c r="O919" s="44"/>
    </row>
    <row r="920" spans="1:15" ht="17.25" customHeight="1">
      <c r="A920" s="44"/>
      <c r="B920" s="44"/>
      <c r="C920" s="44"/>
      <c r="D920" s="44"/>
      <c r="E920" s="44"/>
      <c r="F920" s="44"/>
      <c r="G920" s="44"/>
      <c r="H920" s="44"/>
      <c r="I920" s="44"/>
      <c r="J920" s="44"/>
      <c r="K920" s="44"/>
      <c r="L920" s="44"/>
      <c r="M920" s="44"/>
      <c r="N920" s="44"/>
      <c r="O920" s="44"/>
    </row>
    <row r="921" spans="1:15" ht="17.25" customHeight="1">
      <c r="A921" s="44"/>
      <c r="B921" s="44"/>
      <c r="C921" s="44"/>
      <c r="D921" s="44"/>
      <c r="E921" s="44"/>
      <c r="F921" s="44"/>
      <c r="G921" s="44"/>
      <c r="H921" s="44"/>
      <c r="I921" s="44"/>
      <c r="J921" s="44"/>
      <c r="K921" s="44"/>
      <c r="L921" s="44"/>
      <c r="M921" s="44"/>
      <c r="N921" s="44"/>
      <c r="O921" s="44"/>
    </row>
    <row r="922" spans="1:15" ht="17.25" customHeight="1">
      <c r="A922" s="44"/>
      <c r="B922" s="44"/>
      <c r="C922" s="44"/>
      <c r="D922" s="44"/>
      <c r="E922" s="44"/>
      <c r="F922" s="44"/>
      <c r="G922" s="44"/>
      <c r="H922" s="44"/>
      <c r="I922" s="44"/>
      <c r="J922" s="44"/>
      <c r="K922" s="44"/>
      <c r="L922" s="44"/>
      <c r="M922" s="44"/>
      <c r="N922" s="44"/>
      <c r="O922" s="44"/>
    </row>
    <row r="923" spans="1:15" ht="17.25" customHeight="1">
      <c r="A923" s="44"/>
      <c r="B923" s="44"/>
      <c r="C923" s="44"/>
      <c r="D923" s="44"/>
      <c r="E923" s="44"/>
      <c r="F923" s="44"/>
      <c r="G923" s="44"/>
      <c r="H923" s="44"/>
      <c r="I923" s="44"/>
      <c r="J923" s="44"/>
      <c r="K923" s="44"/>
      <c r="L923" s="44"/>
      <c r="M923" s="44"/>
      <c r="N923" s="44"/>
      <c r="O923" s="44"/>
    </row>
    <row r="924" spans="1:15" ht="17.25" customHeight="1">
      <c r="A924" s="44"/>
      <c r="B924" s="44"/>
      <c r="C924" s="44"/>
      <c r="D924" s="44"/>
      <c r="E924" s="44"/>
      <c r="F924" s="44"/>
      <c r="G924" s="44"/>
      <c r="H924" s="44"/>
      <c r="I924" s="44"/>
      <c r="J924" s="44"/>
      <c r="K924" s="44"/>
      <c r="L924" s="44"/>
      <c r="M924" s="44"/>
      <c r="N924" s="44"/>
      <c r="O924" s="44"/>
    </row>
    <row r="925" spans="1:15" ht="17.25" customHeight="1">
      <c r="A925" s="44"/>
      <c r="B925" s="44"/>
      <c r="C925" s="44"/>
      <c r="D925" s="44"/>
      <c r="E925" s="44"/>
      <c r="F925" s="44"/>
      <c r="G925" s="44"/>
      <c r="H925" s="44"/>
      <c r="I925" s="44"/>
      <c r="J925" s="44"/>
      <c r="K925" s="44"/>
      <c r="L925" s="44"/>
      <c r="M925" s="44"/>
      <c r="N925" s="44"/>
      <c r="O925" s="44"/>
    </row>
    <row r="926" spans="1:15" ht="17.25" customHeight="1">
      <c r="A926" s="44"/>
      <c r="B926" s="44"/>
      <c r="C926" s="44"/>
      <c r="D926" s="44"/>
      <c r="E926" s="44"/>
      <c r="F926" s="44"/>
      <c r="G926" s="44"/>
      <c r="H926" s="44"/>
      <c r="I926" s="44"/>
      <c r="J926" s="44"/>
      <c r="K926" s="44"/>
      <c r="L926" s="44"/>
      <c r="M926" s="44"/>
      <c r="N926" s="44"/>
      <c r="O926" s="44"/>
    </row>
    <row r="927" spans="1:15" ht="17.25" customHeight="1">
      <c r="A927" s="44"/>
      <c r="B927" s="44"/>
      <c r="C927" s="44"/>
      <c r="D927" s="44"/>
      <c r="E927" s="44"/>
      <c r="F927" s="44"/>
      <c r="G927" s="44"/>
      <c r="H927" s="44"/>
      <c r="I927" s="44"/>
      <c r="J927" s="44"/>
      <c r="K927" s="44"/>
      <c r="L927" s="44"/>
      <c r="M927" s="44"/>
      <c r="N927" s="44"/>
      <c r="O927" s="44"/>
    </row>
    <row r="928" spans="1:15" ht="17.25" customHeight="1">
      <c r="A928" s="44"/>
      <c r="B928" s="44"/>
      <c r="C928" s="44"/>
      <c r="D928" s="44"/>
      <c r="E928" s="44"/>
      <c r="F928" s="44"/>
      <c r="G928" s="44"/>
      <c r="H928" s="44"/>
      <c r="I928" s="44"/>
      <c r="J928" s="44"/>
      <c r="K928" s="44"/>
      <c r="L928" s="44"/>
      <c r="M928" s="44"/>
      <c r="N928" s="44"/>
      <c r="O928" s="44"/>
    </row>
    <row r="929" spans="1:15" ht="17.25" customHeight="1">
      <c r="A929" s="44"/>
      <c r="B929" s="44"/>
      <c r="C929" s="44"/>
      <c r="D929" s="44"/>
      <c r="E929" s="44"/>
      <c r="F929" s="44"/>
      <c r="G929" s="44"/>
      <c r="H929" s="44"/>
      <c r="I929" s="44"/>
      <c r="J929" s="44"/>
      <c r="K929" s="44"/>
      <c r="L929" s="44"/>
      <c r="M929" s="44"/>
      <c r="N929" s="44"/>
      <c r="O929" s="44"/>
    </row>
    <row r="930" spans="1:15" ht="17.25" customHeight="1">
      <c r="A930" s="44"/>
      <c r="B930" s="44"/>
      <c r="C930" s="44"/>
      <c r="D930" s="44"/>
      <c r="E930" s="44"/>
      <c r="F930" s="44"/>
      <c r="G930" s="44"/>
      <c r="H930" s="44"/>
      <c r="I930" s="44"/>
      <c r="J930" s="44"/>
      <c r="K930" s="44"/>
      <c r="L930" s="44"/>
      <c r="M930" s="44"/>
      <c r="N930" s="44"/>
      <c r="O930" s="44"/>
    </row>
    <row r="931" spans="1:15" ht="17.25" customHeight="1">
      <c r="A931" s="44"/>
      <c r="B931" s="44"/>
      <c r="C931" s="44"/>
      <c r="D931" s="44"/>
      <c r="E931" s="44"/>
      <c r="F931" s="44"/>
      <c r="G931" s="44"/>
      <c r="H931" s="44"/>
      <c r="I931" s="44"/>
      <c r="J931" s="44"/>
      <c r="K931" s="44"/>
      <c r="L931" s="44"/>
      <c r="M931" s="44"/>
      <c r="N931" s="44"/>
      <c r="O931" s="44"/>
    </row>
    <row r="932" spans="1:15" ht="17.25" customHeight="1">
      <c r="A932" s="44"/>
      <c r="B932" s="44"/>
      <c r="C932" s="44"/>
      <c r="D932" s="44"/>
      <c r="E932" s="44"/>
      <c r="F932" s="44"/>
      <c r="G932" s="44"/>
      <c r="H932" s="44"/>
      <c r="I932" s="44"/>
      <c r="J932" s="44"/>
      <c r="K932" s="44"/>
      <c r="L932" s="44"/>
      <c r="M932" s="44"/>
      <c r="N932" s="44"/>
      <c r="O932" s="44"/>
    </row>
    <row r="933" spans="1:15" ht="17.25" customHeight="1">
      <c r="A933" s="44"/>
      <c r="B933" s="44"/>
      <c r="C933" s="44"/>
      <c r="D933" s="44"/>
      <c r="E933" s="44"/>
      <c r="F933" s="44"/>
      <c r="G933" s="44"/>
      <c r="H933" s="44"/>
      <c r="I933" s="44"/>
      <c r="J933" s="44"/>
      <c r="K933" s="44"/>
      <c r="L933" s="44"/>
      <c r="M933" s="44"/>
      <c r="N933" s="44"/>
      <c r="O933" s="44"/>
    </row>
    <row r="934" spans="1:15" ht="17.25" customHeight="1">
      <c r="A934" s="44"/>
      <c r="B934" s="44"/>
      <c r="C934" s="44"/>
      <c r="D934" s="44"/>
      <c r="E934" s="44"/>
      <c r="F934" s="44"/>
      <c r="G934" s="44"/>
      <c r="H934" s="44"/>
      <c r="I934" s="44"/>
      <c r="J934" s="44"/>
      <c r="K934" s="44"/>
      <c r="L934" s="44"/>
      <c r="M934" s="44"/>
      <c r="N934" s="44"/>
      <c r="O934" s="44"/>
    </row>
    <row r="935" spans="1:15" ht="17.25" customHeight="1">
      <c r="A935" s="44"/>
      <c r="B935" s="44"/>
      <c r="C935" s="44"/>
      <c r="D935" s="44"/>
      <c r="E935" s="44"/>
      <c r="F935" s="44"/>
      <c r="G935" s="44"/>
      <c r="H935" s="44"/>
      <c r="I935" s="44"/>
      <c r="J935" s="44"/>
      <c r="K935" s="44"/>
      <c r="L935" s="44"/>
      <c r="M935" s="44"/>
      <c r="N935" s="44"/>
      <c r="O935" s="44"/>
    </row>
    <row r="936" spans="1:15" ht="17.25" customHeight="1">
      <c r="A936" s="44"/>
      <c r="B936" s="44"/>
      <c r="C936" s="44"/>
      <c r="D936" s="44"/>
      <c r="E936" s="44"/>
      <c r="F936" s="44"/>
      <c r="G936" s="44"/>
      <c r="H936" s="44"/>
      <c r="I936" s="44"/>
      <c r="J936" s="44"/>
      <c r="K936" s="44"/>
      <c r="L936" s="44"/>
      <c r="M936" s="44"/>
      <c r="N936" s="44"/>
      <c r="O936" s="44"/>
    </row>
    <row r="937" spans="1:15" ht="17.25" customHeight="1">
      <c r="A937" s="44"/>
      <c r="B937" s="44"/>
      <c r="C937" s="44"/>
      <c r="D937" s="44"/>
      <c r="E937" s="44"/>
      <c r="F937" s="44"/>
      <c r="G937" s="44"/>
      <c r="H937" s="44"/>
      <c r="I937" s="44"/>
      <c r="J937" s="44"/>
      <c r="K937" s="44"/>
      <c r="L937" s="44"/>
      <c r="M937" s="44"/>
      <c r="N937" s="44"/>
      <c r="O937" s="44"/>
    </row>
    <row r="938" spans="1:15" ht="17.25" customHeight="1">
      <c r="A938" s="44"/>
      <c r="B938" s="44"/>
      <c r="C938" s="44"/>
      <c r="D938" s="44"/>
      <c r="E938" s="44"/>
      <c r="F938" s="44"/>
      <c r="G938" s="44"/>
      <c r="H938" s="44"/>
      <c r="I938" s="44"/>
      <c r="J938" s="44"/>
      <c r="K938" s="44"/>
      <c r="L938" s="44"/>
      <c r="M938" s="44"/>
      <c r="N938" s="44"/>
      <c r="O938" s="44"/>
    </row>
    <row r="939" spans="1:15" ht="17.25" customHeight="1">
      <c r="A939" s="44"/>
      <c r="B939" s="44"/>
      <c r="C939" s="44"/>
      <c r="D939" s="44"/>
      <c r="E939" s="44"/>
      <c r="F939" s="44"/>
      <c r="G939" s="44"/>
      <c r="H939" s="44"/>
      <c r="I939" s="44"/>
      <c r="J939" s="44"/>
      <c r="K939" s="44"/>
      <c r="L939" s="44"/>
      <c r="M939" s="44"/>
      <c r="N939" s="44"/>
      <c r="O939" s="44"/>
    </row>
    <row r="940" spans="1:15" ht="17.25" customHeight="1">
      <c r="A940" s="44"/>
      <c r="B940" s="44"/>
      <c r="C940" s="44"/>
      <c r="D940" s="44"/>
      <c r="E940" s="44"/>
      <c r="F940" s="44"/>
      <c r="G940" s="44"/>
      <c r="H940" s="44"/>
      <c r="I940" s="44"/>
      <c r="J940" s="44"/>
      <c r="K940" s="44"/>
      <c r="L940" s="44"/>
      <c r="M940" s="44"/>
      <c r="N940" s="44"/>
      <c r="O940" s="44"/>
    </row>
    <row r="941" spans="1:15" ht="17.25" customHeight="1">
      <c r="A941" s="44"/>
      <c r="B941" s="44"/>
      <c r="C941" s="44"/>
      <c r="D941" s="44"/>
      <c r="E941" s="44"/>
      <c r="F941" s="44"/>
      <c r="G941" s="44"/>
      <c r="H941" s="44"/>
      <c r="I941" s="44"/>
      <c r="J941" s="44"/>
      <c r="K941" s="44"/>
      <c r="L941" s="44"/>
      <c r="M941" s="44"/>
      <c r="N941" s="44"/>
      <c r="O941" s="44"/>
    </row>
    <row r="942" spans="1:15" ht="17.25" customHeight="1">
      <c r="A942" s="44"/>
      <c r="B942" s="44"/>
      <c r="C942" s="44"/>
      <c r="D942" s="44"/>
      <c r="E942" s="44"/>
      <c r="F942" s="44"/>
      <c r="G942" s="44"/>
      <c r="H942" s="44"/>
      <c r="I942" s="44"/>
      <c r="J942" s="44"/>
      <c r="K942" s="44"/>
      <c r="L942" s="44"/>
      <c r="M942" s="44"/>
      <c r="N942" s="44"/>
      <c r="O942" s="44"/>
    </row>
    <row r="943" spans="1:15" ht="17.25" customHeight="1">
      <c r="A943" s="44"/>
      <c r="B943" s="44"/>
      <c r="C943" s="44"/>
      <c r="D943" s="44"/>
      <c r="E943" s="44"/>
      <c r="F943" s="44"/>
      <c r="G943" s="44"/>
      <c r="H943" s="44"/>
      <c r="I943" s="44"/>
      <c r="J943" s="44"/>
      <c r="K943" s="44"/>
      <c r="L943" s="44"/>
      <c r="M943" s="44"/>
      <c r="N943" s="44"/>
      <c r="O943" s="44"/>
    </row>
    <row r="944" spans="1:15" ht="17.25" customHeight="1">
      <c r="A944" s="44"/>
      <c r="B944" s="44"/>
      <c r="C944" s="44"/>
      <c r="D944" s="44"/>
      <c r="E944" s="44"/>
      <c r="F944" s="44"/>
      <c r="G944" s="44"/>
      <c r="H944" s="44"/>
      <c r="I944" s="44"/>
      <c r="J944" s="44"/>
      <c r="K944" s="44"/>
      <c r="L944" s="44"/>
      <c r="M944" s="44"/>
      <c r="N944" s="44"/>
      <c r="O944" s="44"/>
    </row>
    <row r="945" spans="1:15" ht="17.25" customHeight="1">
      <c r="A945" s="44"/>
      <c r="B945" s="44"/>
      <c r="C945" s="44"/>
      <c r="D945" s="44"/>
      <c r="E945" s="44"/>
      <c r="F945" s="44"/>
      <c r="G945" s="44"/>
      <c r="H945" s="44"/>
      <c r="I945" s="44"/>
      <c r="J945" s="44"/>
      <c r="K945" s="44"/>
      <c r="L945" s="44"/>
      <c r="M945" s="44"/>
      <c r="N945" s="44"/>
      <c r="O945" s="44"/>
    </row>
    <row r="946" spans="1:15" ht="17.25" customHeight="1">
      <c r="A946" s="44"/>
      <c r="B946" s="44"/>
      <c r="C946" s="44"/>
      <c r="D946" s="44"/>
      <c r="E946" s="44"/>
      <c r="F946" s="44"/>
      <c r="G946" s="44"/>
      <c r="H946" s="44"/>
      <c r="I946" s="44"/>
      <c r="J946" s="44"/>
      <c r="K946" s="44"/>
      <c r="L946" s="44"/>
      <c r="M946" s="44"/>
      <c r="N946" s="44"/>
      <c r="O946" s="44"/>
    </row>
    <row r="947" spans="1:15" ht="17.25" customHeight="1">
      <c r="A947" s="44"/>
      <c r="B947" s="44"/>
      <c r="C947" s="44"/>
      <c r="D947" s="44"/>
      <c r="E947" s="44"/>
      <c r="F947" s="44"/>
      <c r="G947" s="44"/>
      <c r="H947" s="44"/>
      <c r="I947" s="44"/>
      <c r="J947" s="44"/>
      <c r="K947" s="44"/>
      <c r="L947" s="44"/>
      <c r="M947" s="44"/>
      <c r="N947" s="44"/>
      <c r="O947" s="44"/>
    </row>
    <row r="948" spans="1:15" ht="17.25" customHeight="1">
      <c r="A948" s="44"/>
      <c r="B948" s="44"/>
      <c r="C948" s="44"/>
      <c r="D948" s="44"/>
      <c r="E948" s="44"/>
      <c r="F948" s="44"/>
      <c r="G948" s="44"/>
      <c r="H948" s="44"/>
      <c r="I948" s="44"/>
      <c r="J948" s="44"/>
      <c r="K948" s="44"/>
      <c r="L948" s="44"/>
      <c r="M948" s="44"/>
      <c r="N948" s="44"/>
      <c r="O948" s="44"/>
    </row>
    <row r="949" spans="1:15" ht="17.25" customHeight="1">
      <c r="A949" s="44"/>
      <c r="B949" s="44"/>
      <c r="C949" s="44"/>
      <c r="D949" s="44"/>
      <c r="E949" s="44"/>
      <c r="F949" s="44"/>
      <c r="G949" s="44"/>
      <c r="H949" s="44"/>
      <c r="I949" s="44"/>
      <c r="J949" s="44"/>
      <c r="K949" s="44"/>
      <c r="L949" s="44"/>
      <c r="M949" s="44"/>
      <c r="N949" s="44"/>
      <c r="O949" s="44"/>
    </row>
    <row r="950" spans="1:15" ht="17.25" customHeight="1">
      <c r="A950" s="44"/>
      <c r="B950" s="44"/>
      <c r="C950" s="44"/>
      <c r="D950" s="44"/>
      <c r="E950" s="44"/>
      <c r="F950" s="44"/>
      <c r="G950" s="44"/>
      <c r="H950" s="44"/>
      <c r="I950" s="44"/>
      <c r="J950" s="44"/>
      <c r="K950" s="44"/>
      <c r="L950" s="44"/>
      <c r="M950" s="44"/>
      <c r="N950" s="44"/>
      <c r="O950" s="44"/>
    </row>
    <row r="951" spans="1:15" ht="17.25" customHeight="1">
      <c r="A951" s="44"/>
      <c r="B951" s="44"/>
      <c r="C951" s="44"/>
      <c r="D951" s="44"/>
      <c r="E951" s="44"/>
      <c r="F951" s="44"/>
      <c r="G951" s="44"/>
      <c r="H951" s="44"/>
      <c r="I951" s="44"/>
      <c r="J951" s="44"/>
      <c r="K951" s="44"/>
      <c r="L951" s="44"/>
      <c r="M951" s="44"/>
      <c r="N951" s="44"/>
      <c r="O951" s="44"/>
    </row>
    <row r="952" spans="1:15" ht="17.25" customHeight="1">
      <c r="A952" s="44"/>
      <c r="B952" s="44"/>
      <c r="C952" s="44"/>
      <c r="D952" s="44"/>
      <c r="E952" s="44"/>
      <c r="F952" s="44"/>
      <c r="G952" s="44"/>
      <c r="H952" s="44"/>
      <c r="I952" s="44"/>
      <c r="J952" s="44"/>
      <c r="K952" s="44"/>
      <c r="L952" s="44"/>
      <c r="M952" s="44"/>
      <c r="N952" s="44"/>
      <c r="O952" s="44"/>
    </row>
    <row r="953" spans="1:15" ht="17.25" customHeight="1">
      <c r="A953" s="44"/>
      <c r="B953" s="44"/>
      <c r="C953" s="44"/>
      <c r="D953" s="44"/>
      <c r="E953" s="44"/>
      <c r="F953" s="44"/>
      <c r="G953" s="44"/>
      <c r="H953" s="44"/>
      <c r="I953" s="44"/>
      <c r="J953" s="44"/>
      <c r="K953" s="44"/>
      <c r="L953" s="44"/>
      <c r="M953" s="44"/>
      <c r="N953" s="44"/>
      <c r="O953" s="44"/>
    </row>
    <row r="954" spans="1:15" ht="17.25" customHeight="1">
      <c r="A954" s="44"/>
      <c r="B954" s="44"/>
      <c r="C954" s="44"/>
      <c r="D954" s="44"/>
      <c r="E954" s="44"/>
      <c r="F954" s="44"/>
      <c r="G954" s="44"/>
      <c r="H954" s="44"/>
      <c r="I954" s="44"/>
      <c r="J954" s="44"/>
      <c r="K954" s="44"/>
      <c r="L954" s="44"/>
      <c r="M954" s="44"/>
      <c r="N954" s="44"/>
      <c r="O954" s="44"/>
    </row>
    <row r="955" spans="1:15" ht="17.25" customHeight="1">
      <c r="A955" s="44"/>
      <c r="B955" s="44"/>
      <c r="C955" s="44"/>
      <c r="D955" s="44"/>
      <c r="E955" s="44"/>
      <c r="F955" s="44"/>
      <c r="G955" s="44"/>
      <c r="H955" s="44"/>
      <c r="I955" s="44"/>
      <c r="J955" s="44"/>
      <c r="K955" s="44"/>
      <c r="L955" s="44"/>
      <c r="M955" s="44"/>
      <c r="N955" s="44"/>
      <c r="O955" s="44"/>
    </row>
    <row r="956" spans="1:15" ht="17.25" customHeight="1">
      <c r="A956" s="44"/>
      <c r="B956" s="44"/>
      <c r="C956" s="44"/>
      <c r="D956" s="44"/>
      <c r="E956" s="44"/>
      <c r="F956" s="44"/>
      <c r="G956" s="44"/>
      <c r="H956" s="44"/>
      <c r="I956" s="44"/>
      <c r="J956" s="44"/>
      <c r="K956" s="44"/>
      <c r="L956" s="44"/>
      <c r="M956" s="44"/>
      <c r="N956" s="44"/>
      <c r="O956" s="44"/>
    </row>
    <row r="957" spans="1:15" ht="17.25" customHeight="1">
      <c r="A957" s="44"/>
      <c r="B957" s="44"/>
      <c r="C957" s="44"/>
      <c r="D957" s="44"/>
      <c r="E957" s="44"/>
      <c r="F957" s="44"/>
      <c r="G957" s="44"/>
      <c r="H957" s="44"/>
      <c r="I957" s="44"/>
      <c r="J957" s="44"/>
      <c r="K957" s="44"/>
      <c r="L957" s="44"/>
      <c r="M957" s="44"/>
      <c r="N957" s="44"/>
      <c r="O957" s="44"/>
    </row>
    <row r="958" spans="1:15" ht="17.25" customHeight="1">
      <c r="A958" s="44"/>
      <c r="B958" s="44"/>
      <c r="C958" s="44"/>
      <c r="D958" s="44"/>
      <c r="E958" s="44"/>
      <c r="F958" s="44"/>
      <c r="G958" s="44"/>
      <c r="H958" s="44"/>
      <c r="I958" s="44"/>
      <c r="J958" s="44"/>
      <c r="K958" s="44"/>
      <c r="L958" s="44"/>
      <c r="M958" s="44"/>
      <c r="N958" s="44"/>
      <c r="O958" s="44"/>
    </row>
    <row r="959" spans="1:15" ht="17.25" customHeight="1">
      <c r="A959" s="44"/>
      <c r="B959" s="44"/>
      <c r="C959" s="44"/>
      <c r="D959" s="44"/>
      <c r="E959" s="44"/>
      <c r="F959" s="44"/>
      <c r="G959" s="44"/>
      <c r="H959" s="44"/>
      <c r="I959" s="44"/>
      <c r="J959" s="44"/>
      <c r="K959" s="44"/>
      <c r="L959" s="44"/>
      <c r="M959" s="44"/>
      <c r="N959" s="44"/>
      <c r="O959" s="44"/>
    </row>
    <row r="960" spans="1:15" ht="17.25" customHeight="1">
      <c r="A960" s="44"/>
      <c r="B960" s="44"/>
      <c r="C960" s="44"/>
      <c r="D960" s="44"/>
      <c r="E960" s="44"/>
      <c r="F960" s="44"/>
      <c r="G960" s="44"/>
      <c r="H960" s="44"/>
      <c r="I960" s="44"/>
      <c r="J960" s="44"/>
      <c r="K960" s="44"/>
      <c r="L960" s="44"/>
      <c r="M960" s="44"/>
      <c r="N960" s="44"/>
      <c r="O960" s="44"/>
    </row>
    <row r="961" spans="1:15" ht="17.25" customHeight="1">
      <c r="A961" s="44"/>
      <c r="B961" s="44"/>
      <c r="C961" s="44"/>
      <c r="D961" s="44"/>
      <c r="E961" s="44"/>
      <c r="F961" s="44"/>
      <c r="G961" s="44"/>
      <c r="H961" s="44"/>
      <c r="I961" s="44"/>
      <c r="J961" s="44"/>
      <c r="K961" s="44"/>
      <c r="L961" s="44"/>
      <c r="M961" s="44"/>
      <c r="N961" s="44"/>
      <c r="O961" s="44"/>
    </row>
    <row r="962" spans="1:15" ht="17.25" customHeight="1">
      <c r="A962" s="44"/>
      <c r="B962" s="44"/>
      <c r="C962" s="44"/>
      <c r="D962" s="44"/>
      <c r="E962" s="44"/>
      <c r="F962" s="44"/>
      <c r="G962" s="44"/>
      <c r="H962" s="44"/>
      <c r="I962" s="44"/>
      <c r="J962" s="44"/>
      <c r="K962" s="44"/>
      <c r="L962" s="44"/>
      <c r="M962" s="44"/>
      <c r="N962" s="44"/>
      <c r="O962" s="44"/>
    </row>
    <row r="963" spans="1:15" ht="17.25" customHeight="1">
      <c r="A963" s="44"/>
      <c r="B963" s="44"/>
      <c r="C963" s="44"/>
      <c r="D963" s="44"/>
      <c r="E963" s="44"/>
      <c r="F963" s="44"/>
      <c r="G963" s="44"/>
      <c r="H963" s="44"/>
      <c r="I963" s="44"/>
      <c r="J963" s="44"/>
      <c r="K963" s="44"/>
      <c r="L963" s="44"/>
      <c r="M963" s="44"/>
      <c r="N963" s="44"/>
      <c r="O963" s="44"/>
    </row>
    <row r="964" spans="1:15" ht="17.25" customHeight="1">
      <c r="A964" s="44"/>
      <c r="B964" s="44"/>
      <c r="C964" s="44"/>
      <c r="D964" s="44"/>
      <c r="E964" s="44"/>
      <c r="F964" s="44"/>
      <c r="G964" s="44"/>
      <c r="H964" s="44"/>
      <c r="I964" s="44"/>
      <c r="J964" s="44"/>
      <c r="K964" s="44"/>
      <c r="L964" s="44"/>
      <c r="M964" s="44"/>
      <c r="N964" s="44"/>
      <c r="O964" s="44"/>
    </row>
    <row r="965" spans="1:15" ht="17.25" customHeight="1">
      <c r="A965" s="44"/>
      <c r="B965" s="44"/>
      <c r="C965" s="44"/>
      <c r="D965" s="44"/>
      <c r="E965" s="44"/>
      <c r="F965" s="44"/>
      <c r="G965" s="44"/>
      <c r="H965" s="44"/>
      <c r="I965" s="44"/>
      <c r="J965" s="44"/>
      <c r="K965" s="44"/>
      <c r="L965" s="44"/>
      <c r="M965" s="44"/>
      <c r="N965" s="44"/>
      <c r="O965" s="44"/>
    </row>
    <row r="966" spans="1:15" ht="17.25" customHeight="1">
      <c r="A966" s="44"/>
      <c r="B966" s="44"/>
      <c r="C966" s="44"/>
      <c r="D966" s="44"/>
      <c r="E966" s="44"/>
      <c r="F966" s="44"/>
      <c r="G966" s="44"/>
      <c r="H966" s="44"/>
      <c r="I966" s="44"/>
      <c r="J966" s="44"/>
      <c r="K966" s="44"/>
      <c r="L966" s="44"/>
      <c r="M966" s="44"/>
      <c r="N966" s="44"/>
      <c r="O966" s="44"/>
    </row>
    <row r="967" spans="1:15" ht="17.25" customHeight="1">
      <c r="A967" s="44"/>
      <c r="B967" s="44"/>
      <c r="C967" s="44"/>
      <c r="D967" s="44"/>
      <c r="E967" s="44"/>
      <c r="F967" s="44"/>
      <c r="G967" s="44"/>
      <c r="H967" s="44"/>
      <c r="I967" s="44"/>
      <c r="J967" s="44"/>
      <c r="K967" s="44"/>
      <c r="L967" s="44"/>
      <c r="M967" s="44"/>
      <c r="N967" s="44"/>
      <c r="O967" s="44"/>
    </row>
    <row r="968" spans="1:15" ht="17.25" customHeight="1">
      <c r="A968" s="44"/>
      <c r="B968" s="44"/>
      <c r="C968" s="44"/>
      <c r="D968" s="44"/>
      <c r="E968" s="44"/>
      <c r="F968" s="44"/>
      <c r="G968" s="44"/>
      <c r="H968" s="44"/>
      <c r="I968" s="44"/>
      <c r="J968" s="44"/>
      <c r="K968" s="44"/>
      <c r="L968" s="44"/>
      <c r="M968" s="44"/>
      <c r="N968" s="44"/>
      <c r="O968" s="44"/>
    </row>
    <row r="969" spans="1:15" ht="17.25" customHeight="1">
      <c r="A969" s="44"/>
      <c r="B969" s="44"/>
      <c r="C969" s="44"/>
      <c r="D969" s="44"/>
      <c r="E969" s="44"/>
      <c r="F969" s="44"/>
      <c r="G969" s="44"/>
      <c r="H969" s="44"/>
      <c r="I969" s="44"/>
      <c r="J969" s="44"/>
      <c r="K969" s="44"/>
      <c r="L969" s="44"/>
      <c r="M969" s="44"/>
      <c r="N969" s="44"/>
      <c r="O969" s="44"/>
    </row>
    <row r="970" spans="1:15" ht="17.25" customHeight="1">
      <c r="A970" s="44"/>
      <c r="B970" s="44"/>
      <c r="C970" s="44"/>
      <c r="D970" s="44"/>
      <c r="E970" s="44"/>
      <c r="F970" s="44"/>
      <c r="G970" s="44"/>
      <c r="H970" s="44"/>
      <c r="I970" s="44"/>
      <c r="J970" s="44"/>
      <c r="K970" s="44"/>
      <c r="L970" s="44"/>
      <c r="M970" s="44"/>
      <c r="N970" s="44"/>
      <c r="O970" s="44"/>
    </row>
    <row r="971" spans="1:15" ht="17.25" customHeight="1">
      <c r="A971" s="44"/>
      <c r="B971" s="44"/>
      <c r="C971" s="44"/>
      <c r="D971" s="44"/>
      <c r="E971" s="44"/>
      <c r="F971" s="44"/>
      <c r="G971" s="44"/>
      <c r="H971" s="44"/>
      <c r="I971" s="44"/>
      <c r="J971" s="44"/>
      <c r="K971" s="44"/>
      <c r="L971" s="44"/>
      <c r="M971" s="44"/>
      <c r="N971" s="44"/>
      <c r="O971" s="44"/>
    </row>
    <row r="972" spans="1:15" ht="17.25" customHeight="1">
      <c r="A972" s="44"/>
      <c r="B972" s="44"/>
      <c r="C972" s="44"/>
      <c r="D972" s="44"/>
      <c r="E972" s="44"/>
      <c r="F972" s="44"/>
      <c r="G972" s="44"/>
      <c r="H972" s="44"/>
      <c r="I972" s="44"/>
      <c r="J972" s="44"/>
      <c r="K972" s="44"/>
      <c r="L972" s="44"/>
      <c r="M972" s="44"/>
      <c r="N972" s="44"/>
      <c r="O972" s="44"/>
    </row>
    <row r="973" spans="1:15" ht="17.25" customHeight="1">
      <c r="A973" s="44"/>
      <c r="B973" s="44"/>
      <c r="C973" s="44"/>
      <c r="D973" s="44"/>
      <c r="E973" s="44"/>
      <c r="F973" s="44"/>
      <c r="G973" s="44"/>
      <c r="H973" s="44"/>
      <c r="I973" s="44"/>
      <c r="J973" s="44"/>
      <c r="K973" s="44"/>
      <c r="L973" s="44"/>
      <c r="M973" s="44"/>
      <c r="N973" s="44"/>
      <c r="O973" s="44"/>
    </row>
    <row r="974" spans="1:15" ht="17.25" customHeight="1">
      <c r="A974" s="44"/>
      <c r="B974" s="44"/>
      <c r="C974" s="44"/>
      <c r="D974" s="44"/>
      <c r="E974" s="44"/>
      <c r="F974" s="44"/>
      <c r="G974" s="44"/>
      <c r="H974" s="44"/>
      <c r="I974" s="44"/>
      <c r="J974" s="44"/>
      <c r="K974" s="44"/>
      <c r="L974" s="44"/>
      <c r="M974" s="44"/>
      <c r="N974" s="44"/>
      <c r="O974" s="44"/>
    </row>
    <row r="975" spans="1:15" ht="17.25" customHeight="1">
      <c r="A975" s="44"/>
      <c r="B975" s="44"/>
      <c r="C975" s="44"/>
      <c r="D975" s="44"/>
      <c r="E975" s="44"/>
      <c r="F975" s="44"/>
      <c r="G975" s="44"/>
      <c r="H975" s="44"/>
      <c r="I975" s="44"/>
      <c r="J975" s="44"/>
      <c r="K975" s="44"/>
      <c r="L975" s="44"/>
      <c r="M975" s="44"/>
      <c r="N975" s="44"/>
      <c r="O975" s="44"/>
    </row>
    <row r="976" spans="1:15" ht="17.25" customHeight="1">
      <c r="A976" s="44"/>
      <c r="B976" s="44"/>
      <c r="C976" s="44"/>
      <c r="D976" s="44"/>
      <c r="E976" s="44"/>
      <c r="F976" s="44"/>
      <c r="G976" s="44"/>
      <c r="H976" s="44"/>
      <c r="I976" s="44"/>
      <c r="J976" s="44"/>
      <c r="K976" s="44"/>
      <c r="L976" s="44"/>
      <c r="M976" s="44"/>
      <c r="N976" s="44"/>
      <c r="O976" s="44"/>
    </row>
    <row r="977" spans="1:15" ht="17.25" customHeight="1">
      <c r="A977" s="44"/>
      <c r="B977" s="44"/>
      <c r="C977" s="44"/>
      <c r="D977" s="44"/>
      <c r="E977" s="44"/>
      <c r="F977" s="44"/>
      <c r="G977" s="44"/>
      <c r="H977" s="44"/>
      <c r="I977" s="44"/>
      <c r="J977" s="44"/>
      <c r="K977" s="44"/>
      <c r="L977" s="44"/>
      <c r="M977" s="44"/>
      <c r="N977" s="44"/>
      <c r="O977" s="44"/>
    </row>
    <row r="978" spans="1:15" ht="17.25" customHeight="1">
      <c r="A978" s="44"/>
      <c r="B978" s="44"/>
      <c r="C978" s="44"/>
      <c r="D978" s="44"/>
      <c r="E978" s="44"/>
      <c r="F978" s="44"/>
      <c r="G978" s="44"/>
      <c r="H978" s="44"/>
      <c r="I978" s="44"/>
      <c r="J978" s="44"/>
      <c r="K978" s="44"/>
      <c r="L978" s="44"/>
      <c r="M978" s="44"/>
      <c r="N978" s="44"/>
      <c r="O978" s="44"/>
    </row>
    <row r="979" spans="1:15" ht="17.25" customHeight="1">
      <c r="A979" s="44"/>
      <c r="B979" s="44"/>
      <c r="C979" s="44"/>
      <c r="D979" s="44"/>
      <c r="E979" s="44"/>
      <c r="F979" s="44"/>
      <c r="G979" s="44"/>
      <c r="H979" s="44"/>
      <c r="I979" s="44"/>
      <c r="J979" s="44"/>
      <c r="K979" s="44"/>
      <c r="L979" s="44"/>
      <c r="M979" s="44"/>
      <c r="N979" s="44"/>
      <c r="O979" s="44"/>
    </row>
    <row r="980" spans="1:15" ht="17.25" customHeight="1">
      <c r="A980" s="44"/>
      <c r="B980" s="44"/>
      <c r="C980" s="44"/>
      <c r="D980" s="44"/>
      <c r="E980" s="44"/>
      <c r="F980" s="44"/>
      <c r="G980" s="44"/>
      <c r="H980" s="44"/>
      <c r="I980" s="44"/>
      <c r="J980" s="44"/>
      <c r="K980" s="44"/>
      <c r="L980" s="44"/>
      <c r="M980" s="44"/>
      <c r="N980" s="44"/>
      <c r="O980" s="44"/>
    </row>
    <row r="981" spans="1:15" ht="17.25" customHeight="1">
      <c r="A981" s="44"/>
      <c r="B981" s="44"/>
      <c r="C981" s="44"/>
      <c r="D981" s="44"/>
      <c r="E981" s="44"/>
      <c r="F981" s="44"/>
      <c r="G981" s="44"/>
      <c r="H981" s="44"/>
      <c r="I981" s="44"/>
      <c r="J981" s="44"/>
      <c r="K981" s="44"/>
      <c r="L981" s="44"/>
      <c r="M981" s="44"/>
      <c r="N981" s="44"/>
      <c r="O981" s="44"/>
    </row>
    <row r="982" spans="1:15" ht="17.25" customHeight="1">
      <c r="A982" s="44"/>
      <c r="B982" s="44"/>
      <c r="C982" s="44"/>
      <c r="D982" s="44"/>
      <c r="E982" s="44"/>
      <c r="F982" s="44"/>
      <c r="G982" s="44"/>
      <c r="H982" s="44"/>
      <c r="I982" s="44"/>
      <c r="J982" s="44"/>
      <c r="K982" s="44"/>
      <c r="L982" s="44"/>
      <c r="M982" s="44"/>
      <c r="N982" s="44"/>
      <c r="O982" s="44"/>
    </row>
    <row r="983" spans="1:15" ht="17.25" customHeight="1">
      <c r="A983" s="44"/>
      <c r="B983" s="44"/>
      <c r="C983" s="44"/>
      <c r="D983" s="44"/>
      <c r="E983" s="44"/>
      <c r="F983" s="44"/>
      <c r="G983" s="44"/>
      <c r="H983" s="44"/>
      <c r="I983" s="44"/>
      <c r="J983" s="44"/>
      <c r="K983" s="44"/>
      <c r="L983" s="44"/>
      <c r="M983" s="44"/>
      <c r="N983" s="44"/>
      <c r="O983" s="44"/>
    </row>
    <row r="984" spans="1:15" ht="17.25" customHeight="1">
      <c r="A984" s="44"/>
      <c r="B984" s="44"/>
      <c r="C984" s="44"/>
      <c r="D984" s="44"/>
      <c r="E984" s="44"/>
      <c r="F984" s="44"/>
      <c r="G984" s="44"/>
      <c r="H984" s="44"/>
      <c r="I984" s="44"/>
      <c r="J984" s="44"/>
      <c r="K984" s="44"/>
      <c r="L984" s="44"/>
      <c r="M984" s="44"/>
      <c r="N984" s="44"/>
      <c r="O984" s="44"/>
    </row>
    <row r="985" spans="1:15" ht="17.25" customHeight="1">
      <c r="A985" s="44"/>
      <c r="B985" s="44"/>
      <c r="C985" s="44"/>
      <c r="D985" s="44"/>
      <c r="E985" s="44"/>
      <c r="F985" s="44"/>
      <c r="G985" s="44"/>
      <c r="H985" s="44"/>
      <c r="I985" s="44"/>
      <c r="J985" s="44"/>
      <c r="K985" s="44"/>
      <c r="L985" s="44"/>
      <c r="M985" s="44"/>
      <c r="N985" s="44"/>
      <c r="O985" s="44"/>
    </row>
    <row r="986" spans="1:15" ht="17.25" customHeight="1">
      <c r="A986" s="44"/>
      <c r="B986" s="44"/>
      <c r="C986" s="44"/>
      <c r="D986" s="44"/>
      <c r="E986" s="44"/>
      <c r="F986" s="44"/>
      <c r="G986" s="44"/>
      <c r="H986" s="44"/>
      <c r="I986" s="44"/>
      <c r="J986" s="44"/>
      <c r="K986" s="44"/>
      <c r="L986" s="44"/>
      <c r="M986" s="44"/>
      <c r="N986" s="44"/>
      <c r="O986" s="44"/>
    </row>
    <row r="987" spans="1:15" ht="15" customHeight="1"/>
    <row r="988" spans="1:15" ht="15" customHeight="1"/>
    <row r="989" spans="1:15" ht="15" customHeight="1"/>
    <row r="990" spans="1:15" ht="15" customHeight="1"/>
    <row r="991" spans="1:15" ht="15" customHeight="1"/>
    <row r="992" spans="1:15" ht="15" customHeight="1"/>
    <row r="993" ht="15" customHeight="1"/>
    <row r="994" ht="15" customHeight="1"/>
    <row r="995" ht="15" customHeight="1"/>
    <row r="996" ht="15" customHeight="1"/>
    <row r="997" ht="15" customHeight="1"/>
    <row r="998" ht="15" customHeight="1"/>
  </sheetData>
  <mergeCells count="2">
    <mergeCell ref="G1:J2"/>
    <mergeCell ref="B4:C4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98"/>
  <sheetViews>
    <sheetView showGridLines="0" workbookViewId="0">
      <selection activeCell="J15" sqref="J15"/>
    </sheetView>
  </sheetViews>
  <sheetFormatPr baseColWidth="10" defaultColWidth="14.42578125" defaultRowHeight="15"/>
  <cols>
    <col min="1" max="1" width="5.28515625" style="46" customWidth="1"/>
    <col min="2" max="3" width="12.42578125" style="46" customWidth="1"/>
    <col min="4" max="4" width="6.140625" style="46" customWidth="1"/>
    <col min="5" max="5" width="4.85546875" style="46" customWidth="1"/>
    <col min="6" max="6" width="3.28515625" style="46" customWidth="1"/>
    <col min="7" max="10" width="11.42578125" style="46" customWidth="1"/>
    <col min="11" max="11" width="8.42578125" style="46" customWidth="1"/>
    <col min="12" max="12" width="11.42578125" style="46" customWidth="1"/>
    <col min="13" max="13" width="7" style="46" customWidth="1"/>
    <col min="14" max="14" width="13.85546875" style="46" customWidth="1"/>
    <col min="15" max="15" width="3.140625" style="46" customWidth="1"/>
    <col min="16" max="16" width="30.85546875" style="46" customWidth="1"/>
    <col min="17" max="16384" width="14.42578125" style="46"/>
  </cols>
  <sheetData>
    <row r="1" spans="1:18" ht="21.75" customHeight="1">
      <c r="A1" s="44"/>
      <c r="B1" s="44"/>
      <c r="C1" s="44"/>
      <c r="D1" s="45"/>
      <c r="E1" s="45"/>
      <c r="F1" s="45"/>
      <c r="G1" s="156" t="s">
        <v>68</v>
      </c>
      <c r="H1" s="157"/>
      <c r="I1" s="157"/>
      <c r="J1" s="157"/>
      <c r="K1" s="44"/>
      <c r="L1" s="44"/>
      <c r="M1" s="44"/>
      <c r="N1" s="44"/>
      <c r="O1" s="44"/>
    </row>
    <row r="2" spans="1:18" ht="25.5" customHeight="1">
      <c r="A2" s="44"/>
      <c r="B2" s="44"/>
      <c r="C2" s="44"/>
      <c r="D2" s="47"/>
      <c r="E2" s="47"/>
      <c r="F2" s="47"/>
      <c r="G2" s="157"/>
      <c r="H2" s="157"/>
      <c r="I2" s="157"/>
      <c r="J2" s="157"/>
      <c r="K2" s="44"/>
      <c r="L2" s="44"/>
      <c r="M2" s="44"/>
      <c r="N2" s="44"/>
      <c r="O2" s="44"/>
      <c r="P2" s="46" t="s">
        <v>56</v>
      </c>
    </row>
    <row r="3" spans="1:18" ht="17.25" customHeight="1" thickBot="1">
      <c r="A3" s="44"/>
      <c r="B3" s="44"/>
      <c r="C3" s="44"/>
      <c r="D3" s="48"/>
      <c r="E3" s="48"/>
      <c r="F3" s="48"/>
      <c r="G3" s="44"/>
      <c r="H3" s="44"/>
      <c r="I3" s="44"/>
      <c r="J3" s="44"/>
      <c r="K3" s="44"/>
      <c r="L3" s="44"/>
      <c r="M3" s="44"/>
      <c r="N3" s="44"/>
      <c r="O3" s="44"/>
    </row>
    <row r="4" spans="1:18" ht="17.25" customHeight="1">
      <c r="A4" s="44"/>
      <c r="B4" s="158" t="s">
        <v>117</v>
      </c>
      <c r="C4" s="159"/>
      <c r="D4" s="48"/>
      <c r="E4" s="48"/>
      <c r="F4" s="48"/>
      <c r="G4" s="44"/>
      <c r="H4" s="44"/>
      <c r="I4" s="44"/>
      <c r="J4" s="44"/>
      <c r="K4" s="44"/>
      <c r="L4" s="44"/>
      <c r="M4" s="44"/>
      <c r="N4" s="44"/>
      <c r="O4" s="44"/>
      <c r="P4" s="49"/>
      <c r="Q4" s="49" t="s">
        <v>69</v>
      </c>
      <c r="R4" s="49" t="s">
        <v>70</v>
      </c>
    </row>
    <row r="5" spans="1:18" ht="17.25" customHeight="1">
      <c r="A5" s="50" t="s">
        <v>71</v>
      </c>
      <c r="B5" s="50" t="s">
        <v>69</v>
      </c>
      <c r="C5" s="50" t="s">
        <v>70</v>
      </c>
      <c r="D5" s="48"/>
      <c r="E5" s="48"/>
      <c r="F5" s="48"/>
      <c r="G5" s="44"/>
      <c r="H5" s="44"/>
      <c r="I5" s="44"/>
      <c r="J5" s="44"/>
      <c r="K5" s="44"/>
      <c r="L5" s="44"/>
      <c r="M5" s="44"/>
      <c r="N5" s="44"/>
      <c r="O5" s="44"/>
      <c r="P5" s="51" t="s">
        <v>57</v>
      </c>
      <c r="Q5" s="52">
        <v>0.44317958101850902</v>
      </c>
      <c r="R5" s="52">
        <v>0.28883252777777418</v>
      </c>
    </row>
    <row r="6" spans="1:18" ht="17.25" customHeight="1">
      <c r="A6" s="53">
        <v>1</v>
      </c>
      <c r="B6" s="125">
        <v>2.4093250000021271E-2</v>
      </c>
      <c r="C6" s="125">
        <v>1.09603750000247E-2</v>
      </c>
      <c r="D6" s="48"/>
      <c r="E6" s="48"/>
      <c r="F6" s="48"/>
      <c r="G6" s="44" t="s">
        <v>72</v>
      </c>
      <c r="H6" s="44"/>
      <c r="I6" s="44"/>
      <c r="J6" s="44"/>
      <c r="K6" s="44"/>
      <c r="L6" s="44"/>
      <c r="M6" s="44"/>
      <c r="N6" s="44"/>
      <c r="O6" s="44"/>
      <c r="P6" s="51" t="s">
        <v>58</v>
      </c>
      <c r="Q6" s="54">
        <v>0.14537412548986117</v>
      </c>
      <c r="R6" s="54">
        <v>3.3513903219751534E-2</v>
      </c>
    </row>
    <row r="7" spans="1:18" ht="17.25" customHeight="1">
      <c r="A7" s="53">
        <v>2</v>
      </c>
      <c r="B7" s="125">
        <v>0.19391899999999401</v>
      </c>
      <c r="C7" s="125">
        <v>2.3519999999734864E-3</v>
      </c>
      <c r="D7" s="48"/>
      <c r="E7" s="48"/>
      <c r="F7" s="48"/>
      <c r="G7" s="44"/>
      <c r="H7" s="44"/>
      <c r="I7" s="55" t="s">
        <v>73</v>
      </c>
      <c r="J7" s="56">
        <f>AVERAGE(B6:B23)</f>
        <v>0.26797063888890371</v>
      </c>
      <c r="K7" s="57" t="s">
        <v>74</v>
      </c>
      <c r="L7" s="58">
        <f>COUNT(B6:B23)</f>
        <v>18</v>
      </c>
      <c r="M7" s="57" t="s">
        <v>73</v>
      </c>
      <c r="N7" s="59">
        <f>_xlfn.VAR.S(B6:B23)</f>
        <v>5.0690559951157371E-2</v>
      </c>
      <c r="O7" s="44"/>
      <c r="P7" s="51" t="s">
        <v>59</v>
      </c>
      <c r="Q7" s="51">
        <v>18</v>
      </c>
      <c r="R7" s="51">
        <v>18</v>
      </c>
    </row>
    <row r="8" spans="1:18" ht="17.25" customHeight="1">
      <c r="A8" s="53">
        <v>3</v>
      </c>
      <c r="B8" s="125">
        <v>0.35741312500005051</v>
      </c>
      <c r="C8" s="125">
        <v>0.10919862500009003</v>
      </c>
      <c r="D8" s="48"/>
      <c r="E8" s="48"/>
      <c r="F8" s="48"/>
      <c r="G8" s="44"/>
      <c r="H8" s="44"/>
      <c r="I8" s="60" t="s">
        <v>73</v>
      </c>
      <c r="J8" s="56">
        <f>AVERAGE(C6:C23)</f>
        <v>0.2637640486111113</v>
      </c>
      <c r="K8" s="57" t="s">
        <v>75</v>
      </c>
      <c r="L8" s="58">
        <f>COUNT(C6:C23)</f>
        <v>18</v>
      </c>
      <c r="M8" s="57" t="s">
        <v>73</v>
      </c>
      <c r="N8" s="59">
        <f>_xlfn.VAR.S(C6:C23)</f>
        <v>6.616358605801588E-2</v>
      </c>
      <c r="O8" s="44"/>
      <c r="P8" s="51" t="s">
        <v>60</v>
      </c>
      <c r="Q8" s="54">
        <v>8.9444014354806353E-2</v>
      </c>
      <c r="R8" s="51"/>
    </row>
    <row r="9" spans="1:18" ht="17.25" customHeight="1">
      <c r="A9" s="53">
        <v>4</v>
      </c>
      <c r="B9" s="125">
        <v>5.0125999999977466E-2</v>
      </c>
      <c r="C9" s="125">
        <v>0.28543837500001201</v>
      </c>
      <c r="D9" s="48"/>
      <c r="E9" s="48"/>
      <c r="F9" s="48"/>
      <c r="G9" s="44"/>
      <c r="H9" s="44"/>
      <c r="I9" s="44"/>
      <c r="J9" s="44"/>
      <c r="K9" s="44"/>
      <c r="L9" s="44"/>
      <c r="M9" s="57" t="s">
        <v>73</v>
      </c>
      <c r="N9" s="59">
        <f>((L7-1)*N7+(L8-1)*N8)/(L7+L8-2)</f>
        <v>5.8427073004586626E-2</v>
      </c>
      <c r="O9" s="44"/>
      <c r="P9" s="51" t="s">
        <v>61</v>
      </c>
      <c r="Q9" s="51">
        <v>0</v>
      </c>
      <c r="R9" s="51"/>
    </row>
    <row r="10" spans="1:18" ht="17.25" customHeight="1">
      <c r="A10" s="53">
        <v>5</v>
      </c>
      <c r="B10" s="125">
        <v>0.15892550000006622</v>
      </c>
      <c r="C10" s="125">
        <v>4.3662000000040301E-2</v>
      </c>
      <c r="D10" s="48"/>
      <c r="E10" s="48"/>
      <c r="F10" s="48"/>
      <c r="G10" s="44"/>
      <c r="H10" s="44"/>
      <c r="I10" s="57" t="s">
        <v>76</v>
      </c>
      <c r="J10" s="61">
        <f>ABS((J7-J8)/SQRT(N7/L7+N8/L8))</f>
        <v>5.2208883207842692E-2</v>
      </c>
      <c r="K10" s="44"/>
      <c r="L10" s="44"/>
      <c r="M10" s="44"/>
      <c r="N10" s="44"/>
      <c r="O10" s="44"/>
      <c r="P10" s="51" t="s">
        <v>62</v>
      </c>
      <c r="Q10" s="51">
        <v>34</v>
      </c>
      <c r="R10" s="51"/>
    </row>
    <row r="11" spans="1:18" ht="17.25" customHeight="1" thickBot="1">
      <c r="A11" s="53">
        <v>6</v>
      </c>
      <c r="B11" s="125">
        <v>0.89504562499996609</v>
      </c>
      <c r="C11" s="125">
        <v>0.30275375000007898</v>
      </c>
      <c r="D11" s="48"/>
      <c r="E11" s="48"/>
      <c r="F11" s="48"/>
      <c r="G11" s="44"/>
      <c r="H11" s="44"/>
      <c r="I11" s="44"/>
      <c r="J11" s="44"/>
      <c r="K11" s="44"/>
      <c r="L11" s="44"/>
      <c r="M11" s="62"/>
      <c r="N11" s="44">
        <f>J10</f>
        <v>5.2208883207842692E-2</v>
      </c>
      <c r="O11" s="44"/>
      <c r="P11" s="51" t="s">
        <v>63</v>
      </c>
      <c r="Q11" s="81">
        <v>1.5482602214075776</v>
      </c>
      <c r="R11" s="51"/>
    </row>
    <row r="12" spans="1:18" ht="17.25" customHeight="1">
      <c r="A12" s="53">
        <v>1</v>
      </c>
      <c r="B12" s="30">
        <v>0.19878412499991782</v>
      </c>
      <c r="C12" s="30">
        <v>0.36765249999996286</v>
      </c>
      <c r="D12" s="48"/>
      <c r="E12" s="48"/>
      <c r="F12" s="48"/>
      <c r="G12" s="44"/>
      <c r="H12" s="44"/>
      <c r="I12" s="44"/>
      <c r="J12" s="44"/>
      <c r="K12" s="44"/>
      <c r="L12" s="44"/>
      <c r="M12" s="62"/>
      <c r="N12" s="44"/>
      <c r="O12" s="44"/>
      <c r="P12" s="51" t="s">
        <v>64</v>
      </c>
      <c r="Q12" s="51">
        <v>6.5409292048025119E-2</v>
      </c>
      <c r="R12" s="51"/>
    </row>
    <row r="13" spans="1:18" ht="17.25" customHeight="1">
      <c r="A13" s="53">
        <v>2</v>
      </c>
      <c r="B13" s="125">
        <v>0.42812075000006189</v>
      </c>
      <c r="C13" s="125">
        <v>0.29253612500002646</v>
      </c>
      <c r="D13" s="48"/>
      <c r="E13" s="48"/>
      <c r="F13" s="48"/>
      <c r="G13" s="63" t="s">
        <v>77</v>
      </c>
      <c r="H13" s="63"/>
      <c r="I13" s="64" t="s">
        <v>78</v>
      </c>
      <c r="J13" s="65">
        <f>L7+L8-2</f>
        <v>34</v>
      </c>
      <c r="K13" s="44"/>
      <c r="L13" s="44"/>
      <c r="M13" s="62"/>
      <c r="N13" s="66"/>
      <c r="O13" s="44"/>
      <c r="P13" s="51" t="s">
        <v>65</v>
      </c>
      <c r="Q13" s="51">
        <v>1.6909242551868542</v>
      </c>
      <c r="R13" s="51"/>
    </row>
    <row r="14" spans="1:18" ht="17.25" customHeight="1">
      <c r="A14" s="53">
        <v>3</v>
      </c>
      <c r="B14" s="125">
        <v>0.45656050000002324</v>
      </c>
      <c r="C14" s="125">
        <v>0.84402212499998086</v>
      </c>
      <c r="D14" s="48"/>
      <c r="E14" s="48"/>
      <c r="F14" s="48"/>
      <c r="G14" s="63"/>
      <c r="H14" s="63"/>
      <c r="I14" s="80" t="s">
        <v>79</v>
      </c>
      <c r="J14" s="67">
        <v>0.05</v>
      </c>
      <c r="K14" s="68">
        <f>J14</f>
        <v>0.05</v>
      </c>
      <c r="L14" s="44"/>
      <c r="M14" s="44"/>
      <c r="N14" s="66"/>
      <c r="O14" s="44"/>
      <c r="P14" s="51" t="s">
        <v>66</v>
      </c>
      <c r="Q14" s="54">
        <v>0.13081858409605024</v>
      </c>
      <c r="R14" s="51"/>
    </row>
    <row r="15" spans="1:18" ht="17.25" customHeight="1" thickBot="1">
      <c r="A15" s="53">
        <v>4</v>
      </c>
      <c r="B15" s="125">
        <v>0.15203474999998434</v>
      </c>
      <c r="C15" s="125">
        <v>0.68774799999999914</v>
      </c>
      <c r="D15" s="48"/>
      <c r="E15" s="48"/>
      <c r="F15" s="48"/>
      <c r="G15" s="63"/>
      <c r="H15" s="63"/>
      <c r="I15" s="63"/>
      <c r="J15" s="63"/>
      <c r="K15" s="44"/>
      <c r="L15" s="44"/>
      <c r="M15" s="44"/>
      <c r="N15" s="44"/>
      <c r="O15" s="44"/>
      <c r="P15" s="69" t="s">
        <v>67</v>
      </c>
      <c r="Q15" s="70">
        <v>2.0322445093177191</v>
      </c>
      <c r="R15" s="69"/>
    </row>
    <row r="16" spans="1:18" ht="17.25" customHeight="1">
      <c r="A16" s="53">
        <v>5</v>
      </c>
      <c r="B16" s="125">
        <v>0.12628050000000712</v>
      </c>
      <c r="C16" s="125">
        <v>0.59727212499996085</v>
      </c>
      <c r="D16" s="48"/>
      <c r="E16" s="48"/>
      <c r="F16" s="48"/>
      <c r="G16" s="63"/>
      <c r="H16" s="63"/>
      <c r="I16" s="71" t="s">
        <v>73</v>
      </c>
      <c r="J16" s="72">
        <f>_xlfn.T.INV.2T(J14,J13)</f>
        <v>2.0322445093177191</v>
      </c>
      <c r="K16" s="73"/>
      <c r="L16" s="62">
        <f>-J16</f>
        <v>-2.0322445093177191</v>
      </c>
      <c r="M16" s="44"/>
      <c r="N16" s="74">
        <f>J16</f>
        <v>2.0322445093177191</v>
      </c>
      <c r="O16" s="44"/>
    </row>
    <row r="17" spans="1:15" ht="17.25" customHeight="1" thickBot="1">
      <c r="A17" s="53">
        <v>6</v>
      </c>
      <c r="B17" s="34">
        <v>0.2184025000000247</v>
      </c>
      <c r="C17" s="34">
        <v>0.47741474999992306</v>
      </c>
      <c r="D17" s="48"/>
      <c r="E17" s="48"/>
      <c r="F17" s="48"/>
      <c r="G17" s="63"/>
      <c r="H17" s="63"/>
      <c r="I17" s="63" t="s">
        <v>80</v>
      </c>
      <c r="J17" s="72">
        <f>_xlfn.T.DIST.2T(J10,J13)</f>
        <v>0.95866779969739446</v>
      </c>
      <c r="K17" s="44" t="s">
        <v>83</v>
      </c>
      <c r="L17" s="44"/>
      <c r="M17" s="44"/>
      <c r="N17" s="44"/>
      <c r="O17" s="44"/>
    </row>
    <row r="18" spans="1:15" ht="17.25" customHeight="1">
      <c r="A18" s="53">
        <v>1</v>
      </c>
      <c r="B18" s="30">
        <v>4.1436000000146578E-2</v>
      </c>
      <c r="C18" s="30">
        <v>0.12624974999994301</v>
      </c>
      <c r="D18" s="48"/>
      <c r="E18" s="48"/>
      <c r="F18" s="48"/>
      <c r="G18" s="44"/>
      <c r="H18" s="75"/>
      <c r="I18" s="44"/>
      <c r="J18" s="44"/>
      <c r="K18" s="44"/>
      <c r="L18" s="44"/>
      <c r="M18" s="44"/>
      <c r="N18" s="44"/>
      <c r="O18" s="44"/>
    </row>
    <row r="19" spans="1:15" ht="17.25" customHeight="1">
      <c r="A19" s="53">
        <v>2</v>
      </c>
      <c r="B19" s="125">
        <v>0.51253662499999597</v>
      </c>
      <c r="C19" s="125">
        <v>3.7736499999994101E-2</v>
      </c>
      <c r="D19" s="48"/>
      <c r="E19" s="48"/>
      <c r="F19" s="48"/>
      <c r="G19" s="57" t="s">
        <v>81</v>
      </c>
      <c r="H19" s="76" t="s">
        <v>116</v>
      </c>
      <c r="I19" s="44"/>
      <c r="J19" s="44"/>
      <c r="K19" s="44"/>
      <c r="L19" s="44"/>
      <c r="M19" s="44"/>
      <c r="N19" s="44"/>
      <c r="O19" s="44"/>
    </row>
    <row r="20" spans="1:15" ht="17.25" customHeight="1">
      <c r="A20" s="53">
        <v>3</v>
      </c>
      <c r="B20" s="125">
        <v>0.30034587500000498</v>
      </c>
      <c r="C20" s="125">
        <v>7.7055125000015295E-2</v>
      </c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</row>
    <row r="21" spans="1:15" ht="17.25" customHeight="1">
      <c r="A21" s="53">
        <v>4</v>
      </c>
      <c r="B21" s="125">
        <v>0.51782700000001103</v>
      </c>
      <c r="C21" s="125">
        <v>6.4724500000068019E-2</v>
      </c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</row>
    <row r="22" spans="1:15" ht="17.25" customHeight="1">
      <c r="A22" s="53">
        <v>5</v>
      </c>
      <c r="B22" s="125">
        <v>8.2598249999932705E-2</v>
      </c>
      <c r="C22" s="125">
        <v>0.41432712499994295</v>
      </c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</row>
    <row r="23" spans="1:15" ht="17.25" customHeight="1" thickBot="1">
      <c r="A23" s="53">
        <v>6</v>
      </c>
      <c r="B23" s="34">
        <v>0.109022125000081</v>
      </c>
      <c r="C23" s="34">
        <v>6.64912499996717E-3</v>
      </c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</row>
    <row r="24" spans="1:15" ht="17.25" customHeight="1">
      <c r="A24" s="44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</row>
    <row r="25" spans="1:15" ht="17.25" customHeight="1">
      <c r="A25" s="44"/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</row>
    <row r="26" spans="1:15" ht="17.25" customHeight="1">
      <c r="A26" s="44"/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</row>
    <row r="27" spans="1:15" ht="17.25" customHeight="1">
      <c r="A27" s="44"/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</row>
    <row r="28" spans="1:15" ht="17.25" customHeight="1">
      <c r="A28" s="44"/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</row>
    <row r="29" spans="1:15" ht="17.25" customHeight="1">
      <c r="A29" s="44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</row>
    <row r="30" spans="1:15" ht="17.25" customHeight="1">
      <c r="A30" s="44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</row>
    <row r="31" spans="1:15" ht="17.25" customHeight="1">
      <c r="A31" s="44"/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</row>
    <row r="32" spans="1:15" ht="17.25" customHeight="1">
      <c r="A32" s="44"/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</row>
    <row r="33" spans="1:15" ht="17.25" customHeight="1">
      <c r="A33" s="44"/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</row>
    <row r="34" spans="1:15" ht="17.25" customHeight="1">
      <c r="A34" s="44"/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</row>
    <row r="35" spans="1:15" ht="17.25" customHeight="1">
      <c r="A35" s="44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</row>
    <row r="36" spans="1:15" ht="17.25" customHeight="1">
      <c r="A36" s="44"/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</row>
    <row r="37" spans="1:15" ht="17.25" customHeight="1">
      <c r="A37" s="44"/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</row>
    <row r="38" spans="1:15" ht="17.25" customHeight="1">
      <c r="A38" s="44"/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</row>
    <row r="39" spans="1:15" ht="17.25" customHeight="1">
      <c r="A39" s="44"/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</row>
    <row r="40" spans="1:15" ht="17.25" customHeight="1">
      <c r="A40" s="44"/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</row>
    <row r="41" spans="1:15" ht="17.25" customHeight="1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</row>
    <row r="42" spans="1:15" ht="17.25" customHeight="1">
      <c r="A42" s="44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</row>
    <row r="43" spans="1:15" ht="17.25" customHeight="1">
      <c r="A43" s="44"/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</row>
    <row r="44" spans="1:15" ht="17.25" customHeight="1">
      <c r="A44" s="44"/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</row>
    <row r="45" spans="1:15" ht="17.25" customHeight="1">
      <c r="A45" s="44"/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</row>
    <row r="46" spans="1:15" ht="17.25" customHeight="1">
      <c r="A46" s="44"/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</row>
    <row r="47" spans="1:15" ht="17.25" customHeight="1">
      <c r="A47" s="44"/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</row>
    <row r="48" spans="1:15" ht="17.25" customHeight="1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</row>
    <row r="49" spans="1:15" ht="17.25" customHeight="1">
      <c r="A49" s="44"/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</row>
    <row r="50" spans="1:15" ht="17.25" customHeight="1">
      <c r="A50" s="44"/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</row>
    <row r="51" spans="1:15" ht="17.25" customHeight="1">
      <c r="A51" s="44"/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</row>
    <row r="52" spans="1:15" ht="17.25" customHeight="1">
      <c r="A52" s="44"/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</row>
    <row r="53" spans="1:15" ht="17.25" customHeight="1">
      <c r="A53" s="44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</row>
    <row r="54" spans="1:15" ht="17.25" customHeight="1">
      <c r="A54" s="44"/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</row>
    <row r="55" spans="1:15" ht="17.25" customHeight="1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</row>
    <row r="56" spans="1:15" ht="17.25" customHeight="1">
      <c r="A56" s="44"/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</row>
    <row r="57" spans="1:15" ht="17.25" customHeight="1">
      <c r="A57" s="44"/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</row>
    <row r="58" spans="1:15" ht="17.25" customHeight="1">
      <c r="A58" s="44"/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</row>
    <row r="59" spans="1:15" ht="17.25" customHeight="1">
      <c r="A59" s="44"/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</row>
    <row r="60" spans="1:15" ht="17.25" customHeight="1">
      <c r="A60" s="44"/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</row>
    <row r="61" spans="1:15" ht="17.25" customHeight="1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</row>
    <row r="62" spans="1:15" ht="17.25" customHeight="1">
      <c r="A62" s="44"/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</row>
    <row r="63" spans="1:15" ht="17.25" customHeight="1">
      <c r="A63" s="44"/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</row>
    <row r="64" spans="1:15" ht="17.25" customHeight="1">
      <c r="A64" s="44"/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</row>
    <row r="65" spans="1:15" ht="17.25" customHeight="1">
      <c r="A65" s="44"/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</row>
    <row r="66" spans="1:15" ht="17.25" customHeight="1">
      <c r="A66" s="44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</row>
    <row r="67" spans="1:15" ht="17.25" customHeight="1">
      <c r="A67" s="44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</row>
    <row r="68" spans="1:15" ht="17.25" customHeight="1">
      <c r="A68" s="44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</row>
    <row r="69" spans="1:15" ht="17.25" customHeight="1">
      <c r="A69" s="44"/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</row>
    <row r="70" spans="1:15" ht="17.25" customHeight="1">
      <c r="A70" s="44"/>
      <c r="B70" s="44"/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</row>
    <row r="71" spans="1:15" ht="17.25" customHeight="1">
      <c r="A71" s="44"/>
      <c r="B71" s="44"/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</row>
    <row r="72" spans="1:15" ht="17.25" customHeight="1">
      <c r="A72" s="44"/>
      <c r="B72" s="44"/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</row>
    <row r="73" spans="1:15" ht="17.25" customHeight="1">
      <c r="A73" s="44"/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</row>
    <row r="74" spans="1:15" ht="17.25" customHeight="1">
      <c r="A74" s="44"/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</row>
    <row r="75" spans="1:15" ht="17.25" customHeight="1">
      <c r="A75" s="44"/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</row>
    <row r="76" spans="1:15" ht="17.25" customHeight="1">
      <c r="A76" s="44"/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</row>
    <row r="77" spans="1:15" ht="17.25" customHeight="1">
      <c r="A77" s="44"/>
      <c r="B77" s="44"/>
      <c r="C77" s="44"/>
      <c r="D77" s="44"/>
      <c r="E77" s="44"/>
      <c r="F77" s="44"/>
      <c r="G77" s="44"/>
      <c r="H77" s="44"/>
      <c r="I77" s="44"/>
      <c r="J77" s="44"/>
      <c r="K77" s="44"/>
      <c r="L77" s="44"/>
      <c r="M77" s="44"/>
      <c r="N77" s="44"/>
      <c r="O77" s="44"/>
    </row>
    <row r="78" spans="1:15" ht="17.25" customHeight="1">
      <c r="A78" s="44"/>
      <c r="B78" s="44"/>
      <c r="C78" s="44"/>
      <c r="D78" s="44"/>
      <c r="E78" s="44"/>
      <c r="F78" s="44"/>
      <c r="G78" s="44"/>
      <c r="H78" s="44"/>
      <c r="I78" s="44"/>
      <c r="J78" s="44"/>
      <c r="K78" s="44"/>
      <c r="L78" s="44"/>
      <c r="M78" s="44"/>
      <c r="N78" s="44"/>
      <c r="O78" s="44"/>
    </row>
    <row r="79" spans="1:15" ht="17.25" customHeight="1">
      <c r="A79" s="44"/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</row>
    <row r="80" spans="1:15" ht="17.25" customHeight="1">
      <c r="A80" s="44"/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</row>
    <row r="81" spans="1:15" ht="17.25" customHeight="1">
      <c r="A81" s="44"/>
      <c r="B81" s="44"/>
      <c r="C81" s="44"/>
      <c r="D81" s="44"/>
      <c r="E81" s="44"/>
      <c r="F81" s="44"/>
      <c r="G81" s="44"/>
      <c r="H81" s="44"/>
      <c r="I81" s="44"/>
      <c r="J81" s="44"/>
      <c r="K81" s="44"/>
      <c r="L81" s="44"/>
      <c r="M81" s="44"/>
      <c r="N81" s="44"/>
      <c r="O81" s="44"/>
    </row>
    <row r="82" spans="1:15" ht="17.25" customHeight="1">
      <c r="A82" s="44"/>
      <c r="B82" s="44"/>
      <c r="C82" s="44"/>
      <c r="D82" s="44"/>
      <c r="E82" s="44"/>
      <c r="F82" s="44"/>
      <c r="G82" s="44"/>
      <c r="H82" s="44"/>
      <c r="I82" s="44"/>
      <c r="J82" s="44"/>
      <c r="K82" s="44"/>
      <c r="L82" s="44"/>
      <c r="M82" s="44"/>
      <c r="N82" s="44"/>
      <c r="O82" s="44"/>
    </row>
    <row r="83" spans="1:15" ht="17.25" customHeight="1">
      <c r="A83" s="44"/>
      <c r="B83" s="44"/>
      <c r="C83" s="44"/>
      <c r="D83" s="44"/>
      <c r="E83" s="44"/>
      <c r="F83" s="44"/>
      <c r="G83" s="44"/>
      <c r="H83" s="44"/>
      <c r="I83" s="44"/>
      <c r="J83" s="44"/>
      <c r="K83" s="44"/>
      <c r="L83" s="44"/>
      <c r="M83" s="44"/>
      <c r="N83" s="44"/>
      <c r="O83" s="44"/>
    </row>
    <row r="84" spans="1:15" ht="17.25" customHeight="1">
      <c r="A84" s="44"/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M84" s="44"/>
      <c r="N84" s="44"/>
      <c r="O84" s="44"/>
    </row>
    <row r="85" spans="1:15" ht="17.25" customHeight="1">
      <c r="A85" s="44"/>
      <c r="B85" s="44"/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</row>
    <row r="86" spans="1:15" ht="17.25" customHeight="1">
      <c r="A86" s="44"/>
      <c r="B86" s="44"/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</row>
    <row r="87" spans="1:15" ht="17.25" customHeight="1">
      <c r="A87" s="44"/>
      <c r="B87" s="44"/>
      <c r="C87" s="44"/>
      <c r="D87" s="44"/>
      <c r="E87" s="44"/>
      <c r="F87" s="44"/>
      <c r="G87" s="44"/>
      <c r="H87" s="44"/>
      <c r="I87" s="44"/>
      <c r="J87" s="44"/>
      <c r="K87" s="44"/>
      <c r="L87" s="44"/>
      <c r="M87" s="44"/>
      <c r="N87" s="44"/>
      <c r="O87" s="44"/>
    </row>
    <row r="88" spans="1:15" ht="17.25" customHeight="1">
      <c r="A88" s="44"/>
      <c r="B88" s="44"/>
      <c r="C88" s="44"/>
      <c r="D88" s="44"/>
      <c r="E88" s="44"/>
      <c r="F88" s="44"/>
      <c r="G88" s="44"/>
      <c r="H88" s="44"/>
      <c r="I88" s="44"/>
      <c r="J88" s="44"/>
      <c r="K88" s="44"/>
      <c r="L88" s="44"/>
      <c r="M88" s="44"/>
      <c r="N88" s="44"/>
      <c r="O88" s="44"/>
    </row>
    <row r="89" spans="1:15" ht="17.25" customHeight="1">
      <c r="A89" s="44"/>
      <c r="B89" s="44"/>
      <c r="C89" s="44"/>
      <c r="D89" s="44"/>
      <c r="E89" s="44"/>
      <c r="F89" s="44"/>
      <c r="G89" s="44"/>
      <c r="H89" s="44"/>
      <c r="I89" s="44"/>
      <c r="J89" s="44"/>
      <c r="K89" s="44"/>
      <c r="L89" s="44"/>
      <c r="M89" s="44"/>
      <c r="N89" s="44"/>
      <c r="O89" s="44"/>
    </row>
    <row r="90" spans="1:15" ht="17.25" customHeight="1">
      <c r="A90" s="44"/>
      <c r="B90" s="44"/>
      <c r="C90" s="44"/>
      <c r="D90" s="44"/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44"/>
    </row>
    <row r="91" spans="1:15" ht="17.25" customHeight="1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</row>
    <row r="92" spans="1:15" ht="17.25" customHeight="1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</row>
    <row r="93" spans="1:15" ht="17.25" customHeight="1">
      <c r="A93" s="44"/>
      <c r="B93" s="44"/>
      <c r="C93" s="44"/>
      <c r="D93" s="44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</row>
    <row r="94" spans="1:15" ht="17.25" customHeight="1">
      <c r="A94" s="44"/>
      <c r="B94" s="44"/>
      <c r="C94" s="44"/>
      <c r="D94" s="44"/>
      <c r="E94" s="44"/>
      <c r="F94" s="44"/>
      <c r="G94" s="44"/>
      <c r="H94" s="44"/>
      <c r="I94" s="44"/>
      <c r="J94" s="44"/>
      <c r="K94" s="44"/>
      <c r="L94" s="44"/>
      <c r="M94" s="44"/>
      <c r="N94" s="44"/>
      <c r="O94" s="44"/>
    </row>
    <row r="95" spans="1:15" ht="17.25" customHeight="1">
      <c r="A95" s="44"/>
      <c r="B95" s="44"/>
      <c r="C95" s="44"/>
      <c r="D95" s="44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</row>
    <row r="96" spans="1:15" ht="17.25" customHeight="1">
      <c r="A96" s="44"/>
      <c r="B96" s="44"/>
      <c r="C96" s="44"/>
      <c r="D96" s="44"/>
      <c r="E96" s="44"/>
      <c r="F96" s="44"/>
      <c r="G96" s="44"/>
      <c r="H96" s="44"/>
      <c r="I96" s="44"/>
      <c r="J96" s="44"/>
      <c r="K96" s="44"/>
      <c r="L96" s="44"/>
      <c r="M96" s="44"/>
      <c r="N96" s="44"/>
      <c r="O96" s="44"/>
    </row>
    <row r="97" spans="1:15" ht="17.25" customHeight="1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</row>
    <row r="98" spans="1:15" ht="17.25" customHeight="1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</row>
    <row r="99" spans="1:15" ht="17.25" customHeight="1">
      <c r="A99" s="44"/>
      <c r="B99" s="44"/>
      <c r="C99" s="44"/>
      <c r="D99" s="44"/>
      <c r="E99" s="44"/>
      <c r="F99" s="44"/>
      <c r="G99" s="44"/>
      <c r="H99" s="44"/>
      <c r="I99" s="44"/>
      <c r="J99" s="44"/>
      <c r="K99" s="44"/>
      <c r="L99" s="44"/>
      <c r="M99" s="44"/>
      <c r="N99" s="44"/>
      <c r="O99" s="44"/>
    </row>
    <row r="100" spans="1:15" ht="17.25" customHeight="1">
      <c r="A100" s="44"/>
      <c r="B100" s="44"/>
      <c r="C100" s="44"/>
      <c r="D100" s="44"/>
      <c r="E100" s="44"/>
      <c r="F100" s="44"/>
      <c r="G100" s="44"/>
      <c r="H100" s="44"/>
      <c r="I100" s="44"/>
      <c r="J100" s="44"/>
      <c r="K100" s="44"/>
      <c r="L100" s="44"/>
      <c r="M100" s="44"/>
      <c r="N100" s="44"/>
      <c r="O100" s="44"/>
    </row>
    <row r="101" spans="1:15" ht="17.25" customHeight="1">
      <c r="A101" s="44"/>
      <c r="B101" s="44"/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44"/>
    </row>
    <row r="102" spans="1:15" ht="17.25" customHeight="1">
      <c r="A102" s="44"/>
      <c r="B102" s="44"/>
      <c r="C102" s="44"/>
      <c r="D102" s="44"/>
      <c r="E102" s="44"/>
      <c r="F102" s="44"/>
      <c r="G102" s="44"/>
      <c r="H102" s="44"/>
      <c r="I102" s="44"/>
      <c r="J102" s="44"/>
      <c r="K102" s="44"/>
      <c r="L102" s="44"/>
      <c r="M102" s="44"/>
      <c r="N102" s="44"/>
      <c r="O102" s="44"/>
    </row>
    <row r="103" spans="1:15" ht="17.25" customHeight="1">
      <c r="A103" s="44"/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</row>
    <row r="104" spans="1:15" ht="17.25" customHeight="1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</row>
    <row r="105" spans="1:15" ht="17.25" customHeight="1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</row>
    <row r="106" spans="1:15" ht="17.25" customHeight="1">
      <c r="A106" s="44"/>
      <c r="B106" s="44"/>
      <c r="C106" s="44"/>
      <c r="D106" s="44"/>
      <c r="E106" s="44"/>
      <c r="F106" s="44"/>
      <c r="G106" s="44"/>
      <c r="H106" s="44"/>
      <c r="I106" s="44"/>
      <c r="J106" s="44"/>
      <c r="K106" s="44"/>
      <c r="L106" s="44"/>
      <c r="M106" s="44"/>
      <c r="N106" s="44"/>
      <c r="O106" s="44"/>
    </row>
    <row r="107" spans="1:15" ht="17.25" customHeight="1">
      <c r="A107" s="44"/>
      <c r="B107" s="44"/>
      <c r="C107" s="44"/>
      <c r="D107" s="44"/>
      <c r="E107" s="44"/>
      <c r="F107" s="44"/>
      <c r="G107" s="44"/>
      <c r="H107" s="44"/>
      <c r="I107" s="44"/>
      <c r="J107" s="44"/>
      <c r="K107" s="44"/>
      <c r="L107" s="44"/>
      <c r="M107" s="44"/>
      <c r="N107" s="44"/>
      <c r="O107" s="44"/>
    </row>
    <row r="108" spans="1:15" ht="17.25" customHeight="1">
      <c r="A108" s="44"/>
      <c r="B108" s="44"/>
      <c r="C108" s="44"/>
      <c r="D108" s="44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</row>
    <row r="109" spans="1:15" ht="17.25" customHeight="1">
      <c r="A109" s="44"/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  <c r="N109" s="44"/>
      <c r="O109" s="44"/>
    </row>
    <row r="110" spans="1:15" ht="17.25" customHeight="1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</row>
    <row r="111" spans="1:15" ht="17.25" customHeight="1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</row>
    <row r="112" spans="1:15" ht="17.25" customHeight="1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</row>
    <row r="113" spans="1:15" ht="17.25" customHeight="1">
      <c r="A113" s="44"/>
      <c r="B113" s="44"/>
      <c r="C113" s="44"/>
      <c r="D113" s="44"/>
      <c r="E113" s="44"/>
      <c r="F113" s="44"/>
      <c r="G113" s="44"/>
      <c r="H113" s="44"/>
      <c r="I113" s="44"/>
      <c r="J113" s="44"/>
      <c r="K113" s="44"/>
      <c r="L113" s="44"/>
      <c r="M113" s="44"/>
      <c r="N113" s="44"/>
      <c r="O113" s="44"/>
    </row>
    <row r="114" spans="1:15" ht="17.25" customHeight="1">
      <c r="A114" s="44"/>
      <c r="B114" s="44"/>
      <c r="C114" s="44"/>
      <c r="D114" s="44"/>
      <c r="E114" s="44"/>
      <c r="F114" s="44"/>
      <c r="G114" s="44"/>
      <c r="H114" s="44"/>
      <c r="I114" s="44"/>
      <c r="J114" s="44"/>
      <c r="K114" s="44"/>
      <c r="L114" s="44"/>
      <c r="M114" s="44"/>
      <c r="N114" s="44"/>
      <c r="O114" s="44"/>
    </row>
    <row r="115" spans="1:15" ht="17.25" customHeight="1">
      <c r="A115" s="44"/>
      <c r="B115" s="44"/>
      <c r="C115" s="44"/>
      <c r="D115" s="44"/>
      <c r="E115" s="44"/>
      <c r="F115" s="44"/>
      <c r="G115" s="44"/>
      <c r="H115" s="44"/>
      <c r="I115" s="44"/>
      <c r="J115" s="44"/>
      <c r="K115" s="44"/>
      <c r="L115" s="44"/>
      <c r="M115" s="44"/>
      <c r="N115" s="44"/>
      <c r="O115" s="44"/>
    </row>
    <row r="116" spans="1:15" ht="17.25" customHeight="1">
      <c r="A116" s="44"/>
      <c r="B116" s="44"/>
      <c r="C116" s="44"/>
      <c r="D116" s="44"/>
      <c r="E116" s="44"/>
      <c r="F116" s="44"/>
      <c r="G116" s="44"/>
      <c r="H116" s="44"/>
      <c r="I116" s="44"/>
      <c r="J116" s="44"/>
      <c r="K116" s="44"/>
      <c r="L116" s="44"/>
      <c r="M116" s="44"/>
      <c r="N116" s="44"/>
      <c r="O116" s="44"/>
    </row>
    <row r="117" spans="1:15" ht="17.25" customHeight="1">
      <c r="A117" s="44"/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</row>
    <row r="118" spans="1:15" ht="17.25" customHeight="1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</row>
    <row r="119" spans="1:15" ht="17.25" customHeight="1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</row>
    <row r="120" spans="1:15" ht="17.25" customHeight="1">
      <c r="A120" s="44"/>
      <c r="B120" s="44"/>
      <c r="C120" s="44"/>
      <c r="D120" s="44"/>
      <c r="E120" s="44"/>
      <c r="F120" s="44"/>
      <c r="G120" s="44"/>
      <c r="H120" s="44"/>
      <c r="I120" s="44"/>
      <c r="J120" s="44"/>
      <c r="K120" s="44"/>
      <c r="L120" s="44"/>
      <c r="M120" s="44"/>
      <c r="N120" s="44"/>
      <c r="O120" s="44"/>
    </row>
    <row r="121" spans="1:15" ht="17.25" customHeight="1">
      <c r="A121" s="44"/>
      <c r="B121" s="44"/>
      <c r="C121" s="44"/>
      <c r="D121" s="44"/>
      <c r="E121" s="44"/>
      <c r="F121" s="44"/>
      <c r="G121" s="44"/>
      <c r="H121" s="44"/>
      <c r="I121" s="44"/>
      <c r="J121" s="44"/>
      <c r="K121" s="44"/>
      <c r="L121" s="44"/>
      <c r="M121" s="44"/>
      <c r="N121" s="44"/>
      <c r="O121" s="44"/>
    </row>
    <row r="122" spans="1:15" ht="17.25" customHeight="1">
      <c r="A122" s="44"/>
      <c r="B122" s="44"/>
      <c r="C122" s="44"/>
      <c r="D122" s="44"/>
      <c r="E122" s="44"/>
      <c r="F122" s="44"/>
      <c r="G122" s="44"/>
      <c r="H122" s="44"/>
      <c r="I122" s="44"/>
      <c r="J122" s="44"/>
      <c r="K122" s="44"/>
      <c r="L122" s="44"/>
      <c r="M122" s="44"/>
      <c r="N122" s="44"/>
      <c r="O122" s="44"/>
    </row>
    <row r="123" spans="1:15" ht="17.25" customHeight="1">
      <c r="A123" s="44"/>
      <c r="B123" s="44"/>
      <c r="C123" s="44"/>
      <c r="D123" s="44"/>
      <c r="E123" s="44"/>
      <c r="F123" s="44"/>
      <c r="G123" s="44"/>
      <c r="H123" s="44"/>
      <c r="I123" s="44"/>
      <c r="J123" s="44"/>
      <c r="K123" s="44"/>
      <c r="L123" s="44"/>
      <c r="M123" s="44"/>
      <c r="N123" s="44"/>
      <c r="O123" s="44"/>
    </row>
    <row r="124" spans="1:15" ht="17.25" customHeight="1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</row>
    <row r="125" spans="1:15" ht="17.25" customHeight="1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</row>
    <row r="126" spans="1:15" ht="17.25" customHeight="1">
      <c r="A126" s="44"/>
      <c r="B126" s="44"/>
      <c r="C126" s="44"/>
      <c r="D126" s="44"/>
      <c r="E126" s="44"/>
      <c r="F126" s="44"/>
      <c r="G126" s="44"/>
      <c r="H126" s="44"/>
      <c r="I126" s="44"/>
      <c r="J126" s="44"/>
      <c r="K126" s="44"/>
      <c r="L126" s="44"/>
      <c r="M126" s="44"/>
      <c r="N126" s="44"/>
      <c r="O126" s="44"/>
    </row>
    <row r="127" spans="1:15" ht="17.25" customHeight="1">
      <c r="A127" s="44"/>
      <c r="B127" s="44"/>
      <c r="C127" s="44"/>
      <c r="D127" s="44"/>
      <c r="E127" s="44"/>
      <c r="F127" s="44"/>
      <c r="G127" s="44"/>
      <c r="H127" s="44"/>
      <c r="I127" s="44"/>
      <c r="J127" s="44"/>
      <c r="K127" s="44"/>
      <c r="L127" s="44"/>
      <c r="M127" s="44"/>
      <c r="N127" s="44"/>
      <c r="O127" s="44"/>
    </row>
    <row r="128" spans="1:15" ht="17.25" customHeight="1">
      <c r="A128" s="44"/>
      <c r="B128" s="44"/>
      <c r="C128" s="44"/>
      <c r="D128" s="44"/>
      <c r="E128" s="44"/>
      <c r="F128" s="44"/>
      <c r="G128" s="44"/>
      <c r="H128" s="44"/>
      <c r="I128" s="44"/>
      <c r="J128" s="44"/>
      <c r="K128" s="44"/>
      <c r="L128" s="44"/>
      <c r="M128" s="44"/>
      <c r="N128" s="44"/>
      <c r="O128" s="44"/>
    </row>
    <row r="129" spans="1:15" ht="17.25" customHeight="1">
      <c r="A129" s="44"/>
      <c r="B129" s="44"/>
      <c r="C129" s="44"/>
      <c r="D129" s="44"/>
      <c r="E129" s="44"/>
      <c r="F129" s="44"/>
      <c r="G129" s="44"/>
      <c r="H129" s="44"/>
      <c r="I129" s="44"/>
      <c r="J129" s="44"/>
      <c r="K129" s="44"/>
      <c r="L129" s="44"/>
      <c r="M129" s="44"/>
      <c r="N129" s="44"/>
      <c r="O129" s="44"/>
    </row>
    <row r="130" spans="1:15" ht="17.25" customHeight="1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</row>
    <row r="131" spans="1:15" ht="17.25" customHeight="1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</row>
    <row r="132" spans="1:15" ht="17.25" customHeight="1">
      <c r="A132" s="44"/>
      <c r="B132" s="44"/>
      <c r="C132" s="44"/>
      <c r="D132" s="44"/>
      <c r="E132" s="44"/>
      <c r="F132" s="44"/>
      <c r="G132" s="44"/>
      <c r="H132" s="44"/>
      <c r="I132" s="44"/>
      <c r="J132" s="44"/>
      <c r="K132" s="44"/>
      <c r="L132" s="44"/>
      <c r="M132" s="44"/>
      <c r="N132" s="44"/>
      <c r="O132" s="44"/>
    </row>
    <row r="133" spans="1:15" ht="17.25" customHeight="1">
      <c r="A133" s="44"/>
      <c r="B133" s="44"/>
      <c r="C133" s="44"/>
      <c r="D133" s="44"/>
      <c r="E133" s="44"/>
      <c r="F133" s="44"/>
      <c r="G133" s="44"/>
      <c r="H133" s="44"/>
      <c r="I133" s="44"/>
      <c r="J133" s="44"/>
      <c r="K133" s="44"/>
      <c r="L133" s="44"/>
      <c r="M133" s="44"/>
      <c r="N133" s="44"/>
      <c r="O133" s="44"/>
    </row>
    <row r="134" spans="1:15" ht="17.25" customHeight="1">
      <c r="A134" s="44"/>
      <c r="B134" s="44"/>
      <c r="C134" s="44"/>
      <c r="D134" s="44"/>
      <c r="E134" s="44"/>
      <c r="F134" s="44"/>
      <c r="G134" s="44"/>
      <c r="H134" s="44"/>
      <c r="I134" s="44"/>
      <c r="J134" s="44"/>
      <c r="K134" s="44"/>
      <c r="L134" s="44"/>
      <c r="M134" s="44"/>
      <c r="N134" s="44"/>
      <c r="O134" s="44"/>
    </row>
    <row r="135" spans="1:15" ht="17.25" customHeight="1">
      <c r="A135" s="44"/>
      <c r="B135" s="44"/>
      <c r="C135" s="44"/>
      <c r="D135" s="44"/>
      <c r="E135" s="44"/>
      <c r="F135" s="44"/>
      <c r="G135" s="44"/>
      <c r="H135" s="44"/>
      <c r="I135" s="44"/>
      <c r="J135" s="44"/>
      <c r="K135" s="44"/>
      <c r="L135" s="44"/>
      <c r="M135" s="44"/>
      <c r="N135" s="44"/>
      <c r="O135" s="44"/>
    </row>
    <row r="136" spans="1:15" ht="17.25" customHeight="1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</row>
    <row r="137" spans="1:15" ht="17.25" customHeight="1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</row>
    <row r="138" spans="1:15" ht="17.25" customHeight="1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</row>
    <row r="139" spans="1:15" ht="17.25" customHeight="1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</row>
    <row r="140" spans="1:15" ht="17.25" customHeight="1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</row>
    <row r="141" spans="1:15" ht="17.25" customHeight="1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</row>
    <row r="142" spans="1:15" ht="17.25" customHeight="1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</row>
    <row r="143" spans="1:15" ht="17.25" customHeight="1">
      <c r="A143" s="44"/>
      <c r="B143" s="44"/>
      <c r="C143" s="44"/>
      <c r="D143" s="44"/>
      <c r="E143" s="44"/>
      <c r="F143" s="44"/>
      <c r="G143" s="44"/>
      <c r="H143" s="44"/>
      <c r="I143" s="44"/>
      <c r="J143" s="44"/>
      <c r="K143" s="44"/>
      <c r="L143" s="44"/>
      <c r="M143" s="44"/>
      <c r="N143" s="44"/>
      <c r="O143" s="44"/>
    </row>
    <row r="144" spans="1:15" ht="17.25" customHeight="1">
      <c r="A144" s="44"/>
      <c r="B144" s="44"/>
      <c r="C144" s="44"/>
      <c r="D144" s="44"/>
      <c r="E144" s="44"/>
      <c r="F144" s="44"/>
      <c r="G144" s="44"/>
      <c r="H144" s="44"/>
      <c r="I144" s="44"/>
      <c r="J144" s="44"/>
      <c r="K144" s="44"/>
      <c r="L144" s="44"/>
      <c r="M144" s="44"/>
      <c r="N144" s="44"/>
      <c r="O144" s="44"/>
    </row>
    <row r="145" spans="1:15" ht="17.25" customHeight="1">
      <c r="A145" s="44"/>
      <c r="B145" s="44"/>
      <c r="C145" s="44"/>
      <c r="D145" s="44"/>
      <c r="E145" s="44"/>
      <c r="F145" s="44"/>
      <c r="G145" s="44"/>
      <c r="H145" s="44"/>
      <c r="I145" s="44"/>
      <c r="J145" s="44"/>
      <c r="K145" s="44"/>
      <c r="L145" s="44"/>
      <c r="M145" s="44"/>
      <c r="N145" s="44"/>
      <c r="O145" s="44"/>
    </row>
    <row r="146" spans="1:15" ht="17.25" customHeight="1">
      <c r="A146" s="44"/>
      <c r="B146" s="44"/>
      <c r="C146" s="44"/>
      <c r="D146" s="44"/>
      <c r="E146" s="44"/>
      <c r="F146" s="44"/>
      <c r="G146" s="44"/>
      <c r="H146" s="44"/>
      <c r="I146" s="44"/>
      <c r="J146" s="44"/>
      <c r="K146" s="44"/>
      <c r="L146" s="44"/>
      <c r="M146" s="44"/>
      <c r="N146" s="44"/>
      <c r="O146" s="44"/>
    </row>
    <row r="147" spans="1:15" ht="17.25" customHeight="1">
      <c r="A147" s="44"/>
      <c r="B147" s="44"/>
      <c r="C147" s="44"/>
      <c r="D147" s="44"/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44"/>
    </row>
    <row r="148" spans="1:15" ht="17.25" customHeight="1">
      <c r="A148" s="44"/>
      <c r="B148" s="44"/>
      <c r="C148" s="44"/>
      <c r="D148" s="44"/>
      <c r="E148" s="44"/>
      <c r="F148" s="44"/>
      <c r="G148" s="44"/>
      <c r="H148" s="44"/>
      <c r="I148" s="44"/>
      <c r="J148" s="44"/>
      <c r="K148" s="44"/>
      <c r="L148" s="44"/>
      <c r="M148" s="44"/>
      <c r="N148" s="44"/>
      <c r="O148" s="44"/>
    </row>
    <row r="149" spans="1:15" ht="17.25" customHeight="1">
      <c r="A149" s="44"/>
      <c r="B149" s="44"/>
      <c r="C149" s="44"/>
      <c r="D149" s="44"/>
      <c r="E149" s="44"/>
      <c r="F149" s="44"/>
      <c r="G149" s="44"/>
      <c r="H149" s="44"/>
      <c r="I149" s="44"/>
      <c r="J149" s="44"/>
      <c r="K149" s="44"/>
      <c r="L149" s="44"/>
      <c r="M149" s="44"/>
      <c r="N149" s="44"/>
      <c r="O149" s="44"/>
    </row>
    <row r="150" spans="1:15" ht="17.25" customHeight="1">
      <c r="A150" s="44"/>
      <c r="B150" s="44"/>
      <c r="C150" s="44"/>
      <c r="D150" s="44"/>
      <c r="E150" s="44"/>
      <c r="F150" s="44"/>
      <c r="G150" s="44"/>
      <c r="H150" s="44"/>
      <c r="I150" s="44"/>
      <c r="J150" s="44"/>
      <c r="K150" s="44"/>
      <c r="L150" s="44"/>
      <c r="M150" s="44"/>
      <c r="N150" s="44"/>
      <c r="O150" s="44"/>
    </row>
    <row r="151" spans="1:15" ht="17.25" customHeight="1">
      <c r="A151" s="44"/>
      <c r="B151" s="44"/>
      <c r="C151" s="44"/>
      <c r="D151" s="44"/>
      <c r="E151" s="44"/>
      <c r="F151" s="44"/>
      <c r="G151" s="44"/>
      <c r="H151" s="44"/>
      <c r="I151" s="44"/>
      <c r="J151" s="44"/>
      <c r="K151" s="44"/>
      <c r="L151" s="44"/>
      <c r="M151" s="44"/>
      <c r="N151" s="44"/>
      <c r="O151" s="44"/>
    </row>
    <row r="152" spans="1:15" ht="17.25" customHeight="1">
      <c r="A152" s="44"/>
      <c r="B152" s="44"/>
      <c r="C152" s="44"/>
      <c r="D152" s="44"/>
      <c r="E152" s="44"/>
      <c r="F152" s="44"/>
      <c r="G152" s="44"/>
      <c r="H152" s="44"/>
      <c r="I152" s="44"/>
      <c r="J152" s="44"/>
      <c r="K152" s="44"/>
      <c r="L152" s="44"/>
      <c r="M152" s="44"/>
      <c r="N152" s="44"/>
      <c r="O152" s="44"/>
    </row>
    <row r="153" spans="1:15" ht="17.25" customHeight="1">
      <c r="A153" s="44"/>
      <c r="B153" s="44"/>
      <c r="C153" s="44"/>
      <c r="D153" s="44"/>
      <c r="E153" s="44"/>
      <c r="F153" s="44"/>
      <c r="G153" s="44"/>
      <c r="H153" s="44"/>
      <c r="I153" s="44"/>
      <c r="J153" s="44"/>
      <c r="K153" s="44"/>
      <c r="L153" s="44"/>
      <c r="M153" s="44"/>
      <c r="N153" s="44"/>
      <c r="O153" s="44"/>
    </row>
    <row r="154" spans="1:15" ht="17.25" customHeight="1">
      <c r="A154" s="44"/>
      <c r="B154" s="44"/>
      <c r="C154" s="44"/>
      <c r="D154" s="44"/>
      <c r="E154" s="44"/>
      <c r="F154" s="44"/>
      <c r="G154" s="44"/>
      <c r="H154" s="44"/>
      <c r="I154" s="44"/>
      <c r="J154" s="44"/>
      <c r="K154" s="44"/>
      <c r="L154" s="44"/>
      <c r="M154" s="44"/>
      <c r="N154" s="44"/>
      <c r="O154" s="44"/>
    </row>
    <row r="155" spans="1:15" ht="17.25" customHeight="1">
      <c r="A155" s="44"/>
      <c r="B155" s="44"/>
      <c r="C155" s="44"/>
      <c r="D155" s="44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</row>
    <row r="156" spans="1:15" ht="17.25" customHeight="1">
      <c r="A156" s="44"/>
      <c r="B156" s="44"/>
      <c r="C156" s="44"/>
      <c r="D156" s="44"/>
      <c r="E156" s="44"/>
      <c r="F156" s="44"/>
      <c r="G156" s="44"/>
      <c r="H156" s="44"/>
      <c r="I156" s="44"/>
      <c r="J156" s="44"/>
      <c r="K156" s="44"/>
      <c r="L156" s="44"/>
      <c r="M156" s="44"/>
      <c r="N156" s="44"/>
      <c r="O156" s="44"/>
    </row>
    <row r="157" spans="1:15" ht="17.25" customHeight="1">
      <c r="A157" s="44"/>
      <c r="B157" s="44"/>
      <c r="C157" s="44"/>
      <c r="D157" s="44"/>
      <c r="E157" s="44"/>
      <c r="F157" s="44"/>
      <c r="G157" s="44"/>
      <c r="H157" s="44"/>
      <c r="I157" s="44"/>
      <c r="J157" s="44"/>
      <c r="K157" s="44"/>
      <c r="L157" s="44"/>
      <c r="M157" s="44"/>
      <c r="N157" s="44"/>
      <c r="O157" s="44"/>
    </row>
    <row r="158" spans="1:15" ht="17.25" customHeight="1">
      <c r="A158" s="44"/>
      <c r="B158" s="44"/>
      <c r="C158" s="44"/>
      <c r="D158" s="44"/>
      <c r="E158" s="44"/>
      <c r="F158" s="44"/>
      <c r="G158" s="44"/>
      <c r="H158" s="44"/>
      <c r="I158" s="44"/>
      <c r="J158" s="44"/>
      <c r="K158" s="44"/>
      <c r="L158" s="44"/>
      <c r="M158" s="44"/>
      <c r="N158" s="44"/>
      <c r="O158" s="44"/>
    </row>
    <row r="159" spans="1:15" ht="17.25" customHeight="1">
      <c r="A159" s="44"/>
      <c r="B159" s="44"/>
      <c r="C159" s="44"/>
      <c r="D159" s="44"/>
      <c r="E159" s="44"/>
      <c r="F159" s="44"/>
      <c r="G159" s="44"/>
      <c r="H159" s="44"/>
      <c r="I159" s="44"/>
      <c r="J159" s="44"/>
      <c r="K159" s="44"/>
      <c r="L159" s="44"/>
      <c r="M159" s="44"/>
      <c r="N159" s="44"/>
      <c r="O159" s="44"/>
    </row>
    <row r="160" spans="1:15" ht="17.25" customHeight="1">
      <c r="A160" s="44"/>
      <c r="B160" s="44"/>
      <c r="C160" s="44"/>
      <c r="D160" s="44"/>
      <c r="E160" s="44"/>
      <c r="F160" s="44"/>
      <c r="G160" s="44"/>
      <c r="H160" s="44"/>
      <c r="I160" s="44"/>
      <c r="J160" s="44"/>
      <c r="K160" s="44"/>
      <c r="L160" s="44"/>
      <c r="M160" s="44"/>
      <c r="N160" s="44"/>
      <c r="O160" s="44"/>
    </row>
    <row r="161" spans="1:15" ht="17.25" customHeight="1">
      <c r="A161" s="44"/>
      <c r="B161" s="44"/>
      <c r="C161" s="44"/>
      <c r="D161" s="44"/>
      <c r="E161" s="44"/>
      <c r="F161" s="44"/>
      <c r="G161" s="44"/>
      <c r="H161" s="44"/>
      <c r="I161" s="44"/>
      <c r="J161" s="44"/>
      <c r="K161" s="44"/>
      <c r="L161" s="44"/>
      <c r="M161" s="44"/>
      <c r="N161" s="44"/>
      <c r="O161" s="44"/>
    </row>
    <row r="162" spans="1:15" ht="17.25" customHeight="1">
      <c r="A162" s="44"/>
      <c r="B162" s="44"/>
      <c r="C162" s="44"/>
      <c r="D162" s="44"/>
      <c r="E162" s="44"/>
      <c r="F162" s="44"/>
      <c r="G162" s="44"/>
      <c r="H162" s="44"/>
      <c r="I162" s="44"/>
      <c r="J162" s="44"/>
      <c r="K162" s="44"/>
      <c r="L162" s="44"/>
      <c r="M162" s="44"/>
      <c r="N162" s="44"/>
      <c r="O162" s="44"/>
    </row>
    <row r="163" spans="1:15" ht="17.25" customHeight="1">
      <c r="A163" s="44"/>
      <c r="B163" s="44"/>
      <c r="C163" s="44"/>
      <c r="D163" s="44"/>
      <c r="E163" s="44"/>
      <c r="F163" s="44"/>
      <c r="G163" s="44"/>
      <c r="H163" s="44"/>
      <c r="I163" s="44"/>
      <c r="J163" s="44"/>
      <c r="K163" s="44"/>
      <c r="L163" s="44"/>
      <c r="M163" s="44"/>
      <c r="N163" s="44"/>
      <c r="O163" s="44"/>
    </row>
    <row r="164" spans="1:15" ht="17.25" customHeight="1">
      <c r="A164" s="44"/>
      <c r="B164" s="44"/>
      <c r="C164" s="44"/>
      <c r="D164" s="44"/>
      <c r="E164" s="44"/>
      <c r="F164" s="44"/>
      <c r="G164" s="44"/>
      <c r="H164" s="44"/>
      <c r="I164" s="44"/>
      <c r="J164" s="44"/>
      <c r="K164" s="44"/>
      <c r="L164" s="44"/>
      <c r="M164" s="44"/>
      <c r="N164" s="44"/>
      <c r="O164" s="44"/>
    </row>
    <row r="165" spans="1:15" ht="17.25" customHeight="1">
      <c r="A165" s="44"/>
      <c r="B165" s="44"/>
      <c r="C165" s="44"/>
      <c r="D165" s="44"/>
      <c r="E165" s="44"/>
      <c r="F165" s="44"/>
      <c r="G165" s="44"/>
      <c r="H165" s="44"/>
      <c r="I165" s="44"/>
      <c r="J165" s="44"/>
      <c r="K165" s="44"/>
      <c r="L165" s="44"/>
      <c r="M165" s="44"/>
      <c r="N165" s="44"/>
      <c r="O165" s="44"/>
    </row>
    <row r="166" spans="1:15" ht="17.25" customHeight="1">
      <c r="A166" s="44"/>
      <c r="B166" s="44"/>
      <c r="C166" s="44"/>
      <c r="D166" s="44"/>
      <c r="E166" s="44"/>
      <c r="F166" s="44"/>
      <c r="G166" s="44"/>
      <c r="H166" s="44"/>
      <c r="I166" s="44"/>
      <c r="J166" s="44"/>
      <c r="K166" s="44"/>
      <c r="L166" s="44"/>
      <c r="M166" s="44"/>
      <c r="N166" s="44"/>
      <c r="O166" s="44"/>
    </row>
    <row r="167" spans="1:15" ht="17.25" customHeight="1">
      <c r="A167" s="44"/>
      <c r="B167" s="44"/>
      <c r="C167" s="44"/>
      <c r="D167" s="44"/>
      <c r="E167" s="44"/>
      <c r="F167" s="44"/>
      <c r="G167" s="44"/>
      <c r="H167" s="44"/>
      <c r="I167" s="44"/>
      <c r="J167" s="44"/>
      <c r="K167" s="44"/>
      <c r="L167" s="44"/>
      <c r="M167" s="44"/>
      <c r="N167" s="44"/>
      <c r="O167" s="44"/>
    </row>
    <row r="168" spans="1:15" ht="17.25" customHeight="1">
      <c r="A168" s="44"/>
      <c r="B168" s="44"/>
      <c r="C168" s="44"/>
      <c r="D168" s="44"/>
      <c r="E168" s="44"/>
      <c r="F168" s="44"/>
      <c r="G168" s="44"/>
      <c r="H168" s="44"/>
      <c r="I168" s="44"/>
      <c r="J168" s="44"/>
      <c r="K168" s="44"/>
      <c r="L168" s="44"/>
      <c r="M168" s="44"/>
      <c r="N168" s="44"/>
      <c r="O168" s="44"/>
    </row>
    <row r="169" spans="1:15" ht="17.25" customHeight="1">
      <c r="A169" s="44"/>
      <c r="B169" s="44"/>
      <c r="C169" s="44"/>
      <c r="D169" s="44"/>
      <c r="E169" s="44"/>
      <c r="F169" s="44"/>
      <c r="G169" s="44"/>
      <c r="H169" s="44"/>
      <c r="I169" s="44"/>
      <c r="J169" s="44"/>
      <c r="K169" s="44"/>
      <c r="L169" s="44"/>
      <c r="M169" s="44"/>
      <c r="N169" s="44"/>
      <c r="O169" s="44"/>
    </row>
    <row r="170" spans="1:15" ht="17.25" customHeight="1">
      <c r="A170" s="44"/>
      <c r="B170" s="44"/>
      <c r="C170" s="44"/>
      <c r="D170" s="44"/>
      <c r="E170" s="44"/>
      <c r="F170" s="44"/>
      <c r="G170" s="44"/>
      <c r="H170" s="44"/>
      <c r="I170" s="44"/>
      <c r="J170" s="44"/>
      <c r="K170" s="44"/>
      <c r="L170" s="44"/>
      <c r="M170" s="44"/>
      <c r="N170" s="44"/>
      <c r="O170" s="44"/>
    </row>
    <row r="171" spans="1:15" ht="17.25" customHeight="1">
      <c r="A171" s="44"/>
      <c r="B171" s="44"/>
      <c r="C171" s="44"/>
      <c r="D171" s="44"/>
      <c r="E171" s="44"/>
      <c r="F171" s="44"/>
      <c r="G171" s="44"/>
      <c r="H171" s="44"/>
      <c r="I171" s="44"/>
      <c r="J171" s="44"/>
      <c r="K171" s="44"/>
      <c r="L171" s="44"/>
      <c r="M171" s="44"/>
      <c r="N171" s="44"/>
      <c r="O171" s="44"/>
    </row>
    <row r="172" spans="1:15" ht="17.25" customHeight="1">
      <c r="A172" s="44"/>
      <c r="B172" s="44"/>
      <c r="C172" s="44"/>
      <c r="D172" s="44"/>
      <c r="E172" s="44"/>
      <c r="F172" s="44"/>
      <c r="G172" s="44"/>
      <c r="H172" s="44"/>
      <c r="I172" s="44"/>
      <c r="J172" s="44"/>
      <c r="K172" s="44"/>
      <c r="L172" s="44"/>
      <c r="M172" s="44"/>
      <c r="N172" s="44"/>
      <c r="O172" s="44"/>
    </row>
    <row r="173" spans="1:15" ht="17.25" customHeight="1">
      <c r="A173" s="44"/>
      <c r="B173" s="44"/>
      <c r="C173" s="44"/>
      <c r="D173" s="44"/>
      <c r="E173" s="44"/>
      <c r="F173" s="44"/>
      <c r="G173" s="44"/>
      <c r="H173" s="44"/>
      <c r="I173" s="44"/>
      <c r="J173" s="44"/>
      <c r="K173" s="44"/>
      <c r="L173" s="44"/>
      <c r="M173" s="44"/>
      <c r="N173" s="44"/>
      <c r="O173" s="44"/>
    </row>
    <row r="174" spans="1:15" ht="17.25" customHeight="1">
      <c r="A174" s="44"/>
      <c r="B174" s="44"/>
      <c r="C174" s="44"/>
      <c r="D174" s="44"/>
      <c r="E174" s="44"/>
      <c r="F174" s="44"/>
      <c r="G174" s="44"/>
      <c r="H174" s="44"/>
      <c r="I174" s="44"/>
      <c r="J174" s="44"/>
      <c r="K174" s="44"/>
      <c r="L174" s="44"/>
      <c r="M174" s="44"/>
      <c r="N174" s="44"/>
      <c r="O174" s="44"/>
    </row>
    <row r="175" spans="1:15" ht="17.25" customHeight="1">
      <c r="A175" s="44"/>
      <c r="B175" s="44"/>
      <c r="C175" s="44"/>
      <c r="D175" s="44"/>
      <c r="E175" s="44"/>
      <c r="F175" s="44"/>
      <c r="G175" s="44"/>
      <c r="H175" s="44"/>
      <c r="I175" s="44"/>
      <c r="J175" s="44"/>
      <c r="K175" s="44"/>
      <c r="L175" s="44"/>
      <c r="M175" s="44"/>
      <c r="N175" s="44"/>
      <c r="O175" s="44"/>
    </row>
    <row r="176" spans="1:15" ht="17.25" customHeight="1">
      <c r="A176" s="44"/>
      <c r="B176" s="44"/>
      <c r="C176" s="44"/>
      <c r="D176" s="44"/>
      <c r="E176" s="44"/>
      <c r="F176" s="44"/>
      <c r="G176" s="44"/>
      <c r="H176" s="44"/>
      <c r="I176" s="44"/>
      <c r="J176" s="44"/>
      <c r="K176" s="44"/>
      <c r="L176" s="44"/>
      <c r="M176" s="44"/>
      <c r="N176" s="44"/>
      <c r="O176" s="44"/>
    </row>
    <row r="177" spans="1:15" ht="17.25" customHeight="1">
      <c r="A177" s="44"/>
      <c r="B177" s="44"/>
      <c r="C177" s="44"/>
      <c r="D177" s="44"/>
      <c r="E177" s="44"/>
      <c r="F177" s="44"/>
      <c r="G177" s="44"/>
      <c r="H177" s="44"/>
      <c r="I177" s="44"/>
      <c r="J177" s="44"/>
      <c r="K177" s="44"/>
      <c r="L177" s="44"/>
      <c r="M177" s="44"/>
      <c r="N177" s="44"/>
      <c r="O177" s="44"/>
    </row>
    <row r="178" spans="1:15" ht="17.25" customHeight="1">
      <c r="A178" s="44"/>
      <c r="B178" s="44"/>
      <c r="C178" s="44"/>
      <c r="D178" s="44"/>
      <c r="E178" s="44"/>
      <c r="F178" s="44"/>
      <c r="G178" s="44"/>
      <c r="H178" s="44"/>
      <c r="I178" s="44"/>
      <c r="J178" s="44"/>
      <c r="K178" s="44"/>
      <c r="L178" s="44"/>
      <c r="M178" s="44"/>
      <c r="N178" s="44"/>
      <c r="O178" s="44"/>
    </row>
    <row r="179" spans="1:15" ht="17.25" customHeight="1">
      <c r="A179" s="44"/>
      <c r="B179" s="44"/>
      <c r="C179" s="44"/>
      <c r="D179" s="44"/>
      <c r="E179" s="44"/>
      <c r="F179" s="44"/>
      <c r="G179" s="44"/>
      <c r="H179" s="44"/>
      <c r="I179" s="44"/>
      <c r="J179" s="44"/>
      <c r="K179" s="44"/>
      <c r="L179" s="44"/>
      <c r="M179" s="44"/>
      <c r="N179" s="44"/>
      <c r="O179" s="44"/>
    </row>
    <row r="180" spans="1:15" ht="17.25" customHeight="1">
      <c r="A180" s="44"/>
      <c r="B180" s="44"/>
      <c r="C180" s="44"/>
      <c r="D180" s="44"/>
      <c r="E180" s="44"/>
      <c r="F180" s="44"/>
      <c r="G180" s="44"/>
      <c r="H180" s="44"/>
      <c r="I180" s="44"/>
      <c r="J180" s="44"/>
      <c r="K180" s="44"/>
      <c r="L180" s="44"/>
      <c r="M180" s="44"/>
      <c r="N180" s="44"/>
      <c r="O180" s="44"/>
    </row>
    <row r="181" spans="1:15" ht="17.25" customHeight="1">
      <c r="A181" s="44"/>
      <c r="B181" s="44"/>
      <c r="C181" s="44"/>
      <c r="D181" s="44"/>
      <c r="E181" s="44"/>
      <c r="F181" s="44"/>
      <c r="G181" s="44"/>
      <c r="H181" s="44"/>
      <c r="I181" s="44"/>
      <c r="J181" s="44"/>
      <c r="K181" s="44"/>
      <c r="L181" s="44"/>
      <c r="M181" s="44"/>
      <c r="N181" s="44"/>
      <c r="O181" s="44"/>
    </row>
    <row r="182" spans="1:15" ht="17.25" customHeight="1">
      <c r="A182" s="44"/>
      <c r="B182" s="44"/>
      <c r="C182" s="44"/>
      <c r="D182" s="44"/>
      <c r="E182" s="44"/>
      <c r="F182" s="44"/>
      <c r="G182" s="44"/>
      <c r="H182" s="44"/>
      <c r="I182" s="44"/>
      <c r="J182" s="44"/>
      <c r="K182" s="44"/>
      <c r="L182" s="44"/>
      <c r="M182" s="44"/>
      <c r="N182" s="44"/>
      <c r="O182" s="44"/>
    </row>
    <row r="183" spans="1:15" ht="17.25" customHeight="1">
      <c r="A183" s="44"/>
      <c r="B183" s="44"/>
      <c r="C183" s="44"/>
      <c r="D183" s="44"/>
      <c r="E183" s="44"/>
      <c r="F183" s="44"/>
      <c r="G183" s="44"/>
      <c r="H183" s="44"/>
      <c r="I183" s="44"/>
      <c r="J183" s="44"/>
      <c r="K183" s="44"/>
      <c r="L183" s="44"/>
      <c r="M183" s="44"/>
      <c r="N183" s="44"/>
      <c r="O183" s="44"/>
    </row>
    <row r="184" spans="1:15" ht="17.25" customHeight="1">
      <c r="A184" s="44"/>
      <c r="B184" s="44"/>
      <c r="C184" s="44"/>
      <c r="D184" s="44"/>
      <c r="E184" s="44"/>
      <c r="F184" s="44"/>
      <c r="G184" s="44"/>
      <c r="H184" s="44"/>
      <c r="I184" s="44"/>
      <c r="J184" s="44"/>
      <c r="K184" s="44"/>
      <c r="L184" s="44"/>
      <c r="M184" s="44"/>
      <c r="N184" s="44"/>
      <c r="O184" s="44"/>
    </row>
    <row r="185" spans="1:15" ht="17.25" customHeight="1">
      <c r="A185" s="44"/>
      <c r="B185" s="44"/>
      <c r="C185" s="44"/>
      <c r="D185" s="44"/>
      <c r="E185" s="44"/>
      <c r="F185" s="44"/>
      <c r="G185" s="44"/>
      <c r="H185" s="44"/>
      <c r="I185" s="44"/>
      <c r="J185" s="44"/>
      <c r="K185" s="44"/>
      <c r="L185" s="44"/>
      <c r="M185" s="44"/>
      <c r="N185" s="44"/>
      <c r="O185" s="44"/>
    </row>
    <row r="186" spans="1:15" ht="17.25" customHeight="1">
      <c r="A186" s="44"/>
      <c r="B186" s="44"/>
      <c r="C186" s="44"/>
      <c r="D186" s="44"/>
      <c r="E186" s="44"/>
      <c r="F186" s="44"/>
      <c r="G186" s="44"/>
      <c r="H186" s="44"/>
      <c r="I186" s="44"/>
      <c r="J186" s="44"/>
      <c r="K186" s="44"/>
      <c r="L186" s="44"/>
      <c r="M186" s="44"/>
      <c r="N186" s="44"/>
      <c r="O186" s="44"/>
    </row>
    <row r="187" spans="1:15" ht="17.25" customHeight="1">
      <c r="A187" s="44"/>
      <c r="B187" s="44"/>
      <c r="C187" s="44"/>
      <c r="D187" s="44"/>
      <c r="E187" s="44"/>
      <c r="F187" s="44"/>
      <c r="G187" s="44"/>
      <c r="H187" s="44"/>
      <c r="I187" s="44"/>
      <c r="J187" s="44"/>
      <c r="K187" s="44"/>
      <c r="L187" s="44"/>
      <c r="M187" s="44"/>
      <c r="N187" s="44"/>
      <c r="O187" s="44"/>
    </row>
    <row r="188" spans="1:15" ht="17.25" customHeight="1">
      <c r="A188" s="44"/>
      <c r="B188" s="44"/>
      <c r="C188" s="44"/>
      <c r="D188" s="44"/>
      <c r="E188" s="44"/>
      <c r="F188" s="44"/>
      <c r="G188" s="44"/>
      <c r="H188" s="44"/>
      <c r="I188" s="44"/>
      <c r="J188" s="44"/>
      <c r="K188" s="44"/>
      <c r="L188" s="44"/>
      <c r="M188" s="44"/>
      <c r="N188" s="44"/>
      <c r="O188" s="44"/>
    </row>
    <row r="189" spans="1:15" ht="17.25" customHeight="1">
      <c r="A189" s="44"/>
      <c r="B189" s="44"/>
      <c r="C189" s="44"/>
      <c r="D189" s="44"/>
      <c r="E189" s="44"/>
      <c r="F189" s="44"/>
      <c r="G189" s="44"/>
      <c r="H189" s="44"/>
      <c r="I189" s="44"/>
      <c r="J189" s="44"/>
      <c r="K189" s="44"/>
      <c r="L189" s="44"/>
      <c r="M189" s="44"/>
      <c r="N189" s="44"/>
      <c r="O189" s="44"/>
    </row>
    <row r="190" spans="1:15" ht="17.25" customHeight="1">
      <c r="A190" s="44"/>
      <c r="B190" s="44"/>
      <c r="C190" s="44"/>
      <c r="D190" s="44"/>
      <c r="E190" s="44"/>
      <c r="F190" s="44"/>
      <c r="G190" s="44"/>
      <c r="H190" s="44"/>
      <c r="I190" s="44"/>
      <c r="J190" s="44"/>
      <c r="K190" s="44"/>
      <c r="L190" s="44"/>
      <c r="M190" s="44"/>
      <c r="N190" s="44"/>
      <c r="O190" s="44"/>
    </row>
    <row r="191" spans="1:15" ht="17.25" customHeight="1">
      <c r="A191" s="44"/>
      <c r="B191" s="44"/>
      <c r="C191" s="44"/>
      <c r="D191" s="44"/>
      <c r="E191" s="44"/>
      <c r="F191" s="44"/>
      <c r="G191" s="44"/>
      <c r="H191" s="44"/>
      <c r="I191" s="44"/>
      <c r="J191" s="44"/>
      <c r="K191" s="44"/>
      <c r="L191" s="44"/>
      <c r="M191" s="44"/>
      <c r="N191" s="44"/>
      <c r="O191" s="44"/>
    </row>
    <row r="192" spans="1:15" ht="17.25" customHeight="1">
      <c r="A192" s="44"/>
      <c r="B192" s="44"/>
      <c r="C192" s="44"/>
      <c r="D192" s="44"/>
      <c r="E192" s="44"/>
      <c r="F192" s="44"/>
      <c r="G192" s="44"/>
      <c r="H192" s="44"/>
      <c r="I192" s="44"/>
      <c r="J192" s="44"/>
      <c r="K192" s="44"/>
      <c r="L192" s="44"/>
      <c r="M192" s="44"/>
      <c r="N192" s="44"/>
      <c r="O192" s="44"/>
    </row>
    <row r="193" spans="1:15" ht="17.25" customHeight="1">
      <c r="A193" s="44"/>
      <c r="B193" s="44"/>
      <c r="C193" s="44"/>
      <c r="D193" s="44"/>
      <c r="E193" s="44"/>
      <c r="F193" s="44"/>
      <c r="G193" s="44"/>
      <c r="H193" s="44"/>
      <c r="I193" s="44"/>
      <c r="J193" s="44"/>
      <c r="K193" s="44"/>
      <c r="L193" s="44"/>
      <c r="M193" s="44"/>
      <c r="N193" s="44"/>
      <c r="O193" s="44"/>
    </row>
    <row r="194" spans="1:15" ht="17.25" customHeight="1">
      <c r="A194" s="44"/>
      <c r="B194" s="44"/>
      <c r="C194" s="44"/>
      <c r="D194" s="44"/>
      <c r="E194" s="44"/>
      <c r="F194" s="44"/>
      <c r="G194" s="44"/>
      <c r="H194" s="44"/>
      <c r="I194" s="44"/>
      <c r="J194" s="44"/>
      <c r="K194" s="44"/>
      <c r="L194" s="44"/>
      <c r="M194" s="44"/>
      <c r="N194" s="44"/>
      <c r="O194" s="44"/>
    </row>
    <row r="195" spans="1:15" ht="17.25" customHeight="1">
      <c r="A195" s="44"/>
      <c r="B195" s="44"/>
      <c r="C195" s="44"/>
      <c r="D195" s="44"/>
      <c r="E195" s="44"/>
      <c r="F195" s="44"/>
      <c r="G195" s="44"/>
      <c r="H195" s="44"/>
      <c r="I195" s="44"/>
      <c r="J195" s="44"/>
      <c r="K195" s="44"/>
      <c r="L195" s="44"/>
      <c r="M195" s="44"/>
      <c r="N195" s="44"/>
      <c r="O195" s="44"/>
    </row>
    <row r="196" spans="1:15" ht="17.25" customHeight="1">
      <c r="A196" s="44"/>
      <c r="B196" s="44"/>
      <c r="C196" s="44"/>
      <c r="D196" s="44"/>
      <c r="E196" s="44"/>
      <c r="F196" s="44"/>
      <c r="G196" s="44"/>
      <c r="H196" s="44"/>
      <c r="I196" s="44"/>
      <c r="J196" s="44"/>
      <c r="K196" s="44"/>
      <c r="L196" s="44"/>
      <c r="M196" s="44"/>
      <c r="N196" s="44"/>
      <c r="O196" s="44"/>
    </row>
    <row r="197" spans="1:15" ht="17.25" customHeight="1">
      <c r="A197" s="44"/>
      <c r="B197" s="44"/>
      <c r="C197" s="44"/>
      <c r="D197" s="44"/>
      <c r="E197" s="44"/>
      <c r="F197" s="44"/>
      <c r="G197" s="44"/>
      <c r="H197" s="44"/>
      <c r="I197" s="44"/>
      <c r="J197" s="44"/>
      <c r="K197" s="44"/>
      <c r="L197" s="44"/>
      <c r="M197" s="44"/>
      <c r="N197" s="44"/>
      <c r="O197" s="44"/>
    </row>
    <row r="198" spans="1:15" ht="17.25" customHeight="1">
      <c r="A198" s="44"/>
      <c r="B198" s="44"/>
      <c r="C198" s="44"/>
      <c r="D198" s="44"/>
      <c r="E198" s="44"/>
      <c r="F198" s="44"/>
      <c r="G198" s="44"/>
      <c r="H198" s="44"/>
      <c r="I198" s="44"/>
      <c r="J198" s="44"/>
      <c r="K198" s="44"/>
      <c r="L198" s="44"/>
      <c r="M198" s="44"/>
      <c r="N198" s="44"/>
      <c r="O198" s="44"/>
    </row>
    <row r="199" spans="1:15" ht="17.25" customHeight="1">
      <c r="A199" s="44"/>
      <c r="B199" s="44"/>
      <c r="C199" s="44"/>
      <c r="D199" s="44"/>
      <c r="E199" s="44"/>
      <c r="F199" s="44"/>
      <c r="G199" s="44"/>
      <c r="H199" s="44"/>
      <c r="I199" s="44"/>
      <c r="J199" s="44"/>
      <c r="K199" s="44"/>
      <c r="L199" s="44"/>
      <c r="M199" s="44"/>
      <c r="N199" s="44"/>
      <c r="O199" s="44"/>
    </row>
    <row r="200" spans="1:15" ht="17.25" customHeight="1">
      <c r="A200" s="44"/>
      <c r="B200" s="44"/>
      <c r="C200" s="44"/>
      <c r="D200" s="44"/>
      <c r="E200" s="44"/>
      <c r="F200" s="44"/>
      <c r="G200" s="44"/>
      <c r="H200" s="44"/>
      <c r="I200" s="44"/>
      <c r="J200" s="44"/>
      <c r="K200" s="44"/>
      <c r="L200" s="44"/>
      <c r="M200" s="44"/>
      <c r="N200" s="44"/>
      <c r="O200" s="44"/>
    </row>
    <row r="201" spans="1:15" ht="17.25" customHeight="1">
      <c r="A201" s="44"/>
      <c r="B201" s="44"/>
      <c r="C201" s="44"/>
      <c r="D201" s="44"/>
      <c r="E201" s="44"/>
      <c r="F201" s="44"/>
      <c r="G201" s="44"/>
      <c r="H201" s="44"/>
      <c r="I201" s="44"/>
      <c r="J201" s="44"/>
      <c r="K201" s="44"/>
      <c r="L201" s="44"/>
      <c r="M201" s="44"/>
      <c r="N201" s="44"/>
      <c r="O201" s="44"/>
    </row>
    <row r="202" spans="1:15" ht="17.25" customHeight="1">
      <c r="A202" s="44"/>
      <c r="B202" s="44"/>
      <c r="C202" s="44"/>
      <c r="D202" s="44"/>
      <c r="E202" s="44"/>
      <c r="F202" s="44"/>
      <c r="G202" s="44"/>
      <c r="H202" s="44"/>
      <c r="I202" s="44"/>
      <c r="J202" s="44"/>
      <c r="K202" s="44"/>
      <c r="L202" s="44"/>
      <c r="M202" s="44"/>
      <c r="N202" s="44"/>
      <c r="O202" s="44"/>
    </row>
    <row r="203" spans="1:15" ht="17.25" customHeight="1">
      <c r="A203" s="44"/>
      <c r="B203" s="44"/>
      <c r="C203" s="44"/>
      <c r="D203" s="44"/>
      <c r="E203" s="44"/>
      <c r="F203" s="44"/>
      <c r="G203" s="44"/>
      <c r="H203" s="44"/>
      <c r="I203" s="44"/>
      <c r="J203" s="44"/>
      <c r="K203" s="44"/>
      <c r="L203" s="44"/>
      <c r="M203" s="44"/>
      <c r="N203" s="44"/>
      <c r="O203" s="44"/>
    </row>
    <row r="204" spans="1:15" ht="17.25" customHeight="1">
      <c r="A204" s="44"/>
      <c r="B204" s="44"/>
      <c r="C204" s="44"/>
      <c r="D204" s="44"/>
      <c r="E204" s="44"/>
      <c r="F204" s="44"/>
      <c r="G204" s="44"/>
      <c r="H204" s="44"/>
      <c r="I204" s="44"/>
      <c r="J204" s="44"/>
      <c r="K204" s="44"/>
      <c r="L204" s="44"/>
      <c r="M204" s="44"/>
      <c r="N204" s="44"/>
      <c r="O204" s="44"/>
    </row>
    <row r="205" spans="1:15" ht="17.25" customHeight="1">
      <c r="A205" s="44"/>
      <c r="B205" s="44"/>
      <c r="C205" s="44"/>
      <c r="D205" s="44"/>
      <c r="E205" s="44"/>
      <c r="F205" s="44"/>
      <c r="G205" s="44"/>
      <c r="H205" s="44"/>
      <c r="I205" s="44"/>
      <c r="J205" s="44"/>
      <c r="K205" s="44"/>
      <c r="L205" s="44"/>
      <c r="M205" s="44"/>
      <c r="N205" s="44"/>
      <c r="O205" s="44"/>
    </row>
    <row r="206" spans="1:15" ht="17.25" customHeight="1">
      <c r="A206" s="44"/>
      <c r="B206" s="44"/>
      <c r="C206" s="44"/>
      <c r="D206" s="44"/>
      <c r="E206" s="44"/>
      <c r="F206" s="44"/>
      <c r="G206" s="44"/>
      <c r="H206" s="44"/>
      <c r="I206" s="44"/>
      <c r="J206" s="44"/>
      <c r="K206" s="44"/>
      <c r="L206" s="44"/>
      <c r="M206" s="44"/>
      <c r="N206" s="44"/>
      <c r="O206" s="44"/>
    </row>
    <row r="207" spans="1:15" ht="17.25" customHeight="1">
      <c r="A207" s="44"/>
      <c r="B207" s="44"/>
      <c r="C207" s="44"/>
      <c r="D207" s="44"/>
      <c r="E207" s="44"/>
      <c r="F207" s="44"/>
      <c r="G207" s="44"/>
      <c r="H207" s="44"/>
      <c r="I207" s="44"/>
      <c r="J207" s="44"/>
      <c r="K207" s="44"/>
      <c r="L207" s="44"/>
      <c r="M207" s="44"/>
      <c r="N207" s="44"/>
      <c r="O207" s="44"/>
    </row>
    <row r="208" spans="1:15" ht="17.25" customHeight="1">
      <c r="A208" s="44"/>
      <c r="B208" s="44"/>
      <c r="C208" s="44"/>
      <c r="D208" s="44"/>
      <c r="E208" s="44"/>
      <c r="F208" s="44"/>
      <c r="G208" s="44"/>
      <c r="H208" s="44"/>
      <c r="I208" s="44"/>
      <c r="J208" s="44"/>
      <c r="K208" s="44"/>
      <c r="L208" s="44"/>
      <c r="M208" s="44"/>
      <c r="N208" s="44"/>
      <c r="O208" s="44"/>
    </row>
    <row r="209" spans="1:15" ht="17.25" customHeight="1">
      <c r="A209" s="44"/>
      <c r="B209" s="44"/>
      <c r="C209" s="44"/>
      <c r="D209" s="44"/>
      <c r="E209" s="44"/>
      <c r="F209" s="44"/>
      <c r="G209" s="44"/>
      <c r="H209" s="44"/>
      <c r="I209" s="44"/>
      <c r="J209" s="44"/>
      <c r="K209" s="44"/>
      <c r="L209" s="44"/>
      <c r="M209" s="44"/>
      <c r="N209" s="44"/>
      <c r="O209" s="44"/>
    </row>
    <row r="210" spans="1:15" ht="17.25" customHeight="1">
      <c r="A210" s="44"/>
      <c r="B210" s="44"/>
      <c r="C210" s="44"/>
      <c r="D210" s="44"/>
      <c r="E210" s="44"/>
      <c r="F210" s="44"/>
      <c r="G210" s="44"/>
      <c r="H210" s="44"/>
      <c r="I210" s="44"/>
      <c r="J210" s="44"/>
      <c r="K210" s="44"/>
      <c r="L210" s="44"/>
      <c r="M210" s="44"/>
      <c r="N210" s="44"/>
      <c r="O210" s="44"/>
    </row>
    <row r="211" spans="1:15" ht="17.25" customHeight="1">
      <c r="A211" s="44"/>
      <c r="B211" s="44"/>
      <c r="C211" s="44"/>
      <c r="D211" s="44"/>
      <c r="E211" s="44"/>
      <c r="F211" s="44"/>
      <c r="G211" s="44"/>
      <c r="H211" s="44"/>
      <c r="I211" s="44"/>
      <c r="J211" s="44"/>
      <c r="K211" s="44"/>
      <c r="L211" s="44"/>
      <c r="M211" s="44"/>
      <c r="N211" s="44"/>
      <c r="O211" s="44"/>
    </row>
    <row r="212" spans="1:15" ht="17.25" customHeight="1">
      <c r="A212" s="44"/>
      <c r="B212" s="44"/>
      <c r="C212" s="44"/>
      <c r="D212" s="44"/>
      <c r="E212" s="44"/>
      <c r="F212" s="44"/>
      <c r="G212" s="44"/>
      <c r="H212" s="44"/>
      <c r="I212" s="44"/>
      <c r="J212" s="44"/>
      <c r="K212" s="44"/>
      <c r="L212" s="44"/>
      <c r="M212" s="44"/>
      <c r="N212" s="44"/>
      <c r="O212" s="44"/>
    </row>
    <row r="213" spans="1:15" ht="17.25" customHeight="1">
      <c r="A213" s="44"/>
      <c r="B213" s="44"/>
      <c r="C213" s="44"/>
      <c r="D213" s="44"/>
      <c r="E213" s="44"/>
      <c r="F213" s="44"/>
      <c r="G213" s="44"/>
      <c r="H213" s="44"/>
      <c r="I213" s="44"/>
      <c r="J213" s="44"/>
      <c r="K213" s="44"/>
      <c r="L213" s="44"/>
      <c r="M213" s="44"/>
      <c r="N213" s="44"/>
      <c r="O213" s="44"/>
    </row>
    <row r="214" spans="1:15" ht="17.25" customHeight="1">
      <c r="A214" s="44"/>
      <c r="B214" s="44"/>
      <c r="C214" s="44"/>
      <c r="D214" s="44"/>
      <c r="E214" s="44"/>
      <c r="F214" s="44"/>
      <c r="G214" s="44"/>
      <c r="H214" s="44"/>
      <c r="I214" s="44"/>
      <c r="J214" s="44"/>
      <c r="K214" s="44"/>
      <c r="L214" s="44"/>
      <c r="M214" s="44"/>
      <c r="N214" s="44"/>
      <c r="O214" s="44"/>
    </row>
    <row r="215" spans="1:15" ht="17.25" customHeight="1">
      <c r="A215" s="44"/>
      <c r="B215" s="44"/>
      <c r="C215" s="44"/>
      <c r="D215" s="44"/>
      <c r="E215" s="44"/>
      <c r="F215" s="44"/>
      <c r="G215" s="44"/>
      <c r="H215" s="44"/>
      <c r="I215" s="44"/>
      <c r="J215" s="44"/>
      <c r="K215" s="44"/>
      <c r="L215" s="44"/>
      <c r="M215" s="44"/>
      <c r="N215" s="44"/>
      <c r="O215" s="44"/>
    </row>
    <row r="216" spans="1:15" ht="17.25" customHeight="1">
      <c r="A216" s="44"/>
      <c r="B216" s="44"/>
      <c r="C216" s="44"/>
      <c r="D216" s="44"/>
      <c r="E216" s="44"/>
      <c r="F216" s="44"/>
      <c r="G216" s="44"/>
      <c r="H216" s="44"/>
      <c r="I216" s="44"/>
      <c r="J216" s="44"/>
      <c r="K216" s="44"/>
      <c r="L216" s="44"/>
      <c r="M216" s="44"/>
      <c r="N216" s="44"/>
      <c r="O216" s="44"/>
    </row>
    <row r="217" spans="1:15" ht="17.25" customHeight="1">
      <c r="A217" s="44"/>
      <c r="B217" s="44"/>
      <c r="C217" s="44"/>
      <c r="D217" s="44"/>
      <c r="E217" s="44"/>
      <c r="F217" s="44"/>
      <c r="G217" s="44"/>
      <c r="H217" s="44"/>
      <c r="I217" s="44"/>
      <c r="J217" s="44"/>
      <c r="K217" s="44"/>
      <c r="L217" s="44"/>
      <c r="M217" s="44"/>
      <c r="N217" s="44"/>
      <c r="O217" s="44"/>
    </row>
    <row r="218" spans="1:15" ht="17.25" customHeight="1">
      <c r="A218" s="44"/>
      <c r="B218" s="44"/>
      <c r="C218" s="44"/>
      <c r="D218" s="44"/>
      <c r="E218" s="44"/>
      <c r="F218" s="44"/>
      <c r="G218" s="44"/>
      <c r="H218" s="44"/>
      <c r="I218" s="44"/>
      <c r="J218" s="44"/>
      <c r="K218" s="44"/>
      <c r="L218" s="44"/>
      <c r="M218" s="44"/>
      <c r="N218" s="44"/>
      <c r="O218" s="44"/>
    </row>
    <row r="219" spans="1:15" ht="17.25" customHeight="1">
      <c r="A219" s="44"/>
      <c r="B219" s="44"/>
      <c r="C219" s="44"/>
      <c r="D219" s="44"/>
      <c r="E219" s="44"/>
      <c r="F219" s="44"/>
      <c r="G219" s="44"/>
      <c r="H219" s="44"/>
      <c r="I219" s="44"/>
      <c r="J219" s="44"/>
      <c r="K219" s="44"/>
      <c r="L219" s="44"/>
      <c r="M219" s="44"/>
      <c r="N219" s="44"/>
      <c r="O219" s="44"/>
    </row>
    <row r="220" spans="1:15" ht="17.25" customHeight="1">
      <c r="A220" s="44"/>
      <c r="B220" s="44"/>
      <c r="C220" s="44"/>
      <c r="D220" s="44"/>
      <c r="E220" s="44"/>
      <c r="F220" s="44"/>
      <c r="G220" s="44"/>
      <c r="H220" s="44"/>
      <c r="I220" s="44"/>
      <c r="J220" s="44"/>
      <c r="K220" s="44"/>
      <c r="L220" s="44"/>
      <c r="M220" s="44"/>
      <c r="N220" s="44"/>
      <c r="O220" s="44"/>
    </row>
    <row r="221" spans="1:15" ht="17.25" customHeight="1">
      <c r="A221" s="44"/>
      <c r="B221" s="44"/>
      <c r="C221" s="44"/>
      <c r="D221" s="44"/>
      <c r="E221" s="44"/>
      <c r="F221" s="44"/>
      <c r="G221" s="44"/>
      <c r="H221" s="44"/>
      <c r="I221" s="44"/>
      <c r="J221" s="44"/>
      <c r="K221" s="44"/>
      <c r="L221" s="44"/>
      <c r="M221" s="44"/>
      <c r="N221" s="44"/>
      <c r="O221" s="44"/>
    </row>
    <row r="222" spans="1:15" ht="17.25" customHeight="1">
      <c r="A222" s="44"/>
      <c r="B222" s="44"/>
      <c r="C222" s="44"/>
      <c r="D222" s="44"/>
      <c r="E222" s="44"/>
      <c r="F222" s="44"/>
      <c r="G222" s="44"/>
      <c r="H222" s="44"/>
      <c r="I222" s="44"/>
      <c r="J222" s="44"/>
      <c r="K222" s="44"/>
      <c r="L222" s="44"/>
      <c r="M222" s="44"/>
      <c r="N222" s="44"/>
      <c r="O222" s="44"/>
    </row>
    <row r="223" spans="1:15" ht="17.25" customHeight="1">
      <c r="A223" s="44"/>
      <c r="B223" s="44"/>
      <c r="C223" s="44"/>
      <c r="D223" s="44"/>
      <c r="E223" s="44"/>
      <c r="F223" s="44"/>
      <c r="G223" s="44"/>
      <c r="H223" s="44"/>
      <c r="I223" s="44"/>
      <c r="J223" s="44"/>
      <c r="K223" s="44"/>
      <c r="L223" s="44"/>
      <c r="M223" s="44"/>
      <c r="N223" s="44"/>
      <c r="O223" s="44"/>
    </row>
    <row r="224" spans="1:15" ht="17.25" customHeight="1">
      <c r="A224" s="44"/>
      <c r="B224" s="44"/>
      <c r="C224" s="44"/>
      <c r="D224" s="44"/>
      <c r="E224" s="44"/>
      <c r="F224" s="44"/>
      <c r="G224" s="44"/>
      <c r="H224" s="44"/>
      <c r="I224" s="44"/>
      <c r="J224" s="44"/>
      <c r="K224" s="44"/>
      <c r="L224" s="44"/>
      <c r="M224" s="44"/>
      <c r="N224" s="44"/>
      <c r="O224" s="44"/>
    </row>
    <row r="225" spans="1:15" ht="17.25" customHeight="1">
      <c r="A225" s="44"/>
      <c r="B225" s="44"/>
      <c r="C225" s="44"/>
      <c r="D225" s="44"/>
      <c r="E225" s="44"/>
      <c r="F225" s="44"/>
      <c r="G225" s="44"/>
      <c r="H225" s="44"/>
      <c r="I225" s="44"/>
      <c r="J225" s="44"/>
      <c r="K225" s="44"/>
      <c r="L225" s="44"/>
      <c r="M225" s="44"/>
      <c r="N225" s="44"/>
      <c r="O225" s="44"/>
    </row>
    <row r="226" spans="1:15" ht="17.25" customHeight="1">
      <c r="A226" s="44"/>
      <c r="B226" s="44"/>
      <c r="C226" s="44"/>
      <c r="D226" s="44"/>
      <c r="E226" s="44"/>
      <c r="F226" s="44"/>
      <c r="G226" s="44"/>
      <c r="H226" s="44"/>
      <c r="I226" s="44"/>
      <c r="J226" s="44"/>
      <c r="K226" s="44"/>
      <c r="L226" s="44"/>
      <c r="M226" s="44"/>
      <c r="N226" s="44"/>
      <c r="O226" s="44"/>
    </row>
    <row r="227" spans="1:15" ht="17.25" customHeight="1">
      <c r="A227" s="44"/>
      <c r="B227" s="44"/>
      <c r="C227" s="44"/>
      <c r="D227" s="44"/>
      <c r="E227" s="44"/>
      <c r="F227" s="44"/>
      <c r="G227" s="44"/>
      <c r="H227" s="44"/>
      <c r="I227" s="44"/>
      <c r="J227" s="44"/>
      <c r="K227" s="44"/>
      <c r="L227" s="44"/>
      <c r="M227" s="44"/>
      <c r="N227" s="44"/>
      <c r="O227" s="44"/>
    </row>
    <row r="228" spans="1:15" ht="17.25" customHeight="1">
      <c r="A228" s="44"/>
      <c r="B228" s="44"/>
      <c r="C228" s="44"/>
      <c r="D228" s="44"/>
      <c r="E228" s="44"/>
      <c r="F228" s="44"/>
      <c r="G228" s="44"/>
      <c r="H228" s="44"/>
      <c r="I228" s="44"/>
      <c r="J228" s="44"/>
      <c r="K228" s="44"/>
      <c r="L228" s="44"/>
      <c r="M228" s="44"/>
      <c r="N228" s="44"/>
      <c r="O228" s="44"/>
    </row>
    <row r="229" spans="1:15" ht="17.25" customHeight="1">
      <c r="A229" s="44"/>
      <c r="B229" s="44"/>
      <c r="C229" s="44"/>
      <c r="D229" s="44"/>
      <c r="E229" s="44"/>
      <c r="F229" s="44"/>
      <c r="G229" s="44"/>
      <c r="H229" s="44"/>
      <c r="I229" s="44"/>
      <c r="J229" s="44"/>
      <c r="K229" s="44"/>
      <c r="L229" s="44"/>
      <c r="M229" s="44"/>
      <c r="N229" s="44"/>
      <c r="O229" s="44"/>
    </row>
    <row r="230" spans="1:15" ht="17.25" customHeight="1">
      <c r="A230" s="44"/>
      <c r="B230" s="44"/>
      <c r="C230" s="44"/>
      <c r="D230" s="44"/>
      <c r="E230" s="44"/>
      <c r="F230" s="44"/>
      <c r="G230" s="44"/>
      <c r="H230" s="44"/>
      <c r="I230" s="44"/>
      <c r="J230" s="44"/>
      <c r="K230" s="44"/>
      <c r="L230" s="44"/>
      <c r="M230" s="44"/>
      <c r="N230" s="44"/>
      <c r="O230" s="44"/>
    </row>
    <row r="231" spans="1:15" ht="17.25" customHeight="1">
      <c r="A231" s="44"/>
      <c r="B231" s="44"/>
      <c r="C231" s="44"/>
      <c r="D231" s="44"/>
      <c r="E231" s="44"/>
      <c r="F231" s="44"/>
      <c r="G231" s="44"/>
      <c r="H231" s="44"/>
      <c r="I231" s="44"/>
      <c r="J231" s="44"/>
      <c r="K231" s="44"/>
      <c r="L231" s="44"/>
      <c r="M231" s="44"/>
      <c r="N231" s="44"/>
      <c r="O231" s="44"/>
    </row>
    <row r="232" spans="1:15" ht="17.25" customHeight="1">
      <c r="A232" s="44"/>
      <c r="B232" s="44"/>
      <c r="C232" s="44"/>
      <c r="D232" s="44"/>
      <c r="E232" s="44"/>
      <c r="F232" s="44"/>
      <c r="G232" s="44"/>
      <c r="H232" s="44"/>
      <c r="I232" s="44"/>
      <c r="J232" s="44"/>
      <c r="K232" s="44"/>
      <c r="L232" s="44"/>
      <c r="M232" s="44"/>
      <c r="N232" s="44"/>
      <c r="O232" s="44"/>
    </row>
    <row r="233" spans="1:15" ht="17.25" customHeight="1">
      <c r="A233" s="44"/>
      <c r="B233" s="44"/>
      <c r="C233" s="44"/>
      <c r="D233" s="44"/>
      <c r="E233" s="44"/>
      <c r="F233" s="44"/>
      <c r="G233" s="44"/>
      <c r="H233" s="44"/>
      <c r="I233" s="44"/>
      <c r="J233" s="44"/>
      <c r="K233" s="44"/>
      <c r="L233" s="44"/>
      <c r="M233" s="44"/>
      <c r="N233" s="44"/>
      <c r="O233" s="44"/>
    </row>
    <row r="234" spans="1:15" ht="17.25" customHeight="1">
      <c r="A234" s="44"/>
      <c r="B234" s="44"/>
      <c r="C234" s="44"/>
      <c r="D234" s="44"/>
      <c r="E234" s="44"/>
      <c r="F234" s="44"/>
      <c r="G234" s="44"/>
      <c r="H234" s="44"/>
      <c r="I234" s="44"/>
      <c r="J234" s="44"/>
      <c r="K234" s="44"/>
      <c r="L234" s="44"/>
      <c r="M234" s="44"/>
      <c r="N234" s="44"/>
      <c r="O234" s="44"/>
    </row>
    <row r="235" spans="1:15" ht="17.25" customHeight="1">
      <c r="A235" s="44"/>
      <c r="B235" s="44"/>
      <c r="C235" s="44"/>
      <c r="D235" s="44"/>
      <c r="E235" s="44"/>
      <c r="F235" s="44"/>
      <c r="G235" s="44"/>
      <c r="H235" s="44"/>
      <c r="I235" s="44"/>
      <c r="J235" s="44"/>
      <c r="K235" s="44"/>
      <c r="L235" s="44"/>
      <c r="M235" s="44"/>
      <c r="N235" s="44"/>
      <c r="O235" s="44"/>
    </row>
    <row r="236" spans="1:15" ht="17.25" customHeight="1">
      <c r="A236" s="44"/>
      <c r="B236" s="44"/>
      <c r="C236" s="44"/>
      <c r="D236" s="44"/>
      <c r="E236" s="44"/>
      <c r="F236" s="44"/>
      <c r="G236" s="44"/>
      <c r="H236" s="44"/>
      <c r="I236" s="44"/>
      <c r="J236" s="44"/>
      <c r="K236" s="44"/>
      <c r="L236" s="44"/>
      <c r="M236" s="44"/>
      <c r="N236" s="44"/>
      <c r="O236" s="44"/>
    </row>
    <row r="237" spans="1:15" ht="17.25" customHeight="1">
      <c r="A237" s="44"/>
      <c r="B237" s="44"/>
      <c r="C237" s="44"/>
      <c r="D237" s="44"/>
      <c r="E237" s="44"/>
      <c r="F237" s="44"/>
      <c r="G237" s="44"/>
      <c r="H237" s="44"/>
      <c r="I237" s="44"/>
      <c r="J237" s="44"/>
      <c r="K237" s="44"/>
      <c r="L237" s="44"/>
      <c r="M237" s="44"/>
      <c r="N237" s="44"/>
      <c r="O237" s="44"/>
    </row>
    <row r="238" spans="1:15" ht="17.25" customHeight="1">
      <c r="A238" s="44"/>
      <c r="B238" s="44"/>
      <c r="C238" s="44"/>
      <c r="D238" s="44"/>
      <c r="E238" s="44"/>
      <c r="F238" s="44"/>
      <c r="G238" s="44"/>
      <c r="H238" s="44"/>
      <c r="I238" s="44"/>
      <c r="J238" s="44"/>
      <c r="K238" s="44"/>
      <c r="L238" s="44"/>
      <c r="M238" s="44"/>
      <c r="N238" s="44"/>
      <c r="O238" s="44"/>
    </row>
    <row r="239" spans="1:15" ht="17.25" customHeight="1">
      <c r="A239" s="44"/>
      <c r="B239" s="44"/>
      <c r="C239" s="44"/>
      <c r="D239" s="44"/>
      <c r="E239" s="44"/>
      <c r="F239" s="44"/>
      <c r="G239" s="44"/>
      <c r="H239" s="44"/>
      <c r="I239" s="44"/>
      <c r="J239" s="44"/>
      <c r="K239" s="44"/>
      <c r="L239" s="44"/>
      <c r="M239" s="44"/>
      <c r="N239" s="44"/>
      <c r="O239" s="44"/>
    </row>
    <row r="240" spans="1:15" ht="17.25" customHeight="1">
      <c r="A240" s="44"/>
      <c r="B240" s="44"/>
      <c r="C240" s="44"/>
      <c r="D240" s="44"/>
      <c r="E240" s="44"/>
      <c r="F240" s="44"/>
      <c r="G240" s="44"/>
      <c r="H240" s="44"/>
      <c r="I240" s="44"/>
      <c r="J240" s="44"/>
      <c r="K240" s="44"/>
      <c r="L240" s="44"/>
      <c r="M240" s="44"/>
      <c r="N240" s="44"/>
      <c r="O240" s="44"/>
    </row>
    <row r="241" spans="1:15" ht="17.25" customHeight="1">
      <c r="A241" s="44"/>
      <c r="B241" s="44"/>
      <c r="C241" s="44"/>
      <c r="D241" s="44"/>
      <c r="E241" s="44"/>
      <c r="F241" s="44"/>
      <c r="G241" s="44"/>
      <c r="H241" s="44"/>
      <c r="I241" s="44"/>
      <c r="J241" s="44"/>
      <c r="K241" s="44"/>
      <c r="L241" s="44"/>
      <c r="M241" s="44"/>
      <c r="N241" s="44"/>
      <c r="O241" s="44"/>
    </row>
    <row r="242" spans="1:15" ht="17.25" customHeight="1">
      <c r="A242" s="44"/>
      <c r="B242" s="44"/>
      <c r="C242" s="44"/>
      <c r="D242" s="44"/>
      <c r="E242" s="44"/>
      <c r="F242" s="44"/>
      <c r="G242" s="44"/>
      <c r="H242" s="44"/>
      <c r="I242" s="44"/>
      <c r="J242" s="44"/>
      <c r="K242" s="44"/>
      <c r="L242" s="44"/>
      <c r="M242" s="44"/>
      <c r="N242" s="44"/>
      <c r="O242" s="44"/>
    </row>
    <row r="243" spans="1:15" ht="17.25" customHeight="1">
      <c r="A243" s="44"/>
      <c r="B243" s="44"/>
      <c r="C243" s="44"/>
      <c r="D243" s="44"/>
      <c r="E243" s="44"/>
      <c r="F243" s="44"/>
      <c r="G243" s="44"/>
      <c r="H243" s="44"/>
      <c r="I243" s="44"/>
      <c r="J243" s="44"/>
      <c r="K243" s="44"/>
      <c r="L243" s="44"/>
      <c r="M243" s="44"/>
      <c r="N243" s="44"/>
      <c r="O243" s="44"/>
    </row>
    <row r="244" spans="1:15" ht="17.25" customHeight="1">
      <c r="A244" s="44"/>
      <c r="B244" s="44"/>
      <c r="C244" s="44"/>
      <c r="D244" s="44"/>
      <c r="E244" s="44"/>
      <c r="F244" s="44"/>
      <c r="G244" s="44"/>
      <c r="H244" s="44"/>
      <c r="I244" s="44"/>
      <c r="J244" s="44"/>
      <c r="K244" s="44"/>
      <c r="L244" s="44"/>
      <c r="M244" s="44"/>
      <c r="N244" s="44"/>
      <c r="O244" s="44"/>
    </row>
    <row r="245" spans="1:15" ht="17.25" customHeight="1">
      <c r="A245" s="44"/>
      <c r="B245" s="44"/>
      <c r="C245" s="44"/>
      <c r="D245" s="44"/>
      <c r="E245" s="44"/>
      <c r="F245" s="44"/>
      <c r="G245" s="44"/>
      <c r="H245" s="44"/>
      <c r="I245" s="44"/>
      <c r="J245" s="44"/>
      <c r="K245" s="44"/>
      <c r="L245" s="44"/>
      <c r="M245" s="44"/>
      <c r="N245" s="44"/>
      <c r="O245" s="44"/>
    </row>
    <row r="246" spans="1:15" ht="17.25" customHeight="1">
      <c r="A246" s="44"/>
      <c r="B246" s="44"/>
      <c r="C246" s="44"/>
      <c r="D246" s="44"/>
      <c r="E246" s="44"/>
      <c r="F246" s="44"/>
      <c r="G246" s="44"/>
      <c r="H246" s="44"/>
      <c r="I246" s="44"/>
      <c r="J246" s="44"/>
      <c r="K246" s="44"/>
      <c r="L246" s="44"/>
      <c r="M246" s="44"/>
      <c r="N246" s="44"/>
      <c r="O246" s="44"/>
    </row>
    <row r="247" spans="1:15" ht="17.25" customHeight="1">
      <c r="A247" s="44"/>
      <c r="B247" s="44"/>
      <c r="C247" s="44"/>
      <c r="D247" s="44"/>
      <c r="E247" s="44"/>
      <c r="F247" s="44"/>
      <c r="G247" s="44"/>
      <c r="H247" s="44"/>
      <c r="I247" s="44"/>
      <c r="J247" s="44"/>
      <c r="K247" s="44"/>
      <c r="L247" s="44"/>
      <c r="M247" s="44"/>
      <c r="N247" s="44"/>
      <c r="O247" s="44"/>
    </row>
    <row r="248" spans="1:15" ht="17.25" customHeight="1">
      <c r="A248" s="44"/>
      <c r="B248" s="44"/>
      <c r="C248" s="44"/>
      <c r="D248" s="44"/>
      <c r="E248" s="44"/>
      <c r="F248" s="44"/>
      <c r="G248" s="44"/>
      <c r="H248" s="44"/>
      <c r="I248" s="44"/>
      <c r="J248" s="44"/>
      <c r="K248" s="44"/>
      <c r="L248" s="44"/>
      <c r="M248" s="44"/>
      <c r="N248" s="44"/>
      <c r="O248" s="44"/>
    </row>
    <row r="249" spans="1:15" ht="17.25" customHeight="1">
      <c r="A249" s="44"/>
      <c r="B249" s="44"/>
      <c r="C249" s="44"/>
      <c r="D249" s="44"/>
      <c r="E249" s="44"/>
      <c r="F249" s="44"/>
      <c r="G249" s="44"/>
      <c r="H249" s="44"/>
      <c r="I249" s="44"/>
      <c r="J249" s="44"/>
      <c r="K249" s="44"/>
      <c r="L249" s="44"/>
      <c r="M249" s="44"/>
      <c r="N249" s="44"/>
      <c r="O249" s="44"/>
    </row>
    <row r="250" spans="1:15" ht="17.25" customHeight="1">
      <c r="A250" s="44"/>
      <c r="B250" s="44"/>
      <c r="C250" s="44"/>
      <c r="D250" s="44"/>
      <c r="E250" s="44"/>
      <c r="F250" s="44"/>
      <c r="G250" s="44"/>
      <c r="H250" s="44"/>
      <c r="I250" s="44"/>
      <c r="J250" s="44"/>
      <c r="K250" s="44"/>
      <c r="L250" s="44"/>
      <c r="M250" s="44"/>
      <c r="N250" s="44"/>
      <c r="O250" s="44"/>
    </row>
    <row r="251" spans="1:15" ht="17.25" customHeight="1">
      <c r="A251" s="44"/>
      <c r="B251" s="44"/>
      <c r="C251" s="44"/>
      <c r="D251" s="44"/>
      <c r="E251" s="44"/>
      <c r="F251" s="44"/>
      <c r="G251" s="44"/>
      <c r="H251" s="44"/>
      <c r="I251" s="44"/>
      <c r="J251" s="44"/>
      <c r="K251" s="44"/>
      <c r="L251" s="44"/>
      <c r="M251" s="44"/>
      <c r="N251" s="44"/>
      <c r="O251" s="44"/>
    </row>
    <row r="252" spans="1:15" ht="17.25" customHeight="1">
      <c r="A252" s="44"/>
      <c r="B252" s="44"/>
      <c r="C252" s="44"/>
      <c r="D252" s="44"/>
      <c r="E252" s="44"/>
      <c r="F252" s="44"/>
      <c r="G252" s="44"/>
      <c r="H252" s="44"/>
      <c r="I252" s="44"/>
      <c r="J252" s="44"/>
      <c r="K252" s="44"/>
      <c r="L252" s="44"/>
      <c r="M252" s="44"/>
      <c r="N252" s="44"/>
      <c r="O252" s="44"/>
    </row>
    <row r="253" spans="1:15" ht="17.25" customHeight="1">
      <c r="A253" s="44"/>
      <c r="B253" s="44"/>
      <c r="C253" s="44"/>
      <c r="D253" s="44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4"/>
    </row>
    <row r="254" spans="1:15" ht="17.25" customHeight="1">
      <c r="A254" s="44"/>
      <c r="B254" s="44"/>
      <c r="C254" s="44"/>
      <c r="D254" s="44"/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O254" s="44"/>
    </row>
    <row r="255" spans="1:15" ht="17.25" customHeight="1">
      <c r="A255" s="44"/>
      <c r="B255" s="44"/>
      <c r="C255" s="44"/>
      <c r="D255" s="44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</row>
    <row r="256" spans="1:15" ht="17.25" customHeight="1">
      <c r="A256" s="44"/>
      <c r="B256" s="44"/>
      <c r="C256" s="44"/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</row>
    <row r="257" spans="1:15" ht="17.25" customHeight="1">
      <c r="A257" s="44"/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</row>
    <row r="258" spans="1:15" ht="17.25" customHeight="1">
      <c r="A258" s="44"/>
      <c r="B258" s="44"/>
      <c r="C258" s="44"/>
      <c r="D258" s="44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</row>
    <row r="259" spans="1:15" ht="17.25" customHeight="1">
      <c r="A259" s="44"/>
      <c r="B259" s="44"/>
      <c r="C259" s="44"/>
      <c r="D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</row>
    <row r="260" spans="1:15" ht="17.25" customHeight="1">
      <c r="A260" s="44"/>
      <c r="B260" s="44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</row>
    <row r="261" spans="1:15" ht="17.25" customHeight="1">
      <c r="A261" s="44"/>
      <c r="B261" s="44"/>
      <c r="C261" s="44"/>
      <c r="D261" s="44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</row>
    <row r="262" spans="1:15" ht="17.25" customHeight="1">
      <c r="A262" s="44"/>
      <c r="B262" s="44"/>
      <c r="C262" s="44"/>
      <c r="D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</row>
    <row r="263" spans="1:15" ht="17.25" customHeight="1">
      <c r="A263" s="44"/>
      <c r="B263" s="44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</row>
    <row r="264" spans="1:15" ht="17.25" customHeight="1">
      <c r="A264" s="44"/>
      <c r="B264" s="44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</row>
    <row r="265" spans="1:15" ht="17.25" customHeight="1">
      <c r="A265" s="44"/>
      <c r="B265" s="44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</row>
    <row r="266" spans="1:15" ht="17.25" customHeight="1">
      <c r="A266" s="44"/>
      <c r="B266" s="44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</row>
    <row r="267" spans="1:15" ht="17.25" customHeight="1">
      <c r="A267" s="44"/>
      <c r="B267" s="44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</row>
    <row r="268" spans="1:15" ht="17.25" customHeight="1">
      <c r="A268" s="44"/>
      <c r="B268" s="44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</row>
    <row r="269" spans="1:15" ht="17.25" customHeight="1">
      <c r="A269" s="44"/>
      <c r="B269" s="44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</row>
    <row r="270" spans="1:15" ht="17.25" customHeight="1">
      <c r="A270" s="44"/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</row>
    <row r="271" spans="1:15" ht="17.25" customHeight="1">
      <c r="A271" s="44"/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</row>
    <row r="272" spans="1:15" ht="17.25" customHeight="1">
      <c r="A272" s="44"/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</row>
    <row r="273" spans="1:15" ht="17.25" customHeight="1">
      <c r="A273" s="44"/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</row>
    <row r="274" spans="1:15" ht="17.25" customHeight="1">
      <c r="A274" s="44"/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</row>
    <row r="275" spans="1:15" ht="17.25" customHeight="1">
      <c r="A275" s="44"/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</row>
    <row r="276" spans="1:15" ht="17.25" customHeight="1">
      <c r="A276" s="44"/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</row>
    <row r="277" spans="1:15" ht="17.25" customHeight="1">
      <c r="A277" s="44"/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</row>
    <row r="278" spans="1:15" ht="17.25" customHeight="1">
      <c r="A278" s="44"/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</row>
    <row r="279" spans="1:15" ht="17.25" customHeight="1">
      <c r="A279" s="44"/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</row>
    <row r="280" spans="1:15" ht="17.25" customHeight="1">
      <c r="A280" s="44"/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</row>
    <row r="281" spans="1:15" ht="17.25" customHeight="1">
      <c r="A281" s="44"/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</row>
    <row r="282" spans="1:15" ht="17.25" customHeight="1">
      <c r="A282" s="44"/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</row>
    <row r="283" spans="1:15" ht="17.25" customHeight="1">
      <c r="A283" s="44"/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</row>
    <row r="284" spans="1:15" ht="17.25" customHeight="1">
      <c r="A284" s="44"/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</row>
    <row r="285" spans="1:15" ht="17.25" customHeight="1">
      <c r="A285" s="44"/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</row>
    <row r="286" spans="1:15" ht="17.25" customHeight="1">
      <c r="A286" s="44"/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</row>
    <row r="287" spans="1:15" ht="17.25" customHeight="1">
      <c r="A287" s="44"/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</row>
    <row r="288" spans="1:15" ht="17.25" customHeight="1">
      <c r="A288" s="44"/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</row>
    <row r="289" spans="1:15" ht="17.25" customHeight="1">
      <c r="A289" s="44"/>
      <c r="B289" s="44"/>
      <c r="C289" s="44"/>
      <c r="D289" s="44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</row>
    <row r="290" spans="1:15" ht="17.25" customHeight="1">
      <c r="A290" s="44"/>
      <c r="B290" s="44"/>
      <c r="C290" s="44"/>
      <c r="D290" s="44"/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44"/>
    </row>
    <row r="291" spans="1:15" ht="17.25" customHeight="1">
      <c r="A291" s="44"/>
      <c r="B291" s="44"/>
      <c r="C291" s="44"/>
      <c r="D291" s="44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</row>
    <row r="292" spans="1:15" ht="17.25" customHeight="1">
      <c r="A292" s="44"/>
      <c r="B292" s="44"/>
      <c r="C292" s="44"/>
      <c r="D292" s="44"/>
      <c r="E292" s="44"/>
      <c r="F292" s="44"/>
      <c r="G292" s="44"/>
      <c r="H292" s="44"/>
      <c r="I292" s="44"/>
      <c r="J292" s="44"/>
      <c r="K292" s="44"/>
      <c r="L292" s="44"/>
      <c r="M292" s="44"/>
      <c r="N292" s="44"/>
      <c r="O292" s="44"/>
    </row>
    <row r="293" spans="1:15" ht="17.25" customHeight="1">
      <c r="A293" s="44"/>
      <c r="B293" s="44"/>
      <c r="C293" s="44"/>
      <c r="D293" s="44"/>
      <c r="E293" s="44"/>
      <c r="F293" s="44"/>
      <c r="G293" s="44"/>
      <c r="H293" s="44"/>
      <c r="I293" s="44"/>
      <c r="J293" s="44"/>
      <c r="K293" s="44"/>
      <c r="L293" s="44"/>
      <c r="M293" s="44"/>
      <c r="N293" s="44"/>
      <c r="O293" s="44"/>
    </row>
    <row r="294" spans="1:15" ht="17.25" customHeight="1">
      <c r="A294" s="44"/>
      <c r="B294" s="44"/>
      <c r="C294" s="44"/>
      <c r="D294" s="44"/>
      <c r="E294" s="44"/>
      <c r="F294" s="44"/>
      <c r="G294" s="44"/>
      <c r="H294" s="44"/>
      <c r="I294" s="44"/>
      <c r="J294" s="44"/>
      <c r="K294" s="44"/>
      <c r="L294" s="44"/>
      <c r="M294" s="44"/>
      <c r="N294" s="44"/>
      <c r="O294" s="44"/>
    </row>
    <row r="295" spans="1:15" ht="17.25" customHeight="1">
      <c r="A295" s="44"/>
      <c r="B295" s="44"/>
      <c r="C295" s="44"/>
      <c r="D295" s="44"/>
      <c r="E295" s="44"/>
      <c r="F295" s="44"/>
      <c r="G295" s="44"/>
      <c r="H295" s="44"/>
      <c r="I295" s="44"/>
      <c r="J295" s="44"/>
      <c r="K295" s="44"/>
      <c r="L295" s="44"/>
      <c r="M295" s="44"/>
      <c r="N295" s="44"/>
      <c r="O295" s="44"/>
    </row>
    <row r="296" spans="1:15" ht="17.25" customHeight="1">
      <c r="A296" s="44"/>
      <c r="B296" s="44"/>
      <c r="C296" s="44"/>
      <c r="D296" s="44"/>
      <c r="E296" s="44"/>
      <c r="F296" s="44"/>
      <c r="G296" s="44"/>
      <c r="H296" s="44"/>
      <c r="I296" s="44"/>
      <c r="J296" s="44"/>
      <c r="K296" s="44"/>
      <c r="L296" s="44"/>
      <c r="M296" s="44"/>
      <c r="N296" s="44"/>
      <c r="O296" s="44"/>
    </row>
    <row r="297" spans="1:15" ht="17.25" customHeight="1">
      <c r="A297" s="44"/>
      <c r="B297" s="44"/>
      <c r="C297" s="44"/>
      <c r="D297" s="44"/>
      <c r="E297" s="44"/>
      <c r="F297" s="44"/>
      <c r="G297" s="44"/>
      <c r="H297" s="44"/>
      <c r="I297" s="44"/>
      <c r="J297" s="44"/>
      <c r="K297" s="44"/>
      <c r="L297" s="44"/>
      <c r="M297" s="44"/>
      <c r="N297" s="44"/>
      <c r="O297" s="44"/>
    </row>
    <row r="298" spans="1:15" ht="17.25" customHeight="1">
      <c r="A298" s="44"/>
      <c r="B298" s="44"/>
      <c r="C298" s="44"/>
      <c r="D298" s="44"/>
      <c r="E298" s="44"/>
      <c r="F298" s="44"/>
      <c r="G298" s="44"/>
      <c r="H298" s="44"/>
      <c r="I298" s="44"/>
      <c r="J298" s="44"/>
      <c r="K298" s="44"/>
      <c r="L298" s="44"/>
      <c r="M298" s="44"/>
      <c r="N298" s="44"/>
      <c r="O298" s="44"/>
    </row>
    <row r="299" spans="1:15" ht="17.25" customHeight="1">
      <c r="A299" s="44"/>
      <c r="B299" s="44"/>
      <c r="C299" s="44"/>
      <c r="D299" s="44"/>
      <c r="E299" s="44"/>
      <c r="F299" s="44"/>
      <c r="G299" s="44"/>
      <c r="H299" s="44"/>
      <c r="I299" s="44"/>
      <c r="J299" s="44"/>
      <c r="K299" s="44"/>
      <c r="L299" s="44"/>
      <c r="M299" s="44"/>
      <c r="N299" s="44"/>
      <c r="O299" s="44"/>
    </row>
    <row r="300" spans="1:15" ht="17.25" customHeight="1">
      <c r="A300" s="44"/>
      <c r="B300" s="44"/>
      <c r="C300" s="44"/>
      <c r="D300" s="44"/>
      <c r="E300" s="44"/>
      <c r="F300" s="44"/>
      <c r="G300" s="44"/>
      <c r="H300" s="44"/>
      <c r="I300" s="44"/>
      <c r="J300" s="44"/>
      <c r="K300" s="44"/>
      <c r="L300" s="44"/>
      <c r="M300" s="44"/>
      <c r="N300" s="44"/>
      <c r="O300" s="44"/>
    </row>
    <row r="301" spans="1:15" ht="17.25" customHeight="1">
      <c r="A301" s="44"/>
      <c r="B301" s="44"/>
      <c r="C301" s="44"/>
      <c r="D301" s="44"/>
      <c r="E301" s="44"/>
      <c r="F301" s="44"/>
      <c r="G301" s="44"/>
      <c r="H301" s="44"/>
      <c r="I301" s="44"/>
      <c r="J301" s="44"/>
      <c r="K301" s="44"/>
      <c r="L301" s="44"/>
      <c r="M301" s="44"/>
      <c r="N301" s="44"/>
      <c r="O301" s="44"/>
    </row>
    <row r="302" spans="1:15" ht="17.25" customHeight="1">
      <c r="A302" s="44"/>
      <c r="B302" s="44"/>
      <c r="C302" s="44"/>
      <c r="D302" s="44"/>
      <c r="E302" s="44"/>
      <c r="F302" s="44"/>
      <c r="G302" s="44"/>
      <c r="H302" s="44"/>
      <c r="I302" s="44"/>
      <c r="J302" s="44"/>
      <c r="K302" s="44"/>
      <c r="L302" s="44"/>
      <c r="M302" s="44"/>
      <c r="N302" s="44"/>
      <c r="O302" s="44"/>
    </row>
    <row r="303" spans="1:15" ht="17.25" customHeight="1">
      <c r="A303" s="44"/>
      <c r="B303" s="44"/>
      <c r="C303" s="44"/>
      <c r="D303" s="44"/>
      <c r="E303" s="44"/>
      <c r="F303" s="44"/>
      <c r="G303" s="44"/>
      <c r="H303" s="44"/>
      <c r="I303" s="44"/>
      <c r="J303" s="44"/>
      <c r="K303" s="44"/>
      <c r="L303" s="44"/>
      <c r="M303" s="44"/>
      <c r="N303" s="44"/>
      <c r="O303" s="44"/>
    </row>
    <row r="304" spans="1:15" ht="17.25" customHeight="1">
      <c r="A304" s="44"/>
      <c r="B304" s="44"/>
      <c r="C304" s="44"/>
      <c r="D304" s="44"/>
      <c r="E304" s="44"/>
      <c r="F304" s="44"/>
      <c r="G304" s="44"/>
      <c r="H304" s="44"/>
      <c r="I304" s="44"/>
      <c r="J304" s="44"/>
      <c r="K304" s="44"/>
      <c r="L304" s="44"/>
      <c r="M304" s="44"/>
      <c r="N304" s="44"/>
      <c r="O304" s="44"/>
    </row>
    <row r="305" spans="1:15" ht="17.25" customHeight="1">
      <c r="A305" s="44"/>
      <c r="B305" s="44"/>
      <c r="C305" s="44"/>
      <c r="D305" s="44"/>
      <c r="E305" s="44"/>
      <c r="F305" s="44"/>
      <c r="G305" s="44"/>
      <c r="H305" s="44"/>
      <c r="I305" s="44"/>
      <c r="J305" s="44"/>
      <c r="K305" s="44"/>
      <c r="L305" s="44"/>
      <c r="M305" s="44"/>
      <c r="N305" s="44"/>
      <c r="O305" s="44"/>
    </row>
    <row r="306" spans="1:15" ht="17.25" customHeight="1">
      <c r="A306" s="44"/>
      <c r="B306" s="44"/>
      <c r="C306" s="44"/>
      <c r="D306" s="44"/>
      <c r="E306" s="44"/>
      <c r="F306" s="44"/>
      <c r="G306" s="44"/>
      <c r="H306" s="44"/>
      <c r="I306" s="44"/>
      <c r="J306" s="44"/>
      <c r="K306" s="44"/>
      <c r="L306" s="44"/>
      <c r="M306" s="44"/>
      <c r="N306" s="44"/>
      <c r="O306" s="44"/>
    </row>
    <row r="307" spans="1:15" ht="17.25" customHeight="1">
      <c r="A307" s="44"/>
      <c r="B307" s="44"/>
      <c r="C307" s="44"/>
      <c r="D307" s="44"/>
      <c r="E307" s="44"/>
      <c r="F307" s="44"/>
      <c r="G307" s="44"/>
      <c r="H307" s="44"/>
      <c r="I307" s="44"/>
      <c r="J307" s="44"/>
      <c r="K307" s="44"/>
      <c r="L307" s="44"/>
      <c r="M307" s="44"/>
      <c r="N307" s="44"/>
      <c r="O307" s="44"/>
    </row>
    <row r="308" spans="1:15" ht="17.25" customHeight="1">
      <c r="A308" s="44"/>
      <c r="B308" s="44"/>
      <c r="C308" s="44"/>
      <c r="D308" s="44"/>
      <c r="E308" s="44"/>
      <c r="F308" s="44"/>
      <c r="G308" s="44"/>
      <c r="H308" s="44"/>
      <c r="I308" s="44"/>
      <c r="J308" s="44"/>
      <c r="K308" s="44"/>
      <c r="L308" s="44"/>
      <c r="M308" s="44"/>
      <c r="N308" s="44"/>
      <c r="O308" s="44"/>
    </row>
    <row r="309" spans="1:15" ht="17.25" customHeight="1">
      <c r="A309" s="44"/>
      <c r="B309" s="44"/>
      <c r="C309" s="44"/>
      <c r="D309" s="44"/>
      <c r="E309" s="44"/>
      <c r="F309" s="44"/>
      <c r="G309" s="44"/>
      <c r="H309" s="44"/>
      <c r="I309" s="44"/>
      <c r="J309" s="44"/>
      <c r="K309" s="44"/>
      <c r="L309" s="44"/>
      <c r="M309" s="44"/>
      <c r="N309" s="44"/>
      <c r="O309" s="44"/>
    </row>
    <row r="310" spans="1:15" ht="17.25" customHeight="1">
      <c r="A310" s="44"/>
      <c r="B310" s="44"/>
      <c r="C310" s="44"/>
      <c r="D310" s="44"/>
      <c r="E310" s="44"/>
      <c r="F310" s="44"/>
      <c r="G310" s="44"/>
      <c r="H310" s="44"/>
      <c r="I310" s="44"/>
      <c r="J310" s="44"/>
      <c r="K310" s="44"/>
      <c r="L310" s="44"/>
      <c r="M310" s="44"/>
      <c r="N310" s="44"/>
      <c r="O310" s="44"/>
    </row>
    <row r="311" spans="1:15" ht="17.25" customHeight="1">
      <c r="A311" s="44"/>
      <c r="B311" s="44"/>
      <c r="C311" s="44"/>
      <c r="D311" s="44"/>
      <c r="E311" s="44"/>
      <c r="F311" s="44"/>
      <c r="G311" s="44"/>
      <c r="H311" s="44"/>
      <c r="I311" s="44"/>
      <c r="J311" s="44"/>
      <c r="K311" s="44"/>
      <c r="L311" s="44"/>
      <c r="M311" s="44"/>
      <c r="N311" s="44"/>
      <c r="O311" s="44"/>
    </row>
    <row r="312" spans="1:15" ht="17.25" customHeight="1">
      <c r="A312" s="44"/>
      <c r="B312" s="44"/>
      <c r="C312" s="44"/>
      <c r="D312" s="44"/>
      <c r="E312" s="44"/>
      <c r="F312" s="44"/>
      <c r="G312" s="44"/>
      <c r="H312" s="44"/>
      <c r="I312" s="44"/>
      <c r="J312" s="44"/>
      <c r="K312" s="44"/>
      <c r="L312" s="44"/>
      <c r="M312" s="44"/>
      <c r="N312" s="44"/>
      <c r="O312" s="44"/>
    </row>
    <row r="313" spans="1:15" ht="17.25" customHeight="1">
      <c r="A313" s="44"/>
      <c r="B313" s="44"/>
      <c r="C313" s="44"/>
      <c r="D313" s="44"/>
      <c r="E313" s="44"/>
      <c r="F313" s="44"/>
      <c r="G313" s="44"/>
      <c r="H313" s="44"/>
      <c r="I313" s="44"/>
      <c r="J313" s="44"/>
      <c r="K313" s="44"/>
      <c r="L313" s="44"/>
      <c r="M313" s="44"/>
      <c r="N313" s="44"/>
      <c r="O313" s="44"/>
    </row>
    <row r="314" spans="1:15" ht="17.25" customHeight="1">
      <c r="A314" s="44"/>
      <c r="B314" s="44"/>
      <c r="C314" s="44"/>
      <c r="D314" s="44"/>
      <c r="E314" s="44"/>
      <c r="F314" s="44"/>
      <c r="G314" s="44"/>
      <c r="H314" s="44"/>
      <c r="I314" s="44"/>
      <c r="J314" s="44"/>
      <c r="K314" s="44"/>
      <c r="L314" s="44"/>
      <c r="M314" s="44"/>
      <c r="N314" s="44"/>
      <c r="O314" s="44"/>
    </row>
    <row r="315" spans="1:15" ht="17.25" customHeight="1">
      <c r="A315" s="44"/>
      <c r="B315" s="44"/>
      <c r="C315" s="44"/>
      <c r="D315" s="44"/>
      <c r="E315" s="44"/>
      <c r="F315" s="44"/>
      <c r="G315" s="44"/>
      <c r="H315" s="44"/>
      <c r="I315" s="44"/>
      <c r="J315" s="44"/>
      <c r="K315" s="44"/>
      <c r="L315" s="44"/>
      <c r="M315" s="44"/>
      <c r="N315" s="44"/>
      <c r="O315" s="44"/>
    </row>
    <row r="316" spans="1:15" ht="17.25" customHeight="1">
      <c r="A316" s="44"/>
      <c r="B316" s="44"/>
      <c r="C316" s="44"/>
      <c r="D316" s="44"/>
      <c r="E316" s="44"/>
      <c r="F316" s="44"/>
      <c r="G316" s="44"/>
      <c r="H316" s="44"/>
      <c r="I316" s="44"/>
      <c r="J316" s="44"/>
      <c r="K316" s="44"/>
      <c r="L316" s="44"/>
      <c r="M316" s="44"/>
      <c r="N316" s="44"/>
      <c r="O316" s="44"/>
    </row>
    <row r="317" spans="1:15" ht="17.25" customHeight="1">
      <c r="A317" s="44"/>
      <c r="B317" s="44"/>
      <c r="C317" s="44"/>
      <c r="D317" s="44"/>
      <c r="E317" s="44"/>
      <c r="F317" s="44"/>
      <c r="G317" s="44"/>
      <c r="H317" s="44"/>
      <c r="I317" s="44"/>
      <c r="J317" s="44"/>
      <c r="K317" s="44"/>
      <c r="L317" s="44"/>
      <c r="M317" s="44"/>
      <c r="N317" s="44"/>
      <c r="O317" s="44"/>
    </row>
    <row r="318" spans="1:15" ht="17.25" customHeight="1">
      <c r="A318" s="44"/>
      <c r="B318" s="44"/>
      <c r="C318" s="44"/>
      <c r="D318" s="44"/>
      <c r="E318" s="44"/>
      <c r="F318" s="44"/>
      <c r="G318" s="44"/>
      <c r="H318" s="44"/>
      <c r="I318" s="44"/>
      <c r="J318" s="44"/>
      <c r="K318" s="44"/>
      <c r="L318" s="44"/>
      <c r="M318" s="44"/>
      <c r="N318" s="44"/>
      <c r="O318" s="44"/>
    </row>
    <row r="319" spans="1:15" ht="17.25" customHeight="1">
      <c r="A319" s="44"/>
      <c r="B319" s="44"/>
      <c r="C319" s="44"/>
      <c r="D319" s="44"/>
      <c r="E319" s="44"/>
      <c r="F319" s="44"/>
      <c r="G319" s="44"/>
      <c r="H319" s="44"/>
      <c r="I319" s="44"/>
      <c r="J319" s="44"/>
      <c r="K319" s="44"/>
      <c r="L319" s="44"/>
      <c r="M319" s="44"/>
      <c r="N319" s="44"/>
      <c r="O319" s="44"/>
    </row>
    <row r="320" spans="1:15" ht="17.25" customHeight="1">
      <c r="A320" s="44"/>
      <c r="B320" s="44"/>
      <c r="C320" s="44"/>
      <c r="D320" s="44"/>
      <c r="E320" s="44"/>
      <c r="F320" s="44"/>
      <c r="G320" s="44"/>
      <c r="H320" s="44"/>
      <c r="I320" s="44"/>
      <c r="J320" s="44"/>
      <c r="K320" s="44"/>
      <c r="L320" s="44"/>
      <c r="M320" s="44"/>
      <c r="N320" s="44"/>
      <c r="O320" s="44"/>
    </row>
    <row r="321" spans="1:15" ht="17.25" customHeight="1">
      <c r="A321" s="44"/>
      <c r="B321" s="44"/>
      <c r="C321" s="44"/>
      <c r="D321" s="44"/>
      <c r="E321" s="44"/>
      <c r="F321" s="44"/>
      <c r="G321" s="44"/>
      <c r="H321" s="44"/>
      <c r="I321" s="44"/>
      <c r="J321" s="44"/>
      <c r="K321" s="44"/>
      <c r="L321" s="44"/>
      <c r="M321" s="44"/>
      <c r="N321" s="44"/>
      <c r="O321" s="44"/>
    </row>
    <row r="322" spans="1:15" ht="17.25" customHeight="1">
      <c r="A322" s="44"/>
      <c r="B322" s="44"/>
      <c r="C322" s="44"/>
      <c r="D322" s="44"/>
      <c r="E322" s="44"/>
      <c r="F322" s="44"/>
      <c r="G322" s="44"/>
      <c r="H322" s="44"/>
      <c r="I322" s="44"/>
      <c r="J322" s="44"/>
      <c r="K322" s="44"/>
      <c r="L322" s="44"/>
      <c r="M322" s="44"/>
      <c r="N322" s="44"/>
      <c r="O322" s="44"/>
    </row>
    <row r="323" spans="1:15" ht="17.25" customHeight="1">
      <c r="A323" s="44"/>
      <c r="B323" s="44"/>
      <c r="C323" s="44"/>
      <c r="D323" s="44"/>
      <c r="E323" s="44"/>
      <c r="F323" s="44"/>
      <c r="G323" s="44"/>
      <c r="H323" s="44"/>
      <c r="I323" s="44"/>
      <c r="J323" s="44"/>
      <c r="K323" s="44"/>
      <c r="L323" s="44"/>
      <c r="M323" s="44"/>
      <c r="N323" s="44"/>
      <c r="O323" s="44"/>
    </row>
    <row r="324" spans="1:15" ht="17.25" customHeight="1">
      <c r="A324" s="44"/>
      <c r="B324" s="44"/>
      <c r="C324" s="44"/>
      <c r="D324" s="44"/>
      <c r="E324" s="44"/>
      <c r="F324" s="44"/>
      <c r="G324" s="44"/>
      <c r="H324" s="44"/>
      <c r="I324" s="44"/>
      <c r="J324" s="44"/>
      <c r="K324" s="44"/>
      <c r="L324" s="44"/>
      <c r="M324" s="44"/>
      <c r="N324" s="44"/>
      <c r="O324" s="44"/>
    </row>
    <row r="325" spans="1:15" ht="17.25" customHeight="1">
      <c r="A325" s="44"/>
      <c r="B325" s="44"/>
      <c r="C325" s="44"/>
      <c r="D325" s="44"/>
      <c r="E325" s="44"/>
      <c r="F325" s="44"/>
      <c r="G325" s="44"/>
      <c r="H325" s="44"/>
      <c r="I325" s="44"/>
      <c r="J325" s="44"/>
      <c r="K325" s="44"/>
      <c r="L325" s="44"/>
      <c r="M325" s="44"/>
      <c r="N325" s="44"/>
      <c r="O325" s="44"/>
    </row>
    <row r="326" spans="1:15" ht="17.25" customHeight="1">
      <c r="A326" s="44"/>
      <c r="B326" s="44"/>
      <c r="C326" s="44"/>
      <c r="D326" s="44"/>
      <c r="E326" s="44"/>
      <c r="F326" s="44"/>
      <c r="G326" s="44"/>
      <c r="H326" s="44"/>
      <c r="I326" s="44"/>
      <c r="J326" s="44"/>
      <c r="K326" s="44"/>
      <c r="L326" s="44"/>
      <c r="M326" s="44"/>
      <c r="N326" s="44"/>
      <c r="O326" s="44"/>
    </row>
    <row r="327" spans="1:15" ht="17.25" customHeight="1">
      <c r="A327" s="44"/>
      <c r="B327" s="44"/>
      <c r="C327" s="44"/>
      <c r="D327" s="44"/>
      <c r="E327" s="44"/>
      <c r="F327" s="44"/>
      <c r="G327" s="44"/>
      <c r="H327" s="44"/>
      <c r="I327" s="44"/>
      <c r="J327" s="44"/>
      <c r="K327" s="44"/>
      <c r="L327" s="44"/>
      <c r="M327" s="44"/>
      <c r="N327" s="44"/>
      <c r="O327" s="44"/>
    </row>
    <row r="328" spans="1:15" ht="17.25" customHeight="1">
      <c r="A328" s="44"/>
      <c r="B328" s="44"/>
      <c r="C328" s="44"/>
      <c r="D328" s="44"/>
      <c r="E328" s="44"/>
      <c r="F328" s="44"/>
      <c r="G328" s="44"/>
      <c r="H328" s="44"/>
      <c r="I328" s="44"/>
      <c r="J328" s="44"/>
      <c r="K328" s="44"/>
      <c r="L328" s="44"/>
      <c r="M328" s="44"/>
      <c r="N328" s="44"/>
      <c r="O328" s="44"/>
    </row>
    <row r="329" spans="1:15" ht="17.25" customHeight="1">
      <c r="A329" s="44"/>
      <c r="B329" s="44"/>
      <c r="C329" s="44"/>
      <c r="D329" s="44"/>
      <c r="E329" s="44"/>
      <c r="F329" s="44"/>
      <c r="G329" s="44"/>
      <c r="H329" s="44"/>
      <c r="I329" s="44"/>
      <c r="J329" s="44"/>
      <c r="K329" s="44"/>
      <c r="L329" s="44"/>
      <c r="M329" s="44"/>
      <c r="N329" s="44"/>
      <c r="O329" s="44"/>
    </row>
    <row r="330" spans="1:15" ht="17.25" customHeight="1">
      <c r="A330" s="44"/>
      <c r="B330" s="44"/>
      <c r="C330" s="44"/>
      <c r="D330" s="44"/>
      <c r="E330" s="44"/>
      <c r="F330" s="44"/>
      <c r="G330" s="44"/>
      <c r="H330" s="44"/>
      <c r="I330" s="44"/>
      <c r="J330" s="44"/>
      <c r="K330" s="44"/>
      <c r="L330" s="44"/>
      <c r="M330" s="44"/>
      <c r="N330" s="44"/>
      <c r="O330" s="44"/>
    </row>
    <row r="331" spans="1:15" ht="17.25" customHeight="1">
      <c r="A331" s="44"/>
      <c r="B331" s="44"/>
      <c r="C331" s="44"/>
      <c r="D331" s="44"/>
      <c r="E331" s="44"/>
      <c r="F331" s="44"/>
      <c r="G331" s="44"/>
      <c r="H331" s="44"/>
      <c r="I331" s="44"/>
      <c r="J331" s="44"/>
      <c r="K331" s="44"/>
      <c r="L331" s="44"/>
      <c r="M331" s="44"/>
      <c r="N331" s="44"/>
      <c r="O331" s="44"/>
    </row>
    <row r="332" spans="1:15" ht="17.25" customHeight="1">
      <c r="A332" s="44"/>
      <c r="B332" s="44"/>
      <c r="C332" s="44"/>
      <c r="D332" s="44"/>
      <c r="E332" s="44"/>
      <c r="F332" s="44"/>
      <c r="G332" s="44"/>
      <c r="H332" s="44"/>
      <c r="I332" s="44"/>
      <c r="J332" s="44"/>
      <c r="K332" s="44"/>
      <c r="L332" s="44"/>
      <c r="M332" s="44"/>
      <c r="N332" s="44"/>
      <c r="O332" s="44"/>
    </row>
    <row r="333" spans="1:15" ht="17.25" customHeight="1">
      <c r="A333" s="44"/>
      <c r="B333" s="44"/>
      <c r="C333" s="44"/>
      <c r="D333" s="44"/>
      <c r="E333" s="44"/>
      <c r="F333" s="44"/>
      <c r="G333" s="44"/>
      <c r="H333" s="44"/>
      <c r="I333" s="44"/>
      <c r="J333" s="44"/>
      <c r="K333" s="44"/>
      <c r="L333" s="44"/>
      <c r="M333" s="44"/>
      <c r="N333" s="44"/>
      <c r="O333" s="44"/>
    </row>
    <row r="334" spans="1:15" ht="17.25" customHeight="1">
      <c r="A334" s="44"/>
      <c r="B334" s="44"/>
      <c r="C334" s="44"/>
      <c r="D334" s="44"/>
      <c r="E334" s="44"/>
      <c r="F334" s="44"/>
      <c r="G334" s="44"/>
      <c r="H334" s="44"/>
      <c r="I334" s="44"/>
      <c r="J334" s="44"/>
      <c r="K334" s="44"/>
      <c r="L334" s="44"/>
      <c r="M334" s="44"/>
      <c r="N334" s="44"/>
      <c r="O334" s="44"/>
    </row>
    <row r="335" spans="1:15" ht="17.25" customHeight="1">
      <c r="A335" s="44"/>
      <c r="B335" s="44"/>
      <c r="C335" s="44"/>
      <c r="D335" s="44"/>
      <c r="E335" s="44"/>
      <c r="F335" s="44"/>
      <c r="G335" s="44"/>
      <c r="H335" s="44"/>
      <c r="I335" s="44"/>
      <c r="J335" s="44"/>
      <c r="K335" s="44"/>
      <c r="L335" s="44"/>
      <c r="M335" s="44"/>
      <c r="N335" s="44"/>
      <c r="O335" s="44"/>
    </row>
    <row r="336" spans="1:15" ht="17.25" customHeight="1">
      <c r="A336" s="44"/>
      <c r="B336" s="44"/>
      <c r="C336" s="44"/>
      <c r="D336" s="44"/>
      <c r="E336" s="44"/>
      <c r="F336" s="44"/>
      <c r="G336" s="44"/>
      <c r="H336" s="44"/>
      <c r="I336" s="44"/>
      <c r="J336" s="44"/>
      <c r="K336" s="44"/>
      <c r="L336" s="44"/>
      <c r="M336" s="44"/>
      <c r="N336" s="44"/>
      <c r="O336" s="44"/>
    </row>
    <row r="337" spans="1:15" ht="17.25" customHeight="1">
      <c r="A337" s="44"/>
      <c r="B337" s="44"/>
      <c r="C337" s="44"/>
      <c r="D337" s="44"/>
      <c r="E337" s="44"/>
      <c r="F337" s="44"/>
      <c r="G337" s="44"/>
      <c r="H337" s="44"/>
      <c r="I337" s="44"/>
      <c r="J337" s="44"/>
      <c r="K337" s="44"/>
      <c r="L337" s="44"/>
      <c r="M337" s="44"/>
      <c r="N337" s="44"/>
      <c r="O337" s="44"/>
    </row>
    <row r="338" spans="1:15" ht="17.25" customHeight="1">
      <c r="A338" s="44"/>
      <c r="B338" s="44"/>
      <c r="C338" s="44"/>
      <c r="D338" s="44"/>
      <c r="E338" s="44"/>
      <c r="F338" s="44"/>
      <c r="G338" s="44"/>
      <c r="H338" s="44"/>
      <c r="I338" s="44"/>
      <c r="J338" s="44"/>
      <c r="K338" s="44"/>
      <c r="L338" s="44"/>
      <c r="M338" s="44"/>
      <c r="N338" s="44"/>
      <c r="O338" s="44"/>
    </row>
    <row r="339" spans="1:15" ht="17.25" customHeight="1">
      <c r="A339" s="44"/>
      <c r="B339" s="44"/>
      <c r="C339" s="44"/>
      <c r="D339" s="44"/>
      <c r="E339" s="44"/>
      <c r="F339" s="44"/>
      <c r="G339" s="44"/>
      <c r="H339" s="44"/>
      <c r="I339" s="44"/>
      <c r="J339" s="44"/>
      <c r="K339" s="44"/>
      <c r="L339" s="44"/>
      <c r="M339" s="44"/>
      <c r="N339" s="44"/>
      <c r="O339" s="44"/>
    </row>
    <row r="340" spans="1:15" ht="17.25" customHeight="1">
      <c r="A340" s="44"/>
      <c r="B340" s="44"/>
      <c r="C340" s="44"/>
      <c r="D340" s="44"/>
      <c r="E340" s="44"/>
      <c r="F340" s="44"/>
      <c r="G340" s="44"/>
      <c r="H340" s="44"/>
      <c r="I340" s="44"/>
      <c r="J340" s="44"/>
      <c r="K340" s="44"/>
      <c r="L340" s="44"/>
      <c r="M340" s="44"/>
      <c r="N340" s="44"/>
      <c r="O340" s="44"/>
    </row>
    <row r="341" spans="1:15" ht="17.25" customHeight="1">
      <c r="A341" s="44"/>
      <c r="B341" s="44"/>
      <c r="C341" s="44"/>
      <c r="D341" s="44"/>
      <c r="E341" s="44"/>
      <c r="F341" s="44"/>
      <c r="G341" s="44"/>
      <c r="H341" s="44"/>
      <c r="I341" s="44"/>
      <c r="J341" s="44"/>
      <c r="K341" s="44"/>
      <c r="L341" s="44"/>
      <c r="M341" s="44"/>
      <c r="N341" s="44"/>
      <c r="O341" s="44"/>
    </row>
    <row r="342" spans="1:15" ht="17.25" customHeight="1">
      <c r="A342" s="44"/>
      <c r="B342" s="44"/>
      <c r="C342" s="44"/>
      <c r="D342" s="44"/>
      <c r="E342" s="44"/>
      <c r="F342" s="44"/>
      <c r="G342" s="44"/>
      <c r="H342" s="44"/>
      <c r="I342" s="44"/>
      <c r="J342" s="44"/>
      <c r="K342" s="44"/>
      <c r="L342" s="44"/>
      <c r="M342" s="44"/>
      <c r="N342" s="44"/>
      <c r="O342" s="44"/>
    </row>
    <row r="343" spans="1:15" ht="17.25" customHeight="1">
      <c r="A343" s="44"/>
      <c r="B343" s="44"/>
      <c r="C343" s="44"/>
      <c r="D343" s="44"/>
      <c r="E343" s="44"/>
      <c r="F343" s="44"/>
      <c r="G343" s="44"/>
      <c r="H343" s="44"/>
      <c r="I343" s="44"/>
      <c r="J343" s="44"/>
      <c r="K343" s="44"/>
      <c r="L343" s="44"/>
      <c r="M343" s="44"/>
      <c r="N343" s="44"/>
      <c r="O343" s="44"/>
    </row>
    <row r="344" spans="1:15" ht="17.25" customHeight="1">
      <c r="A344" s="44"/>
      <c r="B344" s="44"/>
      <c r="C344" s="44"/>
      <c r="D344" s="44"/>
      <c r="E344" s="44"/>
      <c r="F344" s="44"/>
      <c r="G344" s="44"/>
      <c r="H344" s="44"/>
      <c r="I344" s="44"/>
      <c r="J344" s="44"/>
      <c r="K344" s="44"/>
      <c r="L344" s="44"/>
      <c r="M344" s="44"/>
      <c r="N344" s="44"/>
      <c r="O344" s="44"/>
    </row>
    <row r="345" spans="1:15" ht="17.25" customHeight="1">
      <c r="A345" s="44"/>
      <c r="B345" s="44"/>
      <c r="C345" s="44"/>
      <c r="D345" s="44"/>
      <c r="E345" s="44"/>
      <c r="F345" s="44"/>
      <c r="G345" s="44"/>
      <c r="H345" s="44"/>
      <c r="I345" s="44"/>
      <c r="J345" s="44"/>
      <c r="K345" s="44"/>
      <c r="L345" s="44"/>
      <c r="M345" s="44"/>
      <c r="N345" s="44"/>
      <c r="O345" s="44"/>
    </row>
    <row r="346" spans="1:15" ht="17.25" customHeight="1">
      <c r="A346" s="44"/>
      <c r="B346" s="44"/>
      <c r="C346" s="44"/>
      <c r="D346" s="44"/>
      <c r="E346" s="44"/>
      <c r="F346" s="44"/>
      <c r="G346" s="44"/>
      <c r="H346" s="44"/>
      <c r="I346" s="44"/>
      <c r="J346" s="44"/>
      <c r="K346" s="44"/>
      <c r="L346" s="44"/>
      <c r="M346" s="44"/>
      <c r="N346" s="44"/>
      <c r="O346" s="44"/>
    </row>
    <row r="347" spans="1:15" ht="17.25" customHeight="1">
      <c r="A347" s="44"/>
      <c r="B347" s="44"/>
      <c r="C347" s="44"/>
      <c r="D347" s="44"/>
      <c r="E347" s="44"/>
      <c r="F347" s="44"/>
      <c r="G347" s="44"/>
      <c r="H347" s="44"/>
      <c r="I347" s="44"/>
      <c r="J347" s="44"/>
      <c r="K347" s="44"/>
      <c r="L347" s="44"/>
      <c r="M347" s="44"/>
      <c r="N347" s="44"/>
      <c r="O347" s="44"/>
    </row>
    <row r="348" spans="1:15" ht="17.25" customHeight="1">
      <c r="A348" s="44"/>
      <c r="B348" s="44"/>
      <c r="C348" s="44"/>
      <c r="D348" s="44"/>
      <c r="E348" s="44"/>
      <c r="F348" s="44"/>
      <c r="G348" s="44"/>
      <c r="H348" s="44"/>
      <c r="I348" s="44"/>
      <c r="J348" s="44"/>
      <c r="K348" s="44"/>
      <c r="L348" s="44"/>
      <c r="M348" s="44"/>
      <c r="N348" s="44"/>
      <c r="O348" s="44"/>
    </row>
    <row r="349" spans="1:15" ht="17.25" customHeight="1">
      <c r="A349" s="44"/>
      <c r="B349" s="44"/>
      <c r="C349" s="44"/>
      <c r="D349" s="44"/>
      <c r="E349" s="44"/>
      <c r="F349" s="44"/>
      <c r="G349" s="44"/>
      <c r="H349" s="44"/>
      <c r="I349" s="44"/>
      <c r="J349" s="44"/>
      <c r="K349" s="44"/>
      <c r="L349" s="44"/>
      <c r="M349" s="44"/>
      <c r="N349" s="44"/>
      <c r="O349" s="44"/>
    </row>
    <row r="350" spans="1:15" ht="17.25" customHeight="1">
      <c r="A350" s="44"/>
      <c r="B350" s="44"/>
      <c r="C350" s="44"/>
      <c r="D350" s="44"/>
      <c r="E350" s="44"/>
      <c r="F350" s="44"/>
      <c r="G350" s="44"/>
      <c r="H350" s="44"/>
      <c r="I350" s="44"/>
      <c r="J350" s="44"/>
      <c r="K350" s="44"/>
      <c r="L350" s="44"/>
      <c r="M350" s="44"/>
      <c r="N350" s="44"/>
      <c r="O350" s="44"/>
    </row>
    <row r="351" spans="1:15" ht="17.25" customHeight="1">
      <c r="A351" s="44"/>
      <c r="B351" s="44"/>
      <c r="C351" s="44"/>
      <c r="D351" s="44"/>
      <c r="E351" s="44"/>
      <c r="F351" s="44"/>
      <c r="G351" s="44"/>
      <c r="H351" s="44"/>
      <c r="I351" s="44"/>
      <c r="J351" s="44"/>
      <c r="K351" s="44"/>
      <c r="L351" s="44"/>
      <c r="M351" s="44"/>
      <c r="N351" s="44"/>
      <c r="O351" s="44"/>
    </row>
    <row r="352" spans="1:15" ht="17.25" customHeight="1">
      <c r="A352" s="44"/>
      <c r="B352" s="44"/>
      <c r="C352" s="44"/>
      <c r="D352" s="44"/>
      <c r="E352" s="44"/>
      <c r="F352" s="44"/>
      <c r="G352" s="44"/>
      <c r="H352" s="44"/>
      <c r="I352" s="44"/>
      <c r="J352" s="44"/>
      <c r="K352" s="44"/>
      <c r="L352" s="44"/>
      <c r="M352" s="44"/>
      <c r="N352" s="44"/>
      <c r="O352" s="44"/>
    </row>
    <row r="353" spans="1:15" ht="17.25" customHeight="1">
      <c r="A353" s="44"/>
      <c r="B353" s="44"/>
      <c r="C353" s="44"/>
      <c r="D353" s="44"/>
      <c r="E353" s="44"/>
      <c r="F353" s="44"/>
      <c r="G353" s="44"/>
      <c r="H353" s="44"/>
      <c r="I353" s="44"/>
      <c r="J353" s="44"/>
      <c r="K353" s="44"/>
      <c r="L353" s="44"/>
      <c r="M353" s="44"/>
      <c r="N353" s="44"/>
      <c r="O353" s="44"/>
    </row>
    <row r="354" spans="1:15" ht="17.25" customHeight="1">
      <c r="A354" s="44"/>
      <c r="B354" s="44"/>
      <c r="C354" s="44"/>
      <c r="D354" s="44"/>
      <c r="E354" s="44"/>
      <c r="F354" s="44"/>
      <c r="G354" s="44"/>
      <c r="H354" s="44"/>
      <c r="I354" s="44"/>
      <c r="J354" s="44"/>
      <c r="K354" s="44"/>
      <c r="L354" s="44"/>
      <c r="M354" s="44"/>
      <c r="N354" s="44"/>
      <c r="O354" s="44"/>
    </row>
    <row r="355" spans="1:15" ht="17.25" customHeight="1">
      <c r="A355" s="44"/>
      <c r="B355" s="44"/>
      <c r="C355" s="44"/>
      <c r="D355" s="44"/>
      <c r="E355" s="44"/>
      <c r="F355" s="44"/>
      <c r="G355" s="44"/>
      <c r="H355" s="44"/>
      <c r="I355" s="44"/>
      <c r="J355" s="44"/>
      <c r="K355" s="44"/>
      <c r="L355" s="44"/>
      <c r="M355" s="44"/>
      <c r="N355" s="44"/>
      <c r="O355" s="44"/>
    </row>
    <row r="356" spans="1:15" ht="17.25" customHeight="1">
      <c r="A356" s="44"/>
      <c r="B356" s="44"/>
      <c r="C356" s="44"/>
      <c r="D356" s="44"/>
      <c r="E356" s="44"/>
      <c r="F356" s="44"/>
      <c r="G356" s="44"/>
      <c r="H356" s="44"/>
      <c r="I356" s="44"/>
      <c r="J356" s="44"/>
      <c r="K356" s="44"/>
      <c r="L356" s="44"/>
      <c r="M356" s="44"/>
      <c r="N356" s="44"/>
      <c r="O356" s="44"/>
    </row>
    <row r="357" spans="1:15" ht="17.25" customHeight="1">
      <c r="A357" s="44"/>
      <c r="B357" s="44"/>
      <c r="C357" s="44"/>
      <c r="D357" s="44"/>
      <c r="E357" s="44"/>
      <c r="F357" s="44"/>
      <c r="G357" s="44"/>
      <c r="H357" s="44"/>
      <c r="I357" s="44"/>
      <c r="J357" s="44"/>
      <c r="K357" s="44"/>
      <c r="L357" s="44"/>
      <c r="M357" s="44"/>
      <c r="N357" s="44"/>
      <c r="O357" s="44"/>
    </row>
    <row r="358" spans="1:15" ht="17.25" customHeight="1">
      <c r="A358" s="44"/>
      <c r="B358" s="44"/>
      <c r="C358" s="44"/>
      <c r="D358" s="44"/>
      <c r="E358" s="44"/>
      <c r="F358" s="44"/>
      <c r="G358" s="44"/>
      <c r="H358" s="44"/>
      <c r="I358" s="44"/>
      <c r="J358" s="44"/>
      <c r="K358" s="44"/>
      <c r="L358" s="44"/>
      <c r="M358" s="44"/>
      <c r="N358" s="44"/>
      <c r="O358" s="44"/>
    </row>
    <row r="359" spans="1:15" ht="17.25" customHeight="1">
      <c r="A359" s="44"/>
      <c r="B359" s="44"/>
      <c r="C359" s="44"/>
      <c r="D359" s="44"/>
      <c r="E359" s="44"/>
      <c r="F359" s="44"/>
      <c r="G359" s="44"/>
      <c r="H359" s="44"/>
      <c r="I359" s="44"/>
      <c r="J359" s="44"/>
      <c r="K359" s="44"/>
      <c r="L359" s="44"/>
      <c r="M359" s="44"/>
      <c r="N359" s="44"/>
      <c r="O359" s="44"/>
    </row>
    <row r="360" spans="1:15" ht="17.25" customHeight="1">
      <c r="A360" s="44"/>
      <c r="B360" s="44"/>
      <c r="C360" s="44"/>
      <c r="D360" s="44"/>
      <c r="E360" s="44"/>
      <c r="F360" s="44"/>
      <c r="G360" s="44"/>
      <c r="H360" s="44"/>
      <c r="I360" s="44"/>
      <c r="J360" s="44"/>
      <c r="K360" s="44"/>
      <c r="L360" s="44"/>
      <c r="M360" s="44"/>
      <c r="N360" s="44"/>
      <c r="O360" s="44"/>
    </row>
    <row r="361" spans="1:15" ht="17.25" customHeight="1">
      <c r="A361" s="44"/>
      <c r="B361" s="44"/>
      <c r="C361" s="44"/>
      <c r="D361" s="44"/>
      <c r="E361" s="44"/>
      <c r="F361" s="44"/>
      <c r="G361" s="44"/>
      <c r="H361" s="44"/>
      <c r="I361" s="44"/>
      <c r="J361" s="44"/>
      <c r="K361" s="44"/>
      <c r="L361" s="44"/>
      <c r="M361" s="44"/>
      <c r="N361" s="44"/>
      <c r="O361" s="44"/>
    </row>
    <row r="362" spans="1:15" ht="17.25" customHeight="1">
      <c r="A362" s="44"/>
      <c r="B362" s="44"/>
      <c r="C362" s="44"/>
      <c r="D362" s="44"/>
      <c r="E362" s="44"/>
      <c r="F362" s="44"/>
      <c r="G362" s="44"/>
      <c r="H362" s="44"/>
      <c r="I362" s="44"/>
      <c r="J362" s="44"/>
      <c r="K362" s="44"/>
      <c r="L362" s="44"/>
      <c r="M362" s="44"/>
      <c r="N362" s="44"/>
      <c r="O362" s="44"/>
    </row>
    <row r="363" spans="1:15" ht="17.25" customHeight="1">
      <c r="A363" s="44"/>
      <c r="B363" s="44"/>
      <c r="C363" s="44"/>
      <c r="D363" s="44"/>
      <c r="E363" s="44"/>
      <c r="F363" s="44"/>
      <c r="G363" s="44"/>
      <c r="H363" s="44"/>
      <c r="I363" s="44"/>
      <c r="J363" s="44"/>
      <c r="K363" s="44"/>
      <c r="L363" s="44"/>
      <c r="M363" s="44"/>
      <c r="N363" s="44"/>
      <c r="O363" s="44"/>
    </row>
    <row r="364" spans="1:15" ht="17.25" customHeight="1">
      <c r="A364" s="44"/>
      <c r="B364" s="44"/>
      <c r="C364" s="44"/>
      <c r="D364" s="44"/>
      <c r="E364" s="44"/>
      <c r="F364" s="44"/>
      <c r="G364" s="44"/>
      <c r="H364" s="44"/>
      <c r="I364" s="44"/>
      <c r="J364" s="44"/>
      <c r="K364" s="44"/>
      <c r="L364" s="44"/>
      <c r="M364" s="44"/>
      <c r="N364" s="44"/>
      <c r="O364" s="44"/>
    </row>
    <row r="365" spans="1:15" ht="17.25" customHeight="1">
      <c r="A365" s="44"/>
      <c r="B365" s="44"/>
      <c r="C365" s="44"/>
      <c r="D365" s="44"/>
      <c r="E365" s="44"/>
      <c r="F365" s="44"/>
      <c r="G365" s="44"/>
      <c r="H365" s="44"/>
      <c r="I365" s="44"/>
      <c r="J365" s="44"/>
      <c r="K365" s="44"/>
      <c r="L365" s="44"/>
      <c r="M365" s="44"/>
      <c r="N365" s="44"/>
      <c r="O365" s="44"/>
    </row>
    <row r="366" spans="1:15" ht="17.25" customHeight="1">
      <c r="A366" s="44"/>
      <c r="B366" s="44"/>
      <c r="C366" s="44"/>
      <c r="D366" s="44"/>
      <c r="E366" s="44"/>
      <c r="F366" s="44"/>
      <c r="G366" s="44"/>
      <c r="H366" s="44"/>
      <c r="I366" s="44"/>
      <c r="J366" s="44"/>
      <c r="K366" s="44"/>
      <c r="L366" s="44"/>
      <c r="M366" s="44"/>
      <c r="N366" s="44"/>
      <c r="O366" s="44"/>
    </row>
    <row r="367" spans="1:15" ht="17.25" customHeight="1">
      <c r="A367" s="44"/>
      <c r="B367" s="44"/>
      <c r="C367" s="44"/>
      <c r="D367" s="44"/>
      <c r="E367" s="44"/>
      <c r="F367" s="44"/>
      <c r="G367" s="44"/>
      <c r="H367" s="44"/>
      <c r="I367" s="44"/>
      <c r="J367" s="44"/>
      <c r="K367" s="44"/>
      <c r="L367" s="44"/>
      <c r="M367" s="44"/>
      <c r="N367" s="44"/>
      <c r="O367" s="44"/>
    </row>
    <row r="368" spans="1:15" ht="17.25" customHeight="1">
      <c r="A368" s="44"/>
      <c r="B368" s="44"/>
      <c r="C368" s="44"/>
      <c r="D368" s="44"/>
      <c r="E368" s="44"/>
      <c r="F368" s="44"/>
      <c r="G368" s="44"/>
      <c r="H368" s="44"/>
      <c r="I368" s="44"/>
      <c r="J368" s="44"/>
      <c r="K368" s="44"/>
      <c r="L368" s="44"/>
      <c r="M368" s="44"/>
      <c r="N368" s="44"/>
      <c r="O368" s="44"/>
    </row>
    <row r="369" spans="1:15" ht="17.25" customHeight="1">
      <c r="A369" s="44"/>
      <c r="B369" s="44"/>
      <c r="C369" s="44"/>
      <c r="D369" s="44"/>
      <c r="E369" s="44"/>
      <c r="F369" s="44"/>
      <c r="G369" s="44"/>
      <c r="H369" s="44"/>
      <c r="I369" s="44"/>
      <c r="J369" s="44"/>
      <c r="K369" s="44"/>
      <c r="L369" s="44"/>
      <c r="M369" s="44"/>
      <c r="N369" s="44"/>
      <c r="O369" s="44"/>
    </row>
    <row r="370" spans="1:15" ht="17.25" customHeight="1">
      <c r="A370" s="44"/>
      <c r="B370" s="44"/>
      <c r="C370" s="44"/>
      <c r="D370" s="44"/>
      <c r="E370" s="44"/>
      <c r="F370" s="44"/>
      <c r="G370" s="44"/>
      <c r="H370" s="44"/>
      <c r="I370" s="44"/>
      <c r="J370" s="44"/>
      <c r="K370" s="44"/>
      <c r="L370" s="44"/>
      <c r="M370" s="44"/>
      <c r="N370" s="44"/>
      <c r="O370" s="44"/>
    </row>
    <row r="371" spans="1:15" ht="17.25" customHeight="1">
      <c r="A371" s="44"/>
      <c r="B371" s="44"/>
      <c r="C371" s="44"/>
      <c r="D371" s="44"/>
      <c r="E371" s="44"/>
      <c r="F371" s="44"/>
      <c r="G371" s="44"/>
      <c r="H371" s="44"/>
      <c r="I371" s="44"/>
      <c r="J371" s="44"/>
      <c r="K371" s="44"/>
      <c r="L371" s="44"/>
      <c r="M371" s="44"/>
      <c r="N371" s="44"/>
      <c r="O371" s="44"/>
    </row>
    <row r="372" spans="1:15" ht="17.25" customHeight="1">
      <c r="A372" s="44"/>
      <c r="B372" s="44"/>
      <c r="C372" s="44"/>
      <c r="D372" s="44"/>
      <c r="E372" s="44"/>
      <c r="F372" s="44"/>
      <c r="G372" s="44"/>
      <c r="H372" s="44"/>
      <c r="I372" s="44"/>
      <c r="J372" s="44"/>
      <c r="K372" s="44"/>
      <c r="L372" s="44"/>
      <c r="M372" s="44"/>
      <c r="N372" s="44"/>
      <c r="O372" s="44"/>
    </row>
    <row r="373" spans="1:15" ht="17.25" customHeight="1">
      <c r="A373" s="44"/>
      <c r="B373" s="44"/>
      <c r="C373" s="44"/>
      <c r="D373" s="44"/>
      <c r="E373" s="44"/>
      <c r="F373" s="44"/>
      <c r="G373" s="44"/>
      <c r="H373" s="44"/>
      <c r="I373" s="44"/>
      <c r="J373" s="44"/>
      <c r="K373" s="44"/>
      <c r="L373" s="44"/>
      <c r="M373" s="44"/>
      <c r="N373" s="44"/>
      <c r="O373" s="44"/>
    </row>
    <row r="374" spans="1:15" ht="17.25" customHeight="1">
      <c r="A374" s="44"/>
      <c r="B374" s="44"/>
      <c r="C374" s="44"/>
      <c r="D374" s="44"/>
      <c r="E374" s="44"/>
      <c r="F374" s="44"/>
      <c r="G374" s="44"/>
      <c r="H374" s="44"/>
      <c r="I374" s="44"/>
      <c r="J374" s="44"/>
      <c r="K374" s="44"/>
      <c r="L374" s="44"/>
      <c r="M374" s="44"/>
      <c r="N374" s="44"/>
      <c r="O374" s="44"/>
    </row>
    <row r="375" spans="1:15" ht="17.25" customHeight="1">
      <c r="A375" s="44"/>
      <c r="B375" s="44"/>
      <c r="C375" s="44"/>
      <c r="D375" s="44"/>
      <c r="E375" s="44"/>
      <c r="F375" s="44"/>
      <c r="G375" s="44"/>
      <c r="H375" s="44"/>
      <c r="I375" s="44"/>
      <c r="J375" s="44"/>
      <c r="K375" s="44"/>
      <c r="L375" s="44"/>
      <c r="M375" s="44"/>
      <c r="N375" s="44"/>
      <c r="O375" s="44"/>
    </row>
    <row r="376" spans="1:15" ht="17.25" customHeight="1">
      <c r="A376" s="44"/>
      <c r="B376" s="44"/>
      <c r="C376" s="44"/>
      <c r="D376" s="44"/>
      <c r="E376" s="44"/>
      <c r="F376" s="44"/>
      <c r="G376" s="44"/>
      <c r="H376" s="44"/>
      <c r="I376" s="44"/>
      <c r="J376" s="44"/>
      <c r="K376" s="44"/>
      <c r="L376" s="44"/>
      <c r="M376" s="44"/>
      <c r="N376" s="44"/>
      <c r="O376" s="44"/>
    </row>
    <row r="377" spans="1:15" ht="17.25" customHeight="1">
      <c r="A377" s="44"/>
      <c r="B377" s="44"/>
      <c r="C377" s="44"/>
      <c r="D377" s="44"/>
      <c r="E377" s="44"/>
      <c r="F377" s="44"/>
      <c r="G377" s="44"/>
      <c r="H377" s="44"/>
      <c r="I377" s="44"/>
      <c r="J377" s="44"/>
      <c r="K377" s="44"/>
      <c r="L377" s="44"/>
      <c r="M377" s="44"/>
      <c r="N377" s="44"/>
      <c r="O377" s="44"/>
    </row>
    <row r="378" spans="1:15" ht="17.25" customHeight="1">
      <c r="A378" s="44"/>
      <c r="B378" s="44"/>
      <c r="C378" s="44"/>
      <c r="D378" s="44"/>
      <c r="E378" s="44"/>
      <c r="F378" s="44"/>
      <c r="G378" s="44"/>
      <c r="H378" s="44"/>
      <c r="I378" s="44"/>
      <c r="J378" s="44"/>
      <c r="K378" s="44"/>
      <c r="L378" s="44"/>
      <c r="M378" s="44"/>
      <c r="N378" s="44"/>
      <c r="O378" s="44"/>
    </row>
    <row r="379" spans="1:15" ht="17.25" customHeight="1">
      <c r="A379" s="44"/>
      <c r="B379" s="44"/>
      <c r="C379" s="44"/>
      <c r="D379" s="44"/>
      <c r="E379" s="44"/>
      <c r="F379" s="44"/>
      <c r="G379" s="44"/>
      <c r="H379" s="44"/>
      <c r="I379" s="44"/>
      <c r="J379" s="44"/>
      <c r="K379" s="44"/>
      <c r="L379" s="44"/>
      <c r="M379" s="44"/>
      <c r="N379" s="44"/>
      <c r="O379" s="44"/>
    </row>
    <row r="380" spans="1:15" ht="17.25" customHeight="1">
      <c r="A380" s="44"/>
      <c r="B380" s="44"/>
      <c r="C380" s="44"/>
      <c r="D380" s="44"/>
      <c r="E380" s="44"/>
      <c r="F380" s="44"/>
      <c r="G380" s="44"/>
      <c r="H380" s="44"/>
      <c r="I380" s="44"/>
      <c r="J380" s="44"/>
      <c r="K380" s="44"/>
      <c r="L380" s="44"/>
      <c r="M380" s="44"/>
      <c r="N380" s="44"/>
      <c r="O380" s="44"/>
    </row>
    <row r="381" spans="1:15" ht="17.25" customHeight="1">
      <c r="A381" s="44"/>
      <c r="B381" s="44"/>
      <c r="C381" s="44"/>
      <c r="D381" s="44"/>
      <c r="E381" s="44"/>
      <c r="F381" s="44"/>
      <c r="G381" s="44"/>
      <c r="H381" s="44"/>
      <c r="I381" s="44"/>
      <c r="J381" s="44"/>
      <c r="K381" s="44"/>
      <c r="L381" s="44"/>
      <c r="M381" s="44"/>
      <c r="N381" s="44"/>
      <c r="O381" s="44"/>
    </row>
    <row r="382" spans="1:15" ht="17.25" customHeight="1">
      <c r="A382" s="44"/>
      <c r="B382" s="44"/>
      <c r="C382" s="44"/>
      <c r="D382" s="44"/>
      <c r="E382" s="44"/>
      <c r="F382" s="44"/>
      <c r="G382" s="44"/>
      <c r="H382" s="44"/>
      <c r="I382" s="44"/>
      <c r="J382" s="44"/>
      <c r="K382" s="44"/>
      <c r="L382" s="44"/>
      <c r="M382" s="44"/>
      <c r="N382" s="44"/>
      <c r="O382" s="44"/>
    </row>
    <row r="383" spans="1:15" ht="17.25" customHeight="1">
      <c r="A383" s="44"/>
      <c r="B383" s="44"/>
      <c r="C383" s="44"/>
      <c r="D383" s="44"/>
      <c r="E383" s="44"/>
      <c r="F383" s="44"/>
      <c r="G383" s="44"/>
      <c r="H383" s="44"/>
      <c r="I383" s="44"/>
      <c r="J383" s="44"/>
      <c r="K383" s="44"/>
      <c r="L383" s="44"/>
      <c r="M383" s="44"/>
      <c r="N383" s="44"/>
      <c r="O383" s="44"/>
    </row>
    <row r="384" spans="1:15" ht="17.25" customHeight="1">
      <c r="A384" s="44"/>
      <c r="B384" s="44"/>
      <c r="C384" s="44"/>
      <c r="D384" s="44"/>
      <c r="E384" s="44"/>
      <c r="F384" s="44"/>
      <c r="G384" s="44"/>
      <c r="H384" s="44"/>
      <c r="I384" s="44"/>
      <c r="J384" s="44"/>
      <c r="K384" s="44"/>
      <c r="L384" s="44"/>
      <c r="M384" s="44"/>
      <c r="N384" s="44"/>
      <c r="O384" s="44"/>
    </row>
    <row r="385" spans="1:15" ht="17.25" customHeight="1">
      <c r="A385" s="44"/>
      <c r="B385" s="44"/>
      <c r="C385" s="44"/>
      <c r="D385" s="44"/>
      <c r="E385" s="44"/>
      <c r="F385" s="44"/>
      <c r="G385" s="44"/>
      <c r="H385" s="44"/>
      <c r="I385" s="44"/>
      <c r="J385" s="44"/>
      <c r="K385" s="44"/>
      <c r="L385" s="44"/>
      <c r="M385" s="44"/>
      <c r="N385" s="44"/>
      <c r="O385" s="44"/>
    </row>
    <row r="386" spans="1:15" ht="17.25" customHeight="1">
      <c r="A386" s="44"/>
      <c r="B386" s="44"/>
      <c r="C386" s="44"/>
      <c r="D386" s="44"/>
      <c r="E386" s="44"/>
      <c r="F386" s="44"/>
      <c r="G386" s="44"/>
      <c r="H386" s="44"/>
      <c r="I386" s="44"/>
      <c r="J386" s="44"/>
      <c r="K386" s="44"/>
      <c r="L386" s="44"/>
      <c r="M386" s="44"/>
      <c r="N386" s="44"/>
      <c r="O386" s="44"/>
    </row>
    <row r="387" spans="1:15" ht="17.25" customHeight="1">
      <c r="A387" s="44"/>
      <c r="B387" s="44"/>
      <c r="C387" s="44"/>
      <c r="D387" s="44"/>
      <c r="E387" s="44"/>
      <c r="F387" s="44"/>
      <c r="G387" s="44"/>
      <c r="H387" s="44"/>
      <c r="I387" s="44"/>
      <c r="J387" s="44"/>
      <c r="K387" s="44"/>
      <c r="L387" s="44"/>
      <c r="M387" s="44"/>
      <c r="N387" s="44"/>
      <c r="O387" s="44"/>
    </row>
    <row r="388" spans="1:15" ht="17.25" customHeight="1">
      <c r="A388" s="44"/>
      <c r="B388" s="44"/>
      <c r="C388" s="44"/>
      <c r="D388" s="44"/>
      <c r="E388" s="44"/>
      <c r="F388" s="44"/>
      <c r="G388" s="44"/>
      <c r="H388" s="44"/>
      <c r="I388" s="44"/>
      <c r="J388" s="44"/>
      <c r="K388" s="44"/>
      <c r="L388" s="44"/>
      <c r="M388" s="44"/>
      <c r="N388" s="44"/>
      <c r="O388" s="44"/>
    </row>
    <row r="389" spans="1:15" ht="17.25" customHeight="1">
      <c r="A389" s="44"/>
      <c r="B389" s="44"/>
      <c r="C389" s="44"/>
      <c r="D389" s="44"/>
      <c r="E389" s="44"/>
      <c r="F389" s="44"/>
      <c r="G389" s="44"/>
      <c r="H389" s="44"/>
      <c r="I389" s="44"/>
      <c r="J389" s="44"/>
      <c r="K389" s="44"/>
      <c r="L389" s="44"/>
      <c r="M389" s="44"/>
      <c r="N389" s="44"/>
      <c r="O389" s="44"/>
    </row>
    <row r="390" spans="1:15" ht="17.25" customHeight="1">
      <c r="A390" s="44"/>
      <c r="B390" s="44"/>
      <c r="C390" s="44"/>
      <c r="D390" s="44"/>
      <c r="E390" s="44"/>
      <c r="F390" s="44"/>
      <c r="G390" s="44"/>
      <c r="H390" s="44"/>
      <c r="I390" s="44"/>
      <c r="J390" s="44"/>
      <c r="K390" s="44"/>
      <c r="L390" s="44"/>
      <c r="M390" s="44"/>
      <c r="N390" s="44"/>
      <c r="O390" s="44"/>
    </row>
    <row r="391" spans="1:15" ht="17.25" customHeight="1">
      <c r="A391" s="44"/>
      <c r="B391" s="44"/>
      <c r="C391" s="44"/>
      <c r="D391" s="44"/>
      <c r="E391" s="44"/>
      <c r="F391" s="44"/>
      <c r="G391" s="44"/>
      <c r="H391" s="44"/>
      <c r="I391" s="44"/>
      <c r="J391" s="44"/>
      <c r="K391" s="44"/>
      <c r="L391" s="44"/>
      <c r="M391" s="44"/>
      <c r="N391" s="44"/>
      <c r="O391" s="44"/>
    </row>
    <row r="392" spans="1:15" ht="17.25" customHeight="1">
      <c r="A392" s="44"/>
      <c r="B392" s="44"/>
      <c r="C392" s="44"/>
      <c r="D392" s="44"/>
      <c r="E392" s="44"/>
      <c r="F392" s="44"/>
      <c r="G392" s="44"/>
      <c r="H392" s="44"/>
      <c r="I392" s="44"/>
      <c r="J392" s="44"/>
      <c r="K392" s="44"/>
      <c r="L392" s="44"/>
      <c r="M392" s="44"/>
      <c r="N392" s="44"/>
      <c r="O392" s="44"/>
    </row>
    <row r="393" spans="1:15" ht="17.25" customHeight="1">
      <c r="A393" s="44"/>
      <c r="B393" s="44"/>
      <c r="C393" s="44"/>
      <c r="D393" s="44"/>
      <c r="E393" s="44"/>
      <c r="F393" s="44"/>
      <c r="G393" s="44"/>
      <c r="H393" s="44"/>
      <c r="I393" s="44"/>
      <c r="J393" s="44"/>
      <c r="K393" s="44"/>
      <c r="L393" s="44"/>
      <c r="M393" s="44"/>
      <c r="N393" s="44"/>
      <c r="O393" s="44"/>
    </row>
    <row r="394" spans="1:15" ht="17.25" customHeight="1">
      <c r="A394" s="44"/>
      <c r="B394" s="44"/>
      <c r="C394" s="44"/>
      <c r="D394" s="44"/>
      <c r="E394" s="44"/>
      <c r="F394" s="44"/>
      <c r="G394" s="44"/>
      <c r="H394" s="44"/>
      <c r="I394" s="44"/>
      <c r="J394" s="44"/>
      <c r="K394" s="44"/>
      <c r="L394" s="44"/>
      <c r="M394" s="44"/>
      <c r="N394" s="44"/>
      <c r="O394" s="44"/>
    </row>
    <row r="395" spans="1:15" ht="17.25" customHeight="1">
      <c r="A395" s="44"/>
      <c r="B395" s="44"/>
      <c r="C395" s="44"/>
      <c r="D395" s="44"/>
      <c r="E395" s="44"/>
      <c r="F395" s="44"/>
      <c r="G395" s="44"/>
      <c r="H395" s="44"/>
      <c r="I395" s="44"/>
      <c r="J395" s="44"/>
      <c r="K395" s="44"/>
      <c r="L395" s="44"/>
      <c r="M395" s="44"/>
      <c r="N395" s="44"/>
      <c r="O395" s="44"/>
    </row>
    <row r="396" spans="1:15" ht="17.25" customHeight="1">
      <c r="A396" s="44"/>
      <c r="B396" s="44"/>
      <c r="C396" s="44"/>
      <c r="D396" s="44"/>
      <c r="E396" s="44"/>
      <c r="F396" s="44"/>
      <c r="G396" s="44"/>
      <c r="H396" s="44"/>
      <c r="I396" s="44"/>
      <c r="J396" s="44"/>
      <c r="K396" s="44"/>
      <c r="L396" s="44"/>
      <c r="M396" s="44"/>
      <c r="N396" s="44"/>
      <c r="O396" s="44"/>
    </row>
    <row r="397" spans="1:15" ht="17.25" customHeight="1">
      <c r="A397" s="44"/>
      <c r="B397" s="44"/>
      <c r="C397" s="44"/>
      <c r="D397" s="44"/>
      <c r="E397" s="44"/>
      <c r="F397" s="44"/>
      <c r="G397" s="44"/>
      <c r="H397" s="44"/>
      <c r="I397" s="44"/>
      <c r="J397" s="44"/>
      <c r="K397" s="44"/>
      <c r="L397" s="44"/>
      <c r="M397" s="44"/>
      <c r="N397" s="44"/>
      <c r="O397" s="44"/>
    </row>
    <row r="398" spans="1:15" ht="17.25" customHeight="1">
      <c r="A398" s="44"/>
      <c r="B398" s="44"/>
      <c r="C398" s="44"/>
      <c r="D398" s="44"/>
      <c r="E398" s="44"/>
      <c r="F398" s="44"/>
      <c r="G398" s="44"/>
      <c r="H398" s="44"/>
      <c r="I398" s="44"/>
      <c r="J398" s="44"/>
      <c r="K398" s="44"/>
      <c r="L398" s="44"/>
      <c r="M398" s="44"/>
      <c r="N398" s="44"/>
      <c r="O398" s="44"/>
    </row>
    <row r="399" spans="1:15" ht="17.25" customHeight="1">
      <c r="A399" s="44"/>
      <c r="B399" s="44"/>
      <c r="C399" s="44"/>
      <c r="D399" s="44"/>
      <c r="E399" s="44"/>
      <c r="F399" s="44"/>
      <c r="G399" s="44"/>
      <c r="H399" s="44"/>
      <c r="I399" s="44"/>
      <c r="J399" s="44"/>
      <c r="K399" s="44"/>
      <c r="L399" s="44"/>
      <c r="M399" s="44"/>
      <c r="N399" s="44"/>
      <c r="O399" s="44"/>
    </row>
    <row r="400" spans="1:15" ht="17.25" customHeight="1">
      <c r="A400" s="44"/>
      <c r="B400" s="44"/>
      <c r="C400" s="44"/>
      <c r="D400" s="44"/>
      <c r="E400" s="44"/>
      <c r="F400" s="44"/>
      <c r="G400" s="44"/>
      <c r="H400" s="44"/>
      <c r="I400" s="44"/>
      <c r="J400" s="44"/>
      <c r="K400" s="44"/>
      <c r="L400" s="44"/>
      <c r="M400" s="44"/>
      <c r="N400" s="44"/>
      <c r="O400" s="44"/>
    </row>
    <row r="401" spans="1:15" ht="17.25" customHeight="1">
      <c r="A401" s="44"/>
      <c r="B401" s="44"/>
      <c r="C401" s="44"/>
      <c r="D401" s="44"/>
      <c r="E401" s="44"/>
      <c r="F401" s="44"/>
      <c r="G401" s="44"/>
      <c r="H401" s="44"/>
      <c r="I401" s="44"/>
      <c r="J401" s="44"/>
      <c r="K401" s="44"/>
      <c r="L401" s="44"/>
      <c r="M401" s="44"/>
      <c r="N401" s="44"/>
      <c r="O401" s="44"/>
    </row>
    <row r="402" spans="1:15" ht="17.25" customHeight="1">
      <c r="A402" s="44"/>
      <c r="B402" s="44"/>
      <c r="C402" s="44"/>
      <c r="D402" s="44"/>
      <c r="E402" s="44"/>
      <c r="F402" s="44"/>
      <c r="G402" s="44"/>
      <c r="H402" s="44"/>
      <c r="I402" s="44"/>
      <c r="J402" s="44"/>
      <c r="K402" s="44"/>
      <c r="L402" s="44"/>
      <c r="M402" s="44"/>
      <c r="N402" s="44"/>
      <c r="O402" s="44"/>
    </row>
    <row r="403" spans="1:15" ht="17.25" customHeight="1">
      <c r="A403" s="44"/>
      <c r="B403" s="44"/>
      <c r="C403" s="44"/>
      <c r="D403" s="44"/>
      <c r="E403" s="44"/>
      <c r="F403" s="44"/>
      <c r="G403" s="44"/>
      <c r="H403" s="44"/>
      <c r="I403" s="44"/>
      <c r="J403" s="44"/>
      <c r="K403" s="44"/>
      <c r="L403" s="44"/>
      <c r="M403" s="44"/>
      <c r="N403" s="44"/>
      <c r="O403" s="44"/>
    </row>
    <row r="404" spans="1:15" ht="17.25" customHeight="1">
      <c r="A404" s="44"/>
      <c r="B404" s="44"/>
      <c r="C404" s="44"/>
      <c r="D404" s="44"/>
      <c r="E404" s="44"/>
      <c r="F404" s="44"/>
      <c r="G404" s="44"/>
      <c r="H404" s="44"/>
      <c r="I404" s="44"/>
      <c r="J404" s="44"/>
      <c r="K404" s="44"/>
      <c r="L404" s="44"/>
      <c r="M404" s="44"/>
      <c r="N404" s="44"/>
      <c r="O404" s="44"/>
    </row>
    <row r="405" spans="1:15" ht="17.25" customHeight="1">
      <c r="A405" s="44"/>
      <c r="B405" s="44"/>
      <c r="C405" s="44"/>
      <c r="D405" s="44"/>
      <c r="E405" s="44"/>
      <c r="F405" s="44"/>
      <c r="G405" s="44"/>
      <c r="H405" s="44"/>
      <c r="I405" s="44"/>
      <c r="J405" s="44"/>
      <c r="K405" s="44"/>
      <c r="L405" s="44"/>
      <c r="M405" s="44"/>
      <c r="N405" s="44"/>
      <c r="O405" s="44"/>
    </row>
    <row r="406" spans="1:15" ht="17.25" customHeight="1">
      <c r="A406" s="44"/>
      <c r="B406" s="44"/>
      <c r="C406" s="44"/>
      <c r="D406" s="44"/>
      <c r="E406" s="44"/>
      <c r="F406" s="44"/>
      <c r="G406" s="44"/>
      <c r="H406" s="44"/>
      <c r="I406" s="44"/>
      <c r="J406" s="44"/>
      <c r="K406" s="44"/>
      <c r="L406" s="44"/>
      <c r="M406" s="44"/>
      <c r="N406" s="44"/>
      <c r="O406" s="44"/>
    </row>
    <row r="407" spans="1:15" ht="17.25" customHeight="1">
      <c r="A407" s="44"/>
      <c r="B407" s="44"/>
      <c r="C407" s="44"/>
      <c r="D407" s="44"/>
      <c r="E407" s="44"/>
      <c r="F407" s="44"/>
      <c r="G407" s="44"/>
      <c r="H407" s="44"/>
      <c r="I407" s="44"/>
      <c r="J407" s="44"/>
      <c r="K407" s="44"/>
      <c r="L407" s="44"/>
      <c r="M407" s="44"/>
      <c r="N407" s="44"/>
      <c r="O407" s="44"/>
    </row>
    <row r="408" spans="1:15" ht="17.25" customHeight="1">
      <c r="A408" s="44"/>
      <c r="B408" s="44"/>
      <c r="C408" s="44"/>
      <c r="D408" s="44"/>
      <c r="E408" s="44"/>
      <c r="F408" s="44"/>
      <c r="G408" s="44"/>
      <c r="H408" s="44"/>
      <c r="I408" s="44"/>
      <c r="J408" s="44"/>
      <c r="K408" s="44"/>
      <c r="L408" s="44"/>
      <c r="M408" s="44"/>
      <c r="N408" s="44"/>
      <c r="O408" s="44"/>
    </row>
    <row r="409" spans="1:15" ht="17.25" customHeight="1">
      <c r="A409" s="44"/>
      <c r="B409" s="44"/>
      <c r="C409" s="44"/>
      <c r="D409" s="44"/>
      <c r="E409" s="44"/>
      <c r="F409" s="44"/>
      <c r="G409" s="44"/>
      <c r="H409" s="44"/>
      <c r="I409" s="44"/>
      <c r="J409" s="44"/>
      <c r="K409" s="44"/>
      <c r="L409" s="44"/>
      <c r="M409" s="44"/>
      <c r="N409" s="44"/>
      <c r="O409" s="44"/>
    </row>
    <row r="410" spans="1:15" ht="17.25" customHeight="1">
      <c r="A410" s="44"/>
      <c r="B410" s="44"/>
      <c r="C410" s="44"/>
      <c r="D410" s="44"/>
      <c r="E410" s="44"/>
      <c r="F410" s="44"/>
      <c r="G410" s="44"/>
      <c r="H410" s="44"/>
      <c r="I410" s="44"/>
      <c r="J410" s="44"/>
      <c r="K410" s="44"/>
      <c r="L410" s="44"/>
      <c r="M410" s="44"/>
      <c r="N410" s="44"/>
      <c r="O410" s="44"/>
    </row>
    <row r="411" spans="1:15" ht="17.25" customHeight="1">
      <c r="A411" s="44"/>
      <c r="B411" s="44"/>
      <c r="C411" s="44"/>
      <c r="D411" s="44"/>
      <c r="E411" s="44"/>
      <c r="F411" s="44"/>
      <c r="G411" s="44"/>
      <c r="H411" s="44"/>
      <c r="I411" s="44"/>
      <c r="J411" s="44"/>
      <c r="K411" s="44"/>
      <c r="L411" s="44"/>
      <c r="M411" s="44"/>
      <c r="N411" s="44"/>
      <c r="O411" s="44"/>
    </row>
    <row r="412" spans="1:15" ht="17.25" customHeight="1">
      <c r="A412" s="44"/>
      <c r="B412" s="44"/>
      <c r="C412" s="44"/>
      <c r="D412" s="44"/>
      <c r="E412" s="44"/>
      <c r="F412" s="44"/>
      <c r="G412" s="44"/>
      <c r="H412" s="44"/>
      <c r="I412" s="44"/>
      <c r="J412" s="44"/>
      <c r="K412" s="44"/>
      <c r="L412" s="44"/>
      <c r="M412" s="44"/>
      <c r="N412" s="44"/>
      <c r="O412" s="44"/>
    </row>
    <row r="413" spans="1:15" ht="17.25" customHeight="1">
      <c r="A413" s="44"/>
      <c r="B413" s="44"/>
      <c r="C413" s="44"/>
      <c r="D413" s="44"/>
      <c r="E413" s="44"/>
      <c r="F413" s="44"/>
      <c r="G413" s="44"/>
      <c r="H413" s="44"/>
      <c r="I413" s="44"/>
      <c r="J413" s="44"/>
      <c r="K413" s="44"/>
      <c r="L413" s="44"/>
      <c r="M413" s="44"/>
      <c r="N413" s="44"/>
      <c r="O413" s="44"/>
    </row>
    <row r="414" spans="1:15" ht="17.25" customHeight="1">
      <c r="A414" s="44"/>
      <c r="B414" s="44"/>
      <c r="C414" s="44"/>
      <c r="D414" s="44"/>
      <c r="E414" s="44"/>
      <c r="F414" s="44"/>
      <c r="G414" s="44"/>
      <c r="H414" s="44"/>
      <c r="I414" s="44"/>
      <c r="J414" s="44"/>
      <c r="K414" s="44"/>
      <c r="L414" s="44"/>
      <c r="M414" s="44"/>
      <c r="N414" s="44"/>
      <c r="O414" s="44"/>
    </row>
    <row r="415" spans="1:15" ht="17.25" customHeight="1">
      <c r="A415" s="44"/>
      <c r="B415" s="44"/>
      <c r="C415" s="44"/>
      <c r="D415" s="44"/>
      <c r="E415" s="44"/>
      <c r="F415" s="44"/>
      <c r="G415" s="44"/>
      <c r="H415" s="44"/>
      <c r="I415" s="44"/>
      <c r="J415" s="44"/>
      <c r="K415" s="44"/>
      <c r="L415" s="44"/>
      <c r="M415" s="44"/>
      <c r="N415" s="44"/>
      <c r="O415" s="44"/>
    </row>
    <row r="416" spans="1:15" ht="17.25" customHeight="1">
      <c r="A416" s="44"/>
      <c r="B416" s="44"/>
      <c r="C416" s="44"/>
      <c r="D416" s="44"/>
      <c r="E416" s="44"/>
      <c r="F416" s="44"/>
      <c r="G416" s="44"/>
      <c r="H416" s="44"/>
      <c r="I416" s="44"/>
      <c r="J416" s="44"/>
      <c r="K416" s="44"/>
      <c r="L416" s="44"/>
      <c r="M416" s="44"/>
      <c r="N416" s="44"/>
      <c r="O416" s="44"/>
    </row>
    <row r="417" spans="1:15" ht="17.25" customHeight="1">
      <c r="A417" s="44"/>
      <c r="B417" s="44"/>
      <c r="C417" s="44"/>
      <c r="D417" s="44"/>
      <c r="E417" s="44"/>
      <c r="F417" s="44"/>
      <c r="G417" s="44"/>
      <c r="H417" s="44"/>
      <c r="I417" s="44"/>
      <c r="J417" s="44"/>
      <c r="K417" s="44"/>
      <c r="L417" s="44"/>
      <c r="M417" s="44"/>
      <c r="N417" s="44"/>
      <c r="O417" s="44"/>
    </row>
    <row r="418" spans="1:15" ht="17.25" customHeight="1">
      <c r="A418" s="44"/>
      <c r="B418" s="44"/>
      <c r="C418" s="44"/>
      <c r="D418" s="44"/>
      <c r="E418" s="44"/>
      <c r="F418" s="44"/>
      <c r="G418" s="44"/>
      <c r="H418" s="44"/>
      <c r="I418" s="44"/>
      <c r="J418" s="44"/>
      <c r="K418" s="44"/>
      <c r="L418" s="44"/>
      <c r="M418" s="44"/>
      <c r="N418" s="44"/>
      <c r="O418" s="44"/>
    </row>
    <row r="419" spans="1:15" ht="17.25" customHeight="1">
      <c r="A419" s="44"/>
      <c r="B419" s="44"/>
      <c r="C419" s="44"/>
      <c r="D419" s="44"/>
      <c r="E419" s="44"/>
      <c r="F419" s="44"/>
      <c r="G419" s="44"/>
      <c r="H419" s="44"/>
      <c r="I419" s="44"/>
      <c r="J419" s="44"/>
      <c r="K419" s="44"/>
      <c r="L419" s="44"/>
      <c r="M419" s="44"/>
      <c r="N419" s="44"/>
      <c r="O419" s="44"/>
    </row>
    <row r="420" spans="1:15" ht="17.25" customHeight="1">
      <c r="A420" s="44"/>
      <c r="B420" s="44"/>
      <c r="C420" s="44"/>
      <c r="D420" s="44"/>
      <c r="E420" s="44"/>
      <c r="F420" s="44"/>
      <c r="G420" s="44"/>
      <c r="H420" s="44"/>
      <c r="I420" s="44"/>
      <c r="J420" s="44"/>
      <c r="K420" s="44"/>
      <c r="L420" s="44"/>
      <c r="M420" s="44"/>
      <c r="N420" s="44"/>
      <c r="O420" s="44"/>
    </row>
    <row r="421" spans="1:15" ht="17.25" customHeight="1">
      <c r="A421" s="44"/>
      <c r="B421" s="44"/>
      <c r="C421" s="44"/>
      <c r="D421" s="44"/>
      <c r="E421" s="44"/>
      <c r="F421" s="44"/>
      <c r="G421" s="44"/>
      <c r="H421" s="44"/>
      <c r="I421" s="44"/>
      <c r="J421" s="44"/>
      <c r="K421" s="44"/>
      <c r="L421" s="44"/>
      <c r="M421" s="44"/>
      <c r="N421" s="44"/>
      <c r="O421" s="44"/>
    </row>
    <row r="422" spans="1:15" ht="17.25" customHeight="1">
      <c r="A422" s="44"/>
      <c r="B422" s="44"/>
      <c r="C422" s="44"/>
      <c r="D422" s="44"/>
      <c r="E422" s="44"/>
      <c r="F422" s="44"/>
      <c r="G422" s="44"/>
      <c r="H422" s="44"/>
      <c r="I422" s="44"/>
      <c r="J422" s="44"/>
      <c r="K422" s="44"/>
      <c r="L422" s="44"/>
      <c r="M422" s="44"/>
      <c r="N422" s="44"/>
      <c r="O422" s="44"/>
    </row>
    <row r="423" spans="1:15" ht="17.25" customHeight="1">
      <c r="A423" s="44"/>
      <c r="B423" s="44"/>
      <c r="C423" s="44"/>
      <c r="D423" s="44"/>
      <c r="E423" s="44"/>
      <c r="F423" s="44"/>
      <c r="G423" s="44"/>
      <c r="H423" s="44"/>
      <c r="I423" s="44"/>
      <c r="J423" s="44"/>
      <c r="K423" s="44"/>
      <c r="L423" s="44"/>
      <c r="M423" s="44"/>
      <c r="N423" s="44"/>
      <c r="O423" s="44"/>
    </row>
    <row r="424" spans="1:15" ht="17.25" customHeight="1">
      <c r="A424" s="44"/>
      <c r="B424" s="44"/>
      <c r="C424" s="44"/>
      <c r="D424" s="44"/>
      <c r="E424" s="44"/>
      <c r="F424" s="44"/>
      <c r="G424" s="44"/>
      <c r="H424" s="44"/>
      <c r="I424" s="44"/>
      <c r="J424" s="44"/>
      <c r="K424" s="44"/>
      <c r="L424" s="44"/>
      <c r="M424" s="44"/>
      <c r="N424" s="44"/>
      <c r="O424" s="44"/>
    </row>
    <row r="425" spans="1:15" ht="17.25" customHeight="1">
      <c r="A425" s="44"/>
      <c r="B425" s="44"/>
      <c r="C425" s="44"/>
      <c r="D425" s="44"/>
      <c r="E425" s="44"/>
      <c r="F425" s="44"/>
      <c r="G425" s="44"/>
      <c r="H425" s="44"/>
      <c r="I425" s="44"/>
      <c r="J425" s="44"/>
      <c r="K425" s="44"/>
      <c r="L425" s="44"/>
      <c r="M425" s="44"/>
      <c r="N425" s="44"/>
      <c r="O425" s="44"/>
    </row>
    <row r="426" spans="1:15" ht="17.25" customHeight="1">
      <c r="A426" s="44"/>
      <c r="B426" s="44"/>
      <c r="C426" s="44"/>
      <c r="D426" s="44"/>
      <c r="E426" s="44"/>
      <c r="F426" s="44"/>
      <c r="G426" s="44"/>
      <c r="H426" s="44"/>
      <c r="I426" s="44"/>
      <c r="J426" s="44"/>
      <c r="K426" s="44"/>
      <c r="L426" s="44"/>
      <c r="M426" s="44"/>
      <c r="N426" s="44"/>
      <c r="O426" s="44"/>
    </row>
    <row r="427" spans="1:15" ht="17.25" customHeight="1">
      <c r="A427" s="44"/>
      <c r="B427" s="44"/>
      <c r="C427" s="44"/>
      <c r="D427" s="44"/>
      <c r="E427" s="44"/>
      <c r="F427" s="44"/>
      <c r="G427" s="44"/>
      <c r="H427" s="44"/>
      <c r="I427" s="44"/>
      <c r="J427" s="44"/>
      <c r="K427" s="44"/>
      <c r="L427" s="44"/>
      <c r="M427" s="44"/>
      <c r="N427" s="44"/>
      <c r="O427" s="44"/>
    </row>
    <row r="428" spans="1:15" ht="17.25" customHeight="1">
      <c r="A428" s="44"/>
      <c r="B428" s="44"/>
      <c r="C428" s="44"/>
      <c r="D428" s="44"/>
      <c r="E428" s="44"/>
      <c r="F428" s="44"/>
      <c r="G428" s="44"/>
      <c r="H428" s="44"/>
      <c r="I428" s="44"/>
      <c r="J428" s="44"/>
      <c r="K428" s="44"/>
      <c r="L428" s="44"/>
      <c r="M428" s="44"/>
      <c r="N428" s="44"/>
      <c r="O428" s="44"/>
    </row>
    <row r="429" spans="1:15" ht="17.25" customHeight="1">
      <c r="A429" s="44"/>
      <c r="B429" s="44"/>
      <c r="C429" s="44"/>
      <c r="D429" s="44"/>
      <c r="E429" s="44"/>
      <c r="F429" s="44"/>
      <c r="G429" s="44"/>
      <c r="H429" s="44"/>
      <c r="I429" s="44"/>
      <c r="J429" s="44"/>
      <c r="K429" s="44"/>
      <c r="L429" s="44"/>
      <c r="M429" s="44"/>
      <c r="N429" s="44"/>
      <c r="O429" s="44"/>
    </row>
    <row r="430" spans="1:15" ht="17.25" customHeight="1">
      <c r="A430" s="44"/>
      <c r="B430" s="44"/>
      <c r="C430" s="44"/>
      <c r="D430" s="44"/>
      <c r="E430" s="44"/>
      <c r="F430" s="44"/>
      <c r="G430" s="44"/>
      <c r="H430" s="44"/>
      <c r="I430" s="44"/>
      <c r="J430" s="44"/>
      <c r="K430" s="44"/>
      <c r="L430" s="44"/>
      <c r="M430" s="44"/>
      <c r="N430" s="44"/>
      <c r="O430" s="44"/>
    </row>
    <row r="431" spans="1:15" ht="17.25" customHeight="1">
      <c r="A431" s="44"/>
      <c r="B431" s="44"/>
      <c r="C431" s="44"/>
      <c r="D431" s="44"/>
      <c r="E431" s="44"/>
      <c r="F431" s="44"/>
      <c r="G431" s="44"/>
      <c r="H431" s="44"/>
      <c r="I431" s="44"/>
      <c r="J431" s="44"/>
      <c r="K431" s="44"/>
      <c r="L431" s="44"/>
      <c r="M431" s="44"/>
      <c r="N431" s="44"/>
      <c r="O431" s="44"/>
    </row>
    <row r="432" spans="1:15" ht="17.25" customHeight="1">
      <c r="A432" s="44"/>
      <c r="B432" s="44"/>
      <c r="C432" s="44"/>
      <c r="D432" s="44"/>
      <c r="E432" s="44"/>
      <c r="F432" s="44"/>
      <c r="G432" s="44"/>
      <c r="H432" s="44"/>
      <c r="I432" s="44"/>
      <c r="J432" s="44"/>
      <c r="K432" s="44"/>
      <c r="L432" s="44"/>
      <c r="M432" s="44"/>
      <c r="N432" s="44"/>
      <c r="O432" s="44"/>
    </row>
    <row r="433" spans="1:15" ht="17.25" customHeight="1">
      <c r="A433" s="44"/>
      <c r="B433" s="44"/>
      <c r="C433" s="44"/>
      <c r="D433" s="44"/>
      <c r="E433" s="44"/>
      <c r="F433" s="44"/>
      <c r="G433" s="44"/>
      <c r="H433" s="44"/>
      <c r="I433" s="44"/>
      <c r="J433" s="44"/>
      <c r="K433" s="44"/>
      <c r="L433" s="44"/>
      <c r="M433" s="44"/>
      <c r="N433" s="44"/>
      <c r="O433" s="44"/>
    </row>
    <row r="434" spans="1:15" ht="17.25" customHeight="1">
      <c r="A434" s="44"/>
      <c r="B434" s="44"/>
      <c r="C434" s="44"/>
      <c r="D434" s="44"/>
      <c r="E434" s="44"/>
      <c r="F434" s="44"/>
      <c r="G434" s="44"/>
      <c r="H434" s="44"/>
      <c r="I434" s="44"/>
      <c r="J434" s="44"/>
      <c r="K434" s="44"/>
      <c r="L434" s="44"/>
      <c r="M434" s="44"/>
      <c r="N434" s="44"/>
      <c r="O434" s="44"/>
    </row>
    <row r="435" spans="1:15" ht="17.25" customHeight="1">
      <c r="A435" s="44"/>
      <c r="B435" s="44"/>
      <c r="C435" s="44"/>
      <c r="D435" s="44"/>
      <c r="E435" s="44"/>
      <c r="F435" s="44"/>
      <c r="G435" s="44"/>
      <c r="H435" s="44"/>
      <c r="I435" s="44"/>
      <c r="J435" s="44"/>
      <c r="K435" s="44"/>
      <c r="L435" s="44"/>
      <c r="M435" s="44"/>
      <c r="N435" s="44"/>
      <c r="O435" s="44"/>
    </row>
    <row r="436" spans="1:15" ht="17.25" customHeight="1">
      <c r="A436" s="44"/>
      <c r="B436" s="44"/>
      <c r="C436" s="44"/>
      <c r="D436" s="44"/>
      <c r="E436" s="44"/>
      <c r="F436" s="44"/>
      <c r="G436" s="44"/>
      <c r="H436" s="44"/>
      <c r="I436" s="44"/>
      <c r="J436" s="44"/>
      <c r="K436" s="44"/>
      <c r="L436" s="44"/>
      <c r="M436" s="44"/>
      <c r="N436" s="44"/>
      <c r="O436" s="44"/>
    </row>
    <row r="437" spans="1:15" ht="17.25" customHeight="1">
      <c r="A437" s="44"/>
      <c r="B437" s="44"/>
      <c r="C437" s="44"/>
      <c r="D437" s="44"/>
      <c r="E437" s="44"/>
      <c r="F437" s="44"/>
      <c r="G437" s="44"/>
      <c r="H437" s="44"/>
      <c r="I437" s="44"/>
      <c r="J437" s="44"/>
      <c r="K437" s="44"/>
      <c r="L437" s="44"/>
      <c r="M437" s="44"/>
      <c r="N437" s="44"/>
      <c r="O437" s="44"/>
    </row>
    <row r="438" spans="1:15" ht="17.25" customHeight="1">
      <c r="A438" s="44"/>
      <c r="B438" s="44"/>
      <c r="C438" s="44"/>
      <c r="D438" s="44"/>
      <c r="E438" s="44"/>
      <c r="F438" s="44"/>
      <c r="G438" s="44"/>
      <c r="H438" s="44"/>
      <c r="I438" s="44"/>
      <c r="J438" s="44"/>
      <c r="K438" s="44"/>
      <c r="L438" s="44"/>
      <c r="M438" s="44"/>
      <c r="N438" s="44"/>
      <c r="O438" s="44"/>
    </row>
    <row r="439" spans="1:15" ht="17.25" customHeight="1">
      <c r="A439" s="44"/>
      <c r="B439" s="44"/>
      <c r="C439" s="44"/>
      <c r="D439" s="44"/>
      <c r="E439" s="44"/>
      <c r="F439" s="44"/>
      <c r="G439" s="44"/>
      <c r="H439" s="44"/>
      <c r="I439" s="44"/>
      <c r="J439" s="44"/>
      <c r="K439" s="44"/>
      <c r="L439" s="44"/>
      <c r="M439" s="44"/>
      <c r="N439" s="44"/>
      <c r="O439" s="44"/>
    </row>
    <row r="440" spans="1:15" ht="17.25" customHeight="1">
      <c r="A440" s="44"/>
      <c r="B440" s="44"/>
      <c r="C440" s="44"/>
      <c r="D440" s="44"/>
      <c r="E440" s="44"/>
      <c r="F440" s="44"/>
      <c r="G440" s="44"/>
      <c r="H440" s="44"/>
      <c r="I440" s="44"/>
      <c r="J440" s="44"/>
      <c r="K440" s="44"/>
      <c r="L440" s="44"/>
      <c r="M440" s="44"/>
      <c r="N440" s="44"/>
      <c r="O440" s="44"/>
    </row>
    <row r="441" spans="1:15" ht="17.25" customHeight="1">
      <c r="A441" s="44"/>
      <c r="B441" s="44"/>
      <c r="C441" s="44"/>
      <c r="D441" s="44"/>
      <c r="E441" s="44"/>
      <c r="F441" s="44"/>
      <c r="G441" s="44"/>
      <c r="H441" s="44"/>
      <c r="I441" s="44"/>
      <c r="J441" s="44"/>
      <c r="K441" s="44"/>
      <c r="L441" s="44"/>
      <c r="M441" s="44"/>
      <c r="N441" s="44"/>
      <c r="O441" s="44"/>
    </row>
    <row r="442" spans="1:15" ht="17.25" customHeight="1">
      <c r="A442" s="44"/>
      <c r="B442" s="44"/>
      <c r="C442" s="44"/>
      <c r="D442" s="44"/>
      <c r="E442" s="44"/>
      <c r="F442" s="44"/>
      <c r="G442" s="44"/>
      <c r="H442" s="44"/>
      <c r="I442" s="44"/>
      <c r="J442" s="44"/>
      <c r="K442" s="44"/>
      <c r="L442" s="44"/>
      <c r="M442" s="44"/>
      <c r="N442" s="44"/>
      <c r="O442" s="44"/>
    </row>
    <row r="443" spans="1:15" ht="17.25" customHeight="1">
      <c r="A443" s="44"/>
      <c r="B443" s="44"/>
      <c r="C443" s="44"/>
      <c r="D443" s="44"/>
      <c r="E443" s="44"/>
      <c r="F443" s="44"/>
      <c r="G443" s="44"/>
      <c r="H443" s="44"/>
      <c r="I443" s="44"/>
      <c r="J443" s="44"/>
      <c r="K443" s="44"/>
      <c r="L443" s="44"/>
      <c r="M443" s="44"/>
      <c r="N443" s="44"/>
      <c r="O443" s="44"/>
    </row>
    <row r="444" spans="1:15" ht="17.25" customHeight="1">
      <c r="A444" s="44"/>
      <c r="B444" s="44"/>
      <c r="C444" s="44"/>
      <c r="D444" s="44"/>
      <c r="E444" s="44"/>
      <c r="F444" s="44"/>
      <c r="G444" s="44"/>
      <c r="H444" s="44"/>
      <c r="I444" s="44"/>
      <c r="J444" s="44"/>
      <c r="K444" s="44"/>
      <c r="L444" s="44"/>
      <c r="M444" s="44"/>
      <c r="N444" s="44"/>
      <c r="O444" s="44"/>
    </row>
    <row r="445" spans="1:15" ht="17.25" customHeight="1">
      <c r="A445" s="44"/>
      <c r="B445" s="44"/>
      <c r="C445" s="44"/>
      <c r="D445" s="44"/>
      <c r="E445" s="44"/>
      <c r="F445" s="44"/>
      <c r="G445" s="44"/>
      <c r="H445" s="44"/>
      <c r="I445" s="44"/>
      <c r="J445" s="44"/>
      <c r="K445" s="44"/>
      <c r="L445" s="44"/>
      <c r="M445" s="44"/>
      <c r="N445" s="44"/>
      <c r="O445" s="44"/>
    </row>
    <row r="446" spans="1:15" ht="17.25" customHeight="1">
      <c r="A446" s="44"/>
      <c r="B446" s="44"/>
      <c r="C446" s="44"/>
      <c r="D446" s="44"/>
      <c r="E446" s="44"/>
      <c r="F446" s="44"/>
      <c r="G446" s="44"/>
      <c r="H446" s="44"/>
      <c r="I446" s="44"/>
      <c r="J446" s="44"/>
      <c r="K446" s="44"/>
      <c r="L446" s="44"/>
      <c r="M446" s="44"/>
      <c r="N446" s="44"/>
      <c r="O446" s="44"/>
    </row>
    <row r="447" spans="1:15" ht="17.25" customHeight="1">
      <c r="A447" s="44"/>
      <c r="B447" s="44"/>
      <c r="C447" s="44"/>
      <c r="D447" s="44"/>
      <c r="E447" s="44"/>
      <c r="F447" s="44"/>
      <c r="G447" s="44"/>
      <c r="H447" s="44"/>
      <c r="I447" s="44"/>
      <c r="J447" s="44"/>
      <c r="K447" s="44"/>
      <c r="L447" s="44"/>
      <c r="M447" s="44"/>
      <c r="N447" s="44"/>
      <c r="O447" s="44"/>
    </row>
    <row r="448" spans="1:15" ht="17.25" customHeight="1">
      <c r="A448" s="44"/>
      <c r="B448" s="44"/>
      <c r="C448" s="44"/>
      <c r="D448" s="44"/>
      <c r="E448" s="44"/>
      <c r="F448" s="44"/>
      <c r="G448" s="44"/>
      <c r="H448" s="44"/>
      <c r="I448" s="44"/>
      <c r="J448" s="44"/>
      <c r="K448" s="44"/>
      <c r="L448" s="44"/>
      <c r="M448" s="44"/>
      <c r="N448" s="44"/>
      <c r="O448" s="44"/>
    </row>
    <row r="449" spans="1:15" ht="17.25" customHeight="1">
      <c r="A449" s="44"/>
      <c r="B449" s="44"/>
      <c r="C449" s="44"/>
      <c r="D449" s="44"/>
      <c r="E449" s="44"/>
      <c r="F449" s="44"/>
      <c r="G449" s="44"/>
      <c r="H449" s="44"/>
      <c r="I449" s="44"/>
      <c r="J449" s="44"/>
      <c r="K449" s="44"/>
      <c r="L449" s="44"/>
      <c r="M449" s="44"/>
      <c r="N449" s="44"/>
      <c r="O449" s="44"/>
    </row>
    <row r="450" spans="1:15" ht="17.25" customHeight="1">
      <c r="A450" s="44"/>
      <c r="B450" s="44"/>
      <c r="C450" s="44"/>
      <c r="D450" s="44"/>
      <c r="E450" s="44"/>
      <c r="F450" s="44"/>
      <c r="G450" s="44"/>
      <c r="H450" s="44"/>
      <c r="I450" s="44"/>
      <c r="J450" s="44"/>
      <c r="K450" s="44"/>
      <c r="L450" s="44"/>
      <c r="M450" s="44"/>
      <c r="N450" s="44"/>
      <c r="O450" s="44"/>
    </row>
    <row r="451" spans="1:15" ht="17.25" customHeight="1">
      <c r="A451" s="44"/>
      <c r="B451" s="44"/>
      <c r="C451" s="44"/>
      <c r="D451" s="44"/>
      <c r="E451" s="44"/>
      <c r="F451" s="44"/>
      <c r="G451" s="44"/>
      <c r="H451" s="44"/>
      <c r="I451" s="44"/>
      <c r="J451" s="44"/>
      <c r="K451" s="44"/>
      <c r="L451" s="44"/>
      <c r="M451" s="44"/>
      <c r="N451" s="44"/>
      <c r="O451" s="44"/>
    </row>
    <row r="452" spans="1:15" ht="17.25" customHeight="1">
      <c r="A452" s="44"/>
      <c r="B452" s="44"/>
      <c r="C452" s="44"/>
      <c r="D452" s="44"/>
      <c r="E452" s="44"/>
      <c r="F452" s="44"/>
      <c r="G452" s="44"/>
      <c r="H452" s="44"/>
      <c r="I452" s="44"/>
      <c r="J452" s="44"/>
      <c r="K452" s="44"/>
      <c r="L452" s="44"/>
      <c r="M452" s="44"/>
      <c r="N452" s="44"/>
      <c r="O452" s="44"/>
    </row>
    <row r="453" spans="1:15" ht="17.25" customHeight="1">
      <c r="A453" s="44"/>
      <c r="B453" s="44"/>
      <c r="C453" s="44"/>
      <c r="D453" s="44"/>
      <c r="E453" s="44"/>
      <c r="F453" s="44"/>
      <c r="G453" s="44"/>
      <c r="H453" s="44"/>
      <c r="I453" s="44"/>
      <c r="J453" s="44"/>
      <c r="K453" s="44"/>
      <c r="L453" s="44"/>
      <c r="M453" s="44"/>
      <c r="N453" s="44"/>
      <c r="O453" s="44"/>
    </row>
    <row r="454" spans="1:15" ht="17.25" customHeight="1">
      <c r="A454" s="44"/>
      <c r="B454" s="44"/>
      <c r="C454" s="44"/>
      <c r="D454" s="44"/>
      <c r="E454" s="44"/>
      <c r="F454" s="44"/>
      <c r="G454" s="44"/>
      <c r="H454" s="44"/>
      <c r="I454" s="44"/>
      <c r="J454" s="44"/>
      <c r="K454" s="44"/>
      <c r="L454" s="44"/>
      <c r="M454" s="44"/>
      <c r="N454" s="44"/>
      <c r="O454" s="44"/>
    </row>
    <row r="455" spans="1:15" ht="17.25" customHeight="1">
      <c r="A455" s="44"/>
      <c r="B455" s="44"/>
      <c r="C455" s="44"/>
      <c r="D455" s="44"/>
      <c r="E455" s="44"/>
      <c r="F455" s="44"/>
      <c r="G455" s="44"/>
      <c r="H455" s="44"/>
      <c r="I455" s="44"/>
      <c r="J455" s="44"/>
      <c r="K455" s="44"/>
      <c r="L455" s="44"/>
      <c r="M455" s="44"/>
      <c r="N455" s="44"/>
      <c r="O455" s="44"/>
    </row>
    <row r="456" spans="1:15" ht="17.25" customHeight="1">
      <c r="A456" s="44"/>
      <c r="B456" s="44"/>
      <c r="C456" s="44"/>
      <c r="D456" s="44"/>
      <c r="E456" s="44"/>
      <c r="F456" s="44"/>
      <c r="G456" s="44"/>
      <c r="H456" s="44"/>
      <c r="I456" s="44"/>
      <c r="J456" s="44"/>
      <c r="K456" s="44"/>
      <c r="L456" s="44"/>
      <c r="M456" s="44"/>
      <c r="N456" s="44"/>
      <c r="O456" s="44"/>
    </row>
    <row r="457" spans="1:15" ht="17.25" customHeight="1">
      <c r="A457" s="44"/>
      <c r="B457" s="44"/>
      <c r="C457" s="44"/>
      <c r="D457" s="44"/>
      <c r="E457" s="44"/>
      <c r="F457" s="44"/>
      <c r="G457" s="44"/>
      <c r="H457" s="44"/>
      <c r="I457" s="44"/>
      <c r="J457" s="44"/>
      <c r="K457" s="44"/>
      <c r="L457" s="44"/>
      <c r="M457" s="44"/>
      <c r="N457" s="44"/>
      <c r="O457" s="44"/>
    </row>
    <row r="458" spans="1:15" ht="17.25" customHeight="1">
      <c r="A458" s="44"/>
      <c r="B458" s="44"/>
      <c r="C458" s="44"/>
      <c r="D458" s="44"/>
      <c r="E458" s="44"/>
      <c r="F458" s="44"/>
      <c r="G458" s="44"/>
      <c r="H458" s="44"/>
      <c r="I458" s="44"/>
      <c r="J458" s="44"/>
      <c r="K458" s="44"/>
      <c r="L458" s="44"/>
      <c r="M458" s="44"/>
      <c r="N458" s="44"/>
      <c r="O458" s="44"/>
    </row>
    <row r="459" spans="1:15" ht="17.25" customHeight="1">
      <c r="A459" s="44"/>
      <c r="B459" s="44"/>
      <c r="C459" s="44"/>
      <c r="D459" s="44"/>
      <c r="E459" s="44"/>
      <c r="F459" s="44"/>
      <c r="G459" s="44"/>
      <c r="H459" s="44"/>
      <c r="I459" s="44"/>
      <c r="J459" s="44"/>
      <c r="K459" s="44"/>
      <c r="L459" s="44"/>
      <c r="M459" s="44"/>
      <c r="N459" s="44"/>
      <c r="O459" s="44"/>
    </row>
    <row r="460" spans="1:15" ht="17.25" customHeight="1">
      <c r="A460" s="44"/>
      <c r="B460" s="44"/>
      <c r="C460" s="44"/>
      <c r="D460" s="44"/>
      <c r="E460" s="44"/>
      <c r="F460" s="44"/>
      <c r="G460" s="44"/>
      <c r="H460" s="44"/>
      <c r="I460" s="44"/>
      <c r="J460" s="44"/>
      <c r="K460" s="44"/>
      <c r="L460" s="44"/>
      <c r="M460" s="44"/>
      <c r="N460" s="44"/>
      <c r="O460" s="44"/>
    </row>
    <row r="461" spans="1:15" ht="17.25" customHeight="1">
      <c r="A461" s="44"/>
      <c r="B461" s="44"/>
      <c r="C461" s="44"/>
      <c r="D461" s="44"/>
      <c r="E461" s="44"/>
      <c r="F461" s="44"/>
      <c r="G461" s="44"/>
      <c r="H461" s="44"/>
      <c r="I461" s="44"/>
      <c r="J461" s="44"/>
      <c r="K461" s="44"/>
      <c r="L461" s="44"/>
      <c r="M461" s="44"/>
      <c r="N461" s="44"/>
      <c r="O461" s="44"/>
    </row>
    <row r="462" spans="1:15" ht="17.25" customHeight="1">
      <c r="A462" s="44"/>
      <c r="B462" s="44"/>
      <c r="C462" s="44"/>
      <c r="D462" s="44"/>
      <c r="E462" s="44"/>
      <c r="F462" s="44"/>
      <c r="G462" s="44"/>
      <c r="H462" s="44"/>
      <c r="I462" s="44"/>
      <c r="J462" s="44"/>
      <c r="K462" s="44"/>
      <c r="L462" s="44"/>
      <c r="M462" s="44"/>
      <c r="N462" s="44"/>
      <c r="O462" s="44"/>
    </row>
    <row r="463" spans="1:15" ht="17.25" customHeight="1">
      <c r="A463" s="44"/>
      <c r="B463" s="44"/>
      <c r="C463" s="44"/>
      <c r="D463" s="44"/>
      <c r="E463" s="44"/>
      <c r="F463" s="44"/>
      <c r="G463" s="44"/>
      <c r="H463" s="44"/>
      <c r="I463" s="44"/>
      <c r="J463" s="44"/>
      <c r="K463" s="44"/>
      <c r="L463" s="44"/>
      <c r="M463" s="44"/>
      <c r="N463" s="44"/>
      <c r="O463" s="44"/>
    </row>
    <row r="464" spans="1:15" ht="17.25" customHeight="1">
      <c r="A464" s="44"/>
      <c r="B464" s="44"/>
      <c r="C464" s="44"/>
      <c r="D464" s="44"/>
      <c r="E464" s="44"/>
      <c r="F464" s="44"/>
      <c r="G464" s="44"/>
      <c r="H464" s="44"/>
      <c r="I464" s="44"/>
      <c r="J464" s="44"/>
      <c r="K464" s="44"/>
      <c r="L464" s="44"/>
      <c r="M464" s="44"/>
      <c r="N464" s="44"/>
      <c r="O464" s="44"/>
    </row>
    <row r="465" spans="1:15" ht="17.25" customHeight="1">
      <c r="A465" s="44"/>
      <c r="B465" s="44"/>
      <c r="C465" s="44"/>
      <c r="D465" s="44"/>
      <c r="E465" s="44"/>
      <c r="F465" s="44"/>
      <c r="G465" s="44"/>
      <c r="H465" s="44"/>
      <c r="I465" s="44"/>
      <c r="J465" s="44"/>
      <c r="K465" s="44"/>
      <c r="L465" s="44"/>
      <c r="M465" s="44"/>
      <c r="N465" s="44"/>
      <c r="O465" s="44"/>
    </row>
    <row r="466" spans="1:15" ht="17.25" customHeight="1">
      <c r="A466" s="44"/>
      <c r="B466" s="44"/>
      <c r="C466" s="44"/>
      <c r="D466" s="44"/>
      <c r="E466" s="44"/>
      <c r="F466" s="44"/>
      <c r="G466" s="44"/>
      <c r="H466" s="44"/>
      <c r="I466" s="44"/>
      <c r="J466" s="44"/>
      <c r="K466" s="44"/>
      <c r="L466" s="44"/>
      <c r="M466" s="44"/>
      <c r="N466" s="44"/>
      <c r="O466" s="44"/>
    </row>
    <row r="467" spans="1:15" ht="17.25" customHeight="1">
      <c r="A467" s="44"/>
      <c r="B467" s="44"/>
      <c r="C467" s="44"/>
      <c r="D467" s="44"/>
      <c r="E467" s="44"/>
      <c r="F467" s="44"/>
      <c r="G467" s="44"/>
      <c r="H467" s="44"/>
      <c r="I467" s="44"/>
      <c r="J467" s="44"/>
      <c r="K467" s="44"/>
      <c r="L467" s="44"/>
      <c r="M467" s="44"/>
      <c r="N467" s="44"/>
      <c r="O467" s="44"/>
    </row>
    <row r="468" spans="1:15" ht="17.25" customHeight="1">
      <c r="A468" s="44"/>
      <c r="B468" s="44"/>
      <c r="C468" s="44"/>
      <c r="D468" s="44"/>
      <c r="E468" s="44"/>
      <c r="F468" s="44"/>
      <c r="G468" s="44"/>
      <c r="H468" s="44"/>
      <c r="I468" s="44"/>
      <c r="J468" s="44"/>
      <c r="K468" s="44"/>
      <c r="L468" s="44"/>
      <c r="M468" s="44"/>
      <c r="N468" s="44"/>
      <c r="O468" s="44"/>
    </row>
    <row r="469" spans="1:15" ht="17.25" customHeight="1">
      <c r="A469" s="44"/>
      <c r="B469" s="44"/>
      <c r="C469" s="44"/>
      <c r="D469" s="44"/>
      <c r="E469" s="44"/>
      <c r="F469" s="44"/>
      <c r="G469" s="44"/>
      <c r="H469" s="44"/>
      <c r="I469" s="44"/>
      <c r="J469" s="44"/>
      <c r="K469" s="44"/>
      <c r="L469" s="44"/>
      <c r="M469" s="44"/>
      <c r="N469" s="44"/>
      <c r="O469" s="44"/>
    </row>
    <row r="470" spans="1:15" ht="17.25" customHeight="1">
      <c r="A470" s="44"/>
      <c r="B470" s="44"/>
      <c r="C470" s="44"/>
      <c r="D470" s="44"/>
      <c r="E470" s="44"/>
      <c r="F470" s="44"/>
      <c r="G470" s="44"/>
      <c r="H470" s="44"/>
      <c r="I470" s="44"/>
      <c r="J470" s="44"/>
      <c r="K470" s="44"/>
      <c r="L470" s="44"/>
      <c r="M470" s="44"/>
      <c r="N470" s="44"/>
      <c r="O470" s="44"/>
    </row>
    <row r="471" spans="1:15" ht="17.25" customHeight="1">
      <c r="A471" s="44"/>
      <c r="B471" s="44"/>
      <c r="C471" s="44"/>
      <c r="D471" s="44"/>
      <c r="E471" s="44"/>
      <c r="F471" s="44"/>
      <c r="G471" s="44"/>
      <c r="H471" s="44"/>
      <c r="I471" s="44"/>
      <c r="J471" s="44"/>
      <c r="K471" s="44"/>
      <c r="L471" s="44"/>
      <c r="M471" s="44"/>
      <c r="N471" s="44"/>
      <c r="O471" s="44"/>
    </row>
    <row r="472" spans="1:15" ht="17.25" customHeight="1">
      <c r="A472" s="44"/>
      <c r="B472" s="44"/>
      <c r="C472" s="44"/>
      <c r="D472" s="44"/>
      <c r="E472" s="44"/>
      <c r="F472" s="44"/>
      <c r="G472" s="44"/>
      <c r="H472" s="44"/>
      <c r="I472" s="44"/>
      <c r="J472" s="44"/>
      <c r="K472" s="44"/>
      <c r="L472" s="44"/>
      <c r="M472" s="44"/>
      <c r="N472" s="44"/>
      <c r="O472" s="44"/>
    </row>
    <row r="473" spans="1:15" ht="17.25" customHeight="1">
      <c r="A473" s="44"/>
      <c r="B473" s="44"/>
      <c r="C473" s="44"/>
      <c r="D473" s="44"/>
      <c r="E473" s="44"/>
      <c r="F473" s="44"/>
      <c r="G473" s="44"/>
      <c r="H473" s="44"/>
      <c r="I473" s="44"/>
      <c r="J473" s="44"/>
      <c r="K473" s="44"/>
      <c r="L473" s="44"/>
      <c r="M473" s="44"/>
      <c r="N473" s="44"/>
      <c r="O473" s="44"/>
    </row>
    <row r="474" spans="1:15" ht="17.25" customHeight="1">
      <c r="A474" s="44"/>
      <c r="B474" s="44"/>
      <c r="C474" s="44"/>
      <c r="D474" s="44"/>
      <c r="E474" s="44"/>
      <c r="F474" s="44"/>
      <c r="G474" s="44"/>
      <c r="H474" s="44"/>
      <c r="I474" s="44"/>
      <c r="J474" s="44"/>
      <c r="K474" s="44"/>
      <c r="L474" s="44"/>
      <c r="M474" s="44"/>
      <c r="N474" s="44"/>
      <c r="O474" s="44"/>
    </row>
    <row r="475" spans="1:15" ht="17.25" customHeight="1">
      <c r="A475" s="44"/>
      <c r="B475" s="44"/>
      <c r="C475" s="44"/>
      <c r="D475" s="44"/>
      <c r="E475" s="44"/>
      <c r="F475" s="44"/>
      <c r="G475" s="44"/>
      <c r="H475" s="44"/>
      <c r="I475" s="44"/>
      <c r="J475" s="44"/>
      <c r="K475" s="44"/>
      <c r="L475" s="44"/>
      <c r="M475" s="44"/>
      <c r="N475" s="44"/>
      <c r="O475" s="44"/>
    </row>
    <row r="476" spans="1:15" ht="17.25" customHeight="1">
      <c r="A476" s="44"/>
      <c r="B476" s="44"/>
      <c r="C476" s="44"/>
      <c r="D476" s="44"/>
      <c r="E476" s="44"/>
      <c r="F476" s="44"/>
      <c r="G476" s="44"/>
      <c r="H476" s="44"/>
      <c r="I476" s="44"/>
      <c r="J476" s="44"/>
      <c r="K476" s="44"/>
      <c r="L476" s="44"/>
      <c r="M476" s="44"/>
      <c r="N476" s="44"/>
      <c r="O476" s="44"/>
    </row>
    <row r="477" spans="1:15" ht="17.25" customHeight="1">
      <c r="A477" s="44"/>
      <c r="B477" s="44"/>
      <c r="C477" s="44"/>
      <c r="D477" s="44"/>
      <c r="E477" s="44"/>
      <c r="F477" s="44"/>
      <c r="G477" s="44"/>
      <c r="H477" s="44"/>
      <c r="I477" s="44"/>
      <c r="J477" s="44"/>
      <c r="K477" s="44"/>
      <c r="L477" s="44"/>
      <c r="M477" s="44"/>
      <c r="N477" s="44"/>
      <c r="O477" s="44"/>
    </row>
    <row r="478" spans="1:15" ht="17.25" customHeight="1">
      <c r="A478" s="44"/>
      <c r="B478" s="44"/>
      <c r="C478" s="44"/>
      <c r="D478" s="44"/>
      <c r="E478" s="44"/>
      <c r="F478" s="44"/>
      <c r="G478" s="44"/>
      <c r="H478" s="44"/>
      <c r="I478" s="44"/>
      <c r="J478" s="44"/>
      <c r="K478" s="44"/>
      <c r="L478" s="44"/>
      <c r="M478" s="44"/>
      <c r="N478" s="44"/>
      <c r="O478" s="44"/>
    </row>
    <row r="479" spans="1:15" ht="17.25" customHeight="1">
      <c r="A479" s="44"/>
      <c r="B479" s="44"/>
      <c r="C479" s="44"/>
      <c r="D479" s="44"/>
      <c r="E479" s="44"/>
      <c r="F479" s="44"/>
      <c r="G479" s="44"/>
      <c r="H479" s="44"/>
      <c r="I479" s="44"/>
      <c r="J479" s="44"/>
      <c r="K479" s="44"/>
      <c r="L479" s="44"/>
      <c r="M479" s="44"/>
      <c r="N479" s="44"/>
      <c r="O479" s="44"/>
    </row>
    <row r="480" spans="1:15" ht="17.25" customHeight="1">
      <c r="A480" s="44"/>
      <c r="B480" s="44"/>
      <c r="C480" s="44"/>
      <c r="D480" s="44"/>
      <c r="E480" s="44"/>
      <c r="F480" s="44"/>
      <c r="G480" s="44"/>
      <c r="H480" s="44"/>
      <c r="I480" s="44"/>
      <c r="J480" s="44"/>
      <c r="K480" s="44"/>
      <c r="L480" s="44"/>
      <c r="M480" s="44"/>
      <c r="N480" s="44"/>
      <c r="O480" s="44"/>
    </row>
    <row r="481" spans="1:15" ht="17.25" customHeight="1">
      <c r="A481" s="44"/>
      <c r="B481" s="44"/>
      <c r="C481" s="44"/>
      <c r="D481" s="44"/>
      <c r="E481" s="44"/>
      <c r="F481" s="44"/>
      <c r="G481" s="44"/>
      <c r="H481" s="44"/>
      <c r="I481" s="44"/>
      <c r="J481" s="44"/>
      <c r="K481" s="44"/>
      <c r="L481" s="44"/>
      <c r="M481" s="44"/>
      <c r="N481" s="44"/>
      <c r="O481" s="44"/>
    </row>
    <row r="482" spans="1:15" ht="17.25" customHeight="1">
      <c r="A482" s="44"/>
      <c r="B482" s="44"/>
      <c r="C482" s="44"/>
      <c r="D482" s="44"/>
      <c r="E482" s="44"/>
      <c r="F482" s="44"/>
      <c r="G482" s="44"/>
      <c r="H482" s="44"/>
      <c r="I482" s="44"/>
      <c r="J482" s="44"/>
      <c r="K482" s="44"/>
      <c r="L482" s="44"/>
      <c r="M482" s="44"/>
      <c r="N482" s="44"/>
      <c r="O482" s="44"/>
    </row>
    <row r="483" spans="1:15" ht="17.25" customHeight="1">
      <c r="A483" s="44"/>
      <c r="B483" s="44"/>
      <c r="C483" s="44"/>
      <c r="D483" s="44"/>
      <c r="E483" s="44"/>
      <c r="F483" s="44"/>
      <c r="G483" s="44"/>
      <c r="H483" s="44"/>
      <c r="I483" s="44"/>
      <c r="J483" s="44"/>
      <c r="K483" s="44"/>
      <c r="L483" s="44"/>
      <c r="M483" s="44"/>
      <c r="N483" s="44"/>
      <c r="O483" s="44"/>
    </row>
    <row r="484" spans="1:15" ht="17.25" customHeight="1">
      <c r="A484" s="44"/>
      <c r="B484" s="44"/>
      <c r="C484" s="44"/>
      <c r="D484" s="44"/>
      <c r="E484" s="44"/>
      <c r="F484" s="44"/>
      <c r="G484" s="44"/>
      <c r="H484" s="44"/>
      <c r="I484" s="44"/>
      <c r="J484" s="44"/>
      <c r="K484" s="44"/>
      <c r="L484" s="44"/>
      <c r="M484" s="44"/>
      <c r="N484" s="44"/>
      <c r="O484" s="44"/>
    </row>
    <row r="485" spans="1:15" ht="17.25" customHeight="1">
      <c r="A485" s="44"/>
      <c r="B485" s="44"/>
      <c r="C485" s="44"/>
      <c r="D485" s="44"/>
      <c r="E485" s="44"/>
      <c r="F485" s="44"/>
      <c r="G485" s="44"/>
      <c r="H485" s="44"/>
      <c r="I485" s="44"/>
      <c r="J485" s="44"/>
      <c r="K485" s="44"/>
      <c r="L485" s="44"/>
      <c r="M485" s="44"/>
      <c r="N485" s="44"/>
      <c r="O485" s="44"/>
    </row>
    <row r="486" spans="1:15" ht="17.25" customHeight="1">
      <c r="A486" s="44"/>
      <c r="B486" s="44"/>
      <c r="C486" s="44"/>
      <c r="D486" s="44"/>
      <c r="E486" s="44"/>
      <c r="F486" s="44"/>
      <c r="G486" s="44"/>
      <c r="H486" s="44"/>
      <c r="I486" s="44"/>
      <c r="J486" s="44"/>
      <c r="K486" s="44"/>
      <c r="L486" s="44"/>
      <c r="M486" s="44"/>
      <c r="N486" s="44"/>
      <c r="O486" s="44"/>
    </row>
    <row r="487" spans="1:15" ht="17.25" customHeight="1">
      <c r="A487" s="44"/>
      <c r="B487" s="44"/>
      <c r="C487" s="44"/>
      <c r="D487" s="44"/>
      <c r="E487" s="44"/>
      <c r="F487" s="44"/>
      <c r="G487" s="44"/>
      <c r="H487" s="44"/>
      <c r="I487" s="44"/>
      <c r="J487" s="44"/>
      <c r="K487" s="44"/>
      <c r="L487" s="44"/>
      <c r="M487" s="44"/>
      <c r="N487" s="44"/>
      <c r="O487" s="44"/>
    </row>
    <row r="488" spans="1:15" ht="17.25" customHeight="1">
      <c r="A488" s="44"/>
      <c r="B488" s="44"/>
      <c r="C488" s="44"/>
      <c r="D488" s="44"/>
      <c r="E488" s="44"/>
      <c r="F488" s="44"/>
      <c r="G488" s="44"/>
      <c r="H488" s="44"/>
      <c r="I488" s="44"/>
      <c r="J488" s="44"/>
      <c r="K488" s="44"/>
      <c r="L488" s="44"/>
      <c r="M488" s="44"/>
      <c r="N488" s="44"/>
      <c r="O488" s="44"/>
    </row>
    <row r="489" spans="1:15" ht="17.25" customHeight="1">
      <c r="A489" s="44"/>
      <c r="B489" s="44"/>
      <c r="C489" s="44"/>
      <c r="D489" s="44"/>
      <c r="E489" s="44"/>
      <c r="F489" s="44"/>
      <c r="G489" s="44"/>
      <c r="H489" s="44"/>
      <c r="I489" s="44"/>
      <c r="J489" s="44"/>
      <c r="K489" s="44"/>
      <c r="L489" s="44"/>
      <c r="M489" s="44"/>
      <c r="N489" s="44"/>
      <c r="O489" s="44"/>
    </row>
    <row r="490" spans="1:15" ht="17.25" customHeight="1">
      <c r="A490" s="44"/>
      <c r="B490" s="44"/>
      <c r="C490" s="44"/>
      <c r="D490" s="44"/>
      <c r="E490" s="44"/>
      <c r="F490" s="44"/>
      <c r="G490" s="44"/>
      <c r="H490" s="44"/>
      <c r="I490" s="44"/>
      <c r="J490" s="44"/>
      <c r="K490" s="44"/>
      <c r="L490" s="44"/>
      <c r="M490" s="44"/>
      <c r="N490" s="44"/>
      <c r="O490" s="44"/>
    </row>
    <row r="491" spans="1:15" ht="17.25" customHeight="1">
      <c r="A491" s="44"/>
      <c r="B491" s="44"/>
      <c r="C491" s="44"/>
      <c r="D491" s="44"/>
      <c r="E491" s="44"/>
      <c r="F491" s="44"/>
      <c r="G491" s="44"/>
      <c r="H491" s="44"/>
      <c r="I491" s="44"/>
      <c r="J491" s="44"/>
      <c r="K491" s="44"/>
      <c r="L491" s="44"/>
      <c r="M491" s="44"/>
      <c r="N491" s="44"/>
      <c r="O491" s="44"/>
    </row>
    <row r="492" spans="1:15" ht="17.25" customHeight="1">
      <c r="A492" s="44"/>
      <c r="B492" s="44"/>
      <c r="C492" s="44"/>
      <c r="D492" s="44"/>
      <c r="E492" s="44"/>
      <c r="F492" s="44"/>
      <c r="G492" s="44"/>
      <c r="H492" s="44"/>
      <c r="I492" s="44"/>
      <c r="J492" s="44"/>
      <c r="K492" s="44"/>
      <c r="L492" s="44"/>
      <c r="M492" s="44"/>
      <c r="N492" s="44"/>
      <c r="O492" s="44"/>
    </row>
    <row r="493" spans="1:15" ht="17.25" customHeight="1">
      <c r="A493" s="44"/>
      <c r="B493" s="44"/>
      <c r="C493" s="44"/>
      <c r="D493" s="44"/>
      <c r="E493" s="44"/>
      <c r="F493" s="44"/>
      <c r="G493" s="44"/>
      <c r="H493" s="44"/>
      <c r="I493" s="44"/>
      <c r="J493" s="44"/>
      <c r="K493" s="44"/>
      <c r="L493" s="44"/>
      <c r="M493" s="44"/>
      <c r="N493" s="44"/>
      <c r="O493" s="44"/>
    </row>
    <row r="494" spans="1:15" ht="17.25" customHeight="1">
      <c r="A494" s="44"/>
      <c r="B494" s="44"/>
      <c r="C494" s="44"/>
      <c r="D494" s="44"/>
      <c r="E494" s="44"/>
      <c r="F494" s="44"/>
      <c r="G494" s="44"/>
      <c r="H494" s="44"/>
      <c r="I494" s="44"/>
      <c r="J494" s="44"/>
      <c r="K494" s="44"/>
      <c r="L494" s="44"/>
      <c r="M494" s="44"/>
      <c r="N494" s="44"/>
      <c r="O494" s="44"/>
    </row>
    <row r="495" spans="1:15" ht="17.25" customHeight="1">
      <c r="A495" s="44"/>
      <c r="B495" s="44"/>
      <c r="C495" s="44"/>
      <c r="D495" s="44"/>
      <c r="E495" s="44"/>
      <c r="F495" s="44"/>
      <c r="G495" s="44"/>
      <c r="H495" s="44"/>
      <c r="I495" s="44"/>
      <c r="J495" s="44"/>
      <c r="K495" s="44"/>
      <c r="L495" s="44"/>
      <c r="M495" s="44"/>
      <c r="N495" s="44"/>
      <c r="O495" s="44"/>
    </row>
    <row r="496" spans="1:15" ht="17.25" customHeight="1">
      <c r="A496" s="44"/>
      <c r="B496" s="44"/>
      <c r="C496" s="44"/>
      <c r="D496" s="44"/>
      <c r="E496" s="44"/>
      <c r="F496" s="44"/>
      <c r="G496" s="44"/>
      <c r="H496" s="44"/>
      <c r="I496" s="44"/>
      <c r="J496" s="44"/>
      <c r="K496" s="44"/>
      <c r="L496" s="44"/>
      <c r="M496" s="44"/>
      <c r="N496" s="44"/>
      <c r="O496" s="44"/>
    </row>
    <row r="497" spans="1:15" ht="17.25" customHeight="1">
      <c r="A497" s="44"/>
      <c r="B497" s="44"/>
      <c r="C497" s="44"/>
      <c r="D497" s="44"/>
      <c r="E497" s="44"/>
      <c r="F497" s="44"/>
      <c r="G497" s="44"/>
      <c r="H497" s="44"/>
      <c r="I497" s="44"/>
      <c r="J497" s="44"/>
      <c r="K497" s="44"/>
      <c r="L497" s="44"/>
      <c r="M497" s="44"/>
      <c r="N497" s="44"/>
      <c r="O497" s="44"/>
    </row>
    <row r="498" spans="1:15" ht="17.25" customHeight="1">
      <c r="A498" s="44"/>
      <c r="B498" s="44"/>
      <c r="C498" s="44"/>
      <c r="D498" s="44"/>
      <c r="E498" s="44"/>
      <c r="F498" s="44"/>
      <c r="G498" s="44"/>
      <c r="H498" s="44"/>
      <c r="I498" s="44"/>
      <c r="J498" s="44"/>
      <c r="K498" s="44"/>
      <c r="L498" s="44"/>
      <c r="M498" s="44"/>
      <c r="N498" s="44"/>
      <c r="O498" s="44"/>
    </row>
    <row r="499" spans="1:15" ht="17.25" customHeight="1">
      <c r="A499" s="44"/>
      <c r="B499" s="44"/>
      <c r="C499" s="44"/>
      <c r="D499" s="44"/>
      <c r="E499" s="44"/>
      <c r="F499" s="44"/>
      <c r="G499" s="44"/>
      <c r="H499" s="44"/>
      <c r="I499" s="44"/>
      <c r="J499" s="44"/>
      <c r="K499" s="44"/>
      <c r="L499" s="44"/>
      <c r="M499" s="44"/>
      <c r="N499" s="44"/>
      <c r="O499" s="44"/>
    </row>
    <row r="500" spans="1:15" ht="17.25" customHeight="1">
      <c r="A500" s="44"/>
      <c r="B500" s="44"/>
      <c r="C500" s="44"/>
      <c r="D500" s="44"/>
      <c r="E500" s="44"/>
      <c r="F500" s="44"/>
      <c r="G500" s="44"/>
      <c r="H500" s="44"/>
      <c r="I500" s="44"/>
      <c r="J500" s="44"/>
      <c r="K500" s="44"/>
      <c r="L500" s="44"/>
      <c r="M500" s="44"/>
      <c r="N500" s="44"/>
      <c r="O500" s="44"/>
    </row>
    <row r="501" spans="1:15" ht="17.25" customHeight="1">
      <c r="A501" s="44"/>
      <c r="B501" s="44"/>
      <c r="C501" s="44"/>
      <c r="D501" s="44"/>
      <c r="E501" s="44"/>
      <c r="F501" s="44"/>
      <c r="G501" s="44"/>
      <c r="H501" s="44"/>
      <c r="I501" s="44"/>
      <c r="J501" s="44"/>
      <c r="K501" s="44"/>
      <c r="L501" s="44"/>
      <c r="M501" s="44"/>
      <c r="N501" s="44"/>
      <c r="O501" s="44"/>
    </row>
    <row r="502" spans="1:15" ht="17.25" customHeight="1">
      <c r="A502" s="44"/>
      <c r="B502" s="44"/>
      <c r="C502" s="44"/>
      <c r="D502" s="44"/>
      <c r="E502" s="44"/>
      <c r="F502" s="44"/>
      <c r="G502" s="44"/>
      <c r="H502" s="44"/>
      <c r="I502" s="44"/>
      <c r="J502" s="44"/>
      <c r="K502" s="44"/>
      <c r="L502" s="44"/>
      <c r="M502" s="44"/>
      <c r="N502" s="44"/>
      <c r="O502" s="44"/>
    </row>
    <row r="503" spans="1:15" ht="17.25" customHeight="1">
      <c r="A503" s="44"/>
      <c r="B503" s="44"/>
      <c r="C503" s="44"/>
      <c r="D503" s="44"/>
      <c r="E503" s="44"/>
      <c r="F503" s="44"/>
      <c r="G503" s="44"/>
      <c r="H503" s="44"/>
      <c r="I503" s="44"/>
      <c r="J503" s="44"/>
      <c r="K503" s="44"/>
      <c r="L503" s="44"/>
      <c r="M503" s="44"/>
      <c r="N503" s="44"/>
      <c r="O503" s="44"/>
    </row>
    <row r="504" spans="1:15" ht="17.25" customHeight="1">
      <c r="A504" s="44"/>
      <c r="B504" s="44"/>
      <c r="C504" s="44"/>
      <c r="D504" s="44"/>
      <c r="E504" s="44"/>
      <c r="F504" s="44"/>
      <c r="G504" s="44"/>
      <c r="H504" s="44"/>
      <c r="I504" s="44"/>
      <c r="J504" s="44"/>
      <c r="K504" s="44"/>
      <c r="L504" s="44"/>
      <c r="M504" s="44"/>
      <c r="N504" s="44"/>
      <c r="O504" s="44"/>
    </row>
    <row r="505" spans="1:15" ht="17.25" customHeight="1">
      <c r="A505" s="44"/>
      <c r="B505" s="44"/>
      <c r="C505" s="44"/>
      <c r="D505" s="44"/>
      <c r="E505" s="44"/>
      <c r="F505" s="44"/>
      <c r="G505" s="44"/>
      <c r="H505" s="44"/>
      <c r="I505" s="44"/>
      <c r="J505" s="44"/>
      <c r="K505" s="44"/>
      <c r="L505" s="44"/>
      <c r="M505" s="44"/>
      <c r="N505" s="44"/>
      <c r="O505" s="44"/>
    </row>
    <row r="506" spans="1:15" ht="17.25" customHeight="1">
      <c r="A506" s="44"/>
      <c r="B506" s="44"/>
      <c r="C506" s="44"/>
      <c r="D506" s="44"/>
      <c r="E506" s="44"/>
      <c r="F506" s="44"/>
      <c r="G506" s="44"/>
      <c r="H506" s="44"/>
      <c r="I506" s="44"/>
      <c r="J506" s="44"/>
      <c r="K506" s="44"/>
      <c r="L506" s="44"/>
      <c r="M506" s="44"/>
      <c r="N506" s="44"/>
      <c r="O506" s="44"/>
    </row>
    <row r="507" spans="1:15" ht="17.25" customHeight="1">
      <c r="A507" s="44"/>
      <c r="B507" s="44"/>
      <c r="C507" s="44"/>
      <c r="D507" s="44"/>
      <c r="E507" s="44"/>
      <c r="F507" s="44"/>
      <c r="G507" s="44"/>
      <c r="H507" s="44"/>
      <c r="I507" s="44"/>
      <c r="J507" s="44"/>
      <c r="K507" s="44"/>
      <c r="L507" s="44"/>
      <c r="M507" s="44"/>
      <c r="N507" s="44"/>
      <c r="O507" s="44"/>
    </row>
    <row r="508" spans="1:15" ht="17.25" customHeight="1">
      <c r="A508" s="44"/>
      <c r="B508" s="44"/>
      <c r="C508" s="44"/>
      <c r="D508" s="44"/>
      <c r="E508" s="44"/>
      <c r="F508" s="44"/>
      <c r="G508" s="44"/>
      <c r="H508" s="44"/>
      <c r="I508" s="44"/>
      <c r="J508" s="44"/>
      <c r="K508" s="44"/>
      <c r="L508" s="44"/>
      <c r="M508" s="44"/>
      <c r="N508" s="44"/>
      <c r="O508" s="44"/>
    </row>
    <row r="509" spans="1:15" ht="17.25" customHeight="1">
      <c r="A509" s="44"/>
      <c r="B509" s="44"/>
      <c r="C509" s="44"/>
      <c r="D509" s="44"/>
      <c r="E509" s="44"/>
      <c r="F509" s="44"/>
      <c r="G509" s="44"/>
      <c r="H509" s="44"/>
      <c r="I509" s="44"/>
      <c r="J509" s="44"/>
      <c r="K509" s="44"/>
      <c r="L509" s="44"/>
      <c r="M509" s="44"/>
      <c r="N509" s="44"/>
      <c r="O509" s="44"/>
    </row>
    <row r="510" spans="1:15" ht="17.25" customHeight="1">
      <c r="A510" s="44"/>
      <c r="B510" s="44"/>
      <c r="C510" s="44"/>
      <c r="D510" s="44"/>
      <c r="E510" s="44"/>
      <c r="F510" s="44"/>
      <c r="G510" s="44"/>
      <c r="H510" s="44"/>
      <c r="I510" s="44"/>
      <c r="J510" s="44"/>
      <c r="K510" s="44"/>
      <c r="L510" s="44"/>
      <c r="M510" s="44"/>
      <c r="N510" s="44"/>
      <c r="O510" s="44"/>
    </row>
    <row r="511" spans="1:15" ht="17.25" customHeight="1">
      <c r="A511" s="44"/>
      <c r="B511" s="44"/>
      <c r="C511" s="44"/>
      <c r="D511" s="44"/>
      <c r="E511" s="44"/>
      <c r="F511" s="44"/>
      <c r="G511" s="44"/>
      <c r="H511" s="44"/>
      <c r="I511" s="44"/>
      <c r="J511" s="44"/>
      <c r="K511" s="44"/>
      <c r="L511" s="44"/>
      <c r="M511" s="44"/>
      <c r="N511" s="44"/>
      <c r="O511" s="44"/>
    </row>
    <row r="512" spans="1:15" ht="17.25" customHeight="1">
      <c r="A512" s="44"/>
      <c r="B512" s="44"/>
      <c r="C512" s="44"/>
      <c r="D512" s="44"/>
      <c r="E512" s="44"/>
      <c r="F512" s="44"/>
      <c r="G512" s="44"/>
      <c r="H512" s="44"/>
      <c r="I512" s="44"/>
      <c r="J512" s="44"/>
      <c r="K512" s="44"/>
      <c r="L512" s="44"/>
      <c r="M512" s="44"/>
      <c r="N512" s="44"/>
      <c r="O512" s="44"/>
    </row>
    <row r="513" spans="1:15" ht="17.25" customHeight="1">
      <c r="A513" s="44"/>
      <c r="B513" s="44"/>
      <c r="C513" s="44"/>
      <c r="D513" s="44"/>
      <c r="E513" s="44"/>
      <c r="F513" s="44"/>
      <c r="G513" s="44"/>
      <c r="H513" s="44"/>
      <c r="I513" s="44"/>
      <c r="J513" s="44"/>
      <c r="K513" s="44"/>
      <c r="L513" s="44"/>
      <c r="M513" s="44"/>
      <c r="N513" s="44"/>
      <c r="O513" s="44"/>
    </row>
    <row r="514" spans="1:15" ht="17.25" customHeight="1">
      <c r="A514" s="44"/>
      <c r="B514" s="44"/>
      <c r="C514" s="44"/>
      <c r="D514" s="44"/>
      <c r="E514" s="44"/>
      <c r="F514" s="44"/>
      <c r="G514" s="44"/>
      <c r="H514" s="44"/>
      <c r="I514" s="44"/>
      <c r="J514" s="44"/>
      <c r="K514" s="44"/>
      <c r="L514" s="44"/>
      <c r="M514" s="44"/>
      <c r="N514" s="44"/>
      <c r="O514" s="44"/>
    </row>
    <row r="515" spans="1:15" ht="17.25" customHeight="1">
      <c r="A515" s="44"/>
      <c r="B515" s="44"/>
      <c r="C515" s="44"/>
      <c r="D515" s="44"/>
      <c r="E515" s="44"/>
      <c r="F515" s="44"/>
      <c r="G515" s="44"/>
      <c r="H515" s="44"/>
      <c r="I515" s="44"/>
      <c r="J515" s="44"/>
      <c r="K515" s="44"/>
      <c r="L515" s="44"/>
      <c r="M515" s="44"/>
      <c r="N515" s="44"/>
      <c r="O515" s="44"/>
    </row>
    <row r="516" spans="1:15" ht="17.25" customHeight="1">
      <c r="A516" s="44"/>
      <c r="B516" s="44"/>
      <c r="C516" s="44"/>
      <c r="D516" s="44"/>
      <c r="E516" s="44"/>
      <c r="F516" s="44"/>
      <c r="G516" s="44"/>
      <c r="H516" s="44"/>
      <c r="I516" s="44"/>
      <c r="J516" s="44"/>
      <c r="K516" s="44"/>
      <c r="L516" s="44"/>
      <c r="M516" s="44"/>
      <c r="N516" s="44"/>
      <c r="O516" s="44"/>
    </row>
    <row r="517" spans="1:15" ht="17.25" customHeight="1">
      <c r="A517" s="44"/>
      <c r="B517" s="44"/>
      <c r="C517" s="44"/>
      <c r="D517" s="44"/>
      <c r="E517" s="44"/>
      <c r="F517" s="44"/>
      <c r="G517" s="44"/>
      <c r="H517" s="44"/>
      <c r="I517" s="44"/>
      <c r="J517" s="44"/>
      <c r="K517" s="44"/>
      <c r="L517" s="44"/>
      <c r="M517" s="44"/>
      <c r="N517" s="44"/>
      <c r="O517" s="44"/>
    </row>
    <row r="518" spans="1:15" ht="17.25" customHeight="1">
      <c r="A518" s="44"/>
      <c r="B518" s="44"/>
      <c r="C518" s="44"/>
      <c r="D518" s="44"/>
      <c r="E518" s="44"/>
      <c r="F518" s="44"/>
      <c r="G518" s="44"/>
      <c r="H518" s="44"/>
      <c r="I518" s="44"/>
      <c r="J518" s="44"/>
      <c r="K518" s="44"/>
      <c r="L518" s="44"/>
      <c r="M518" s="44"/>
      <c r="N518" s="44"/>
      <c r="O518" s="44"/>
    </row>
    <row r="519" spans="1:15" ht="17.25" customHeight="1">
      <c r="A519" s="44"/>
      <c r="B519" s="44"/>
      <c r="C519" s="44"/>
      <c r="D519" s="44"/>
      <c r="E519" s="44"/>
      <c r="F519" s="44"/>
      <c r="G519" s="44"/>
      <c r="H519" s="44"/>
      <c r="I519" s="44"/>
      <c r="J519" s="44"/>
      <c r="K519" s="44"/>
      <c r="L519" s="44"/>
      <c r="M519" s="44"/>
      <c r="N519" s="44"/>
      <c r="O519" s="44"/>
    </row>
    <row r="520" spans="1:15" ht="17.25" customHeight="1">
      <c r="A520" s="44"/>
      <c r="B520" s="44"/>
      <c r="C520" s="44"/>
      <c r="D520" s="44"/>
      <c r="E520" s="44"/>
      <c r="F520" s="44"/>
      <c r="G520" s="44"/>
      <c r="H520" s="44"/>
      <c r="I520" s="44"/>
      <c r="J520" s="44"/>
      <c r="K520" s="44"/>
      <c r="L520" s="44"/>
      <c r="M520" s="44"/>
      <c r="N520" s="44"/>
      <c r="O520" s="44"/>
    </row>
    <row r="521" spans="1:15" ht="17.25" customHeight="1">
      <c r="A521" s="44"/>
      <c r="B521" s="44"/>
      <c r="C521" s="44"/>
      <c r="D521" s="44"/>
      <c r="E521" s="44"/>
      <c r="F521" s="44"/>
      <c r="G521" s="44"/>
      <c r="H521" s="44"/>
      <c r="I521" s="44"/>
      <c r="J521" s="44"/>
      <c r="K521" s="44"/>
      <c r="L521" s="44"/>
      <c r="M521" s="44"/>
      <c r="N521" s="44"/>
      <c r="O521" s="44"/>
    </row>
    <row r="522" spans="1:15" ht="17.25" customHeight="1">
      <c r="A522" s="44"/>
      <c r="B522" s="44"/>
      <c r="C522" s="44"/>
      <c r="D522" s="44"/>
      <c r="E522" s="44"/>
      <c r="F522" s="44"/>
      <c r="G522" s="44"/>
      <c r="H522" s="44"/>
      <c r="I522" s="44"/>
      <c r="J522" s="44"/>
      <c r="K522" s="44"/>
      <c r="L522" s="44"/>
      <c r="M522" s="44"/>
      <c r="N522" s="44"/>
      <c r="O522" s="44"/>
    </row>
    <row r="523" spans="1:15" ht="17.25" customHeight="1">
      <c r="A523" s="44"/>
      <c r="B523" s="44"/>
      <c r="C523" s="44"/>
      <c r="D523" s="44"/>
      <c r="E523" s="44"/>
      <c r="F523" s="44"/>
      <c r="G523" s="44"/>
      <c r="H523" s="44"/>
      <c r="I523" s="44"/>
      <c r="J523" s="44"/>
      <c r="K523" s="44"/>
      <c r="L523" s="44"/>
      <c r="M523" s="44"/>
      <c r="N523" s="44"/>
      <c r="O523" s="44"/>
    </row>
    <row r="524" spans="1:15" ht="17.25" customHeight="1">
      <c r="A524" s="44"/>
      <c r="B524" s="44"/>
      <c r="C524" s="44"/>
      <c r="D524" s="44"/>
      <c r="E524" s="44"/>
      <c r="F524" s="44"/>
      <c r="G524" s="44"/>
      <c r="H524" s="44"/>
      <c r="I524" s="44"/>
      <c r="J524" s="44"/>
      <c r="K524" s="44"/>
      <c r="L524" s="44"/>
      <c r="M524" s="44"/>
      <c r="N524" s="44"/>
      <c r="O524" s="44"/>
    </row>
    <row r="525" spans="1:15" ht="17.25" customHeight="1">
      <c r="A525" s="44"/>
      <c r="B525" s="44"/>
      <c r="C525" s="44"/>
      <c r="D525" s="44"/>
      <c r="E525" s="44"/>
      <c r="F525" s="44"/>
      <c r="G525" s="44"/>
      <c r="H525" s="44"/>
      <c r="I525" s="44"/>
      <c r="J525" s="44"/>
      <c r="K525" s="44"/>
      <c r="L525" s="44"/>
      <c r="M525" s="44"/>
      <c r="N525" s="44"/>
      <c r="O525" s="44"/>
    </row>
    <row r="526" spans="1:15" ht="17.25" customHeight="1">
      <c r="A526" s="44"/>
      <c r="B526" s="44"/>
      <c r="C526" s="44"/>
      <c r="D526" s="44"/>
      <c r="E526" s="44"/>
      <c r="F526" s="44"/>
      <c r="G526" s="44"/>
      <c r="H526" s="44"/>
      <c r="I526" s="44"/>
      <c r="J526" s="44"/>
      <c r="K526" s="44"/>
      <c r="L526" s="44"/>
      <c r="M526" s="44"/>
      <c r="N526" s="44"/>
      <c r="O526" s="44"/>
    </row>
    <row r="527" spans="1:15" ht="17.25" customHeight="1">
      <c r="A527" s="44"/>
      <c r="B527" s="44"/>
      <c r="C527" s="44"/>
      <c r="D527" s="44"/>
      <c r="E527" s="44"/>
      <c r="F527" s="44"/>
      <c r="G527" s="44"/>
      <c r="H527" s="44"/>
      <c r="I527" s="44"/>
      <c r="J527" s="44"/>
      <c r="K527" s="44"/>
      <c r="L527" s="44"/>
      <c r="M527" s="44"/>
      <c r="N527" s="44"/>
      <c r="O527" s="44"/>
    </row>
    <row r="528" spans="1:15" ht="17.25" customHeight="1">
      <c r="A528" s="44"/>
      <c r="B528" s="44"/>
      <c r="C528" s="44"/>
      <c r="D528" s="44"/>
      <c r="E528" s="44"/>
      <c r="F528" s="44"/>
      <c r="G528" s="44"/>
      <c r="H528" s="44"/>
      <c r="I528" s="44"/>
      <c r="J528" s="44"/>
      <c r="K528" s="44"/>
      <c r="L528" s="44"/>
      <c r="M528" s="44"/>
      <c r="N528" s="44"/>
      <c r="O528" s="44"/>
    </row>
    <row r="529" spans="1:15" ht="17.25" customHeight="1">
      <c r="A529" s="44"/>
      <c r="B529" s="44"/>
      <c r="C529" s="44"/>
      <c r="D529" s="44"/>
      <c r="E529" s="44"/>
      <c r="F529" s="44"/>
      <c r="G529" s="44"/>
      <c r="H529" s="44"/>
      <c r="I529" s="44"/>
      <c r="J529" s="44"/>
      <c r="K529" s="44"/>
      <c r="L529" s="44"/>
      <c r="M529" s="44"/>
      <c r="N529" s="44"/>
      <c r="O529" s="44"/>
    </row>
    <row r="530" spans="1:15" ht="17.25" customHeight="1">
      <c r="A530" s="44"/>
      <c r="B530" s="44"/>
      <c r="C530" s="44"/>
      <c r="D530" s="44"/>
      <c r="E530" s="44"/>
      <c r="F530" s="44"/>
      <c r="G530" s="44"/>
      <c r="H530" s="44"/>
      <c r="I530" s="44"/>
      <c r="J530" s="44"/>
      <c r="K530" s="44"/>
      <c r="L530" s="44"/>
      <c r="M530" s="44"/>
      <c r="N530" s="44"/>
      <c r="O530" s="44"/>
    </row>
    <row r="531" spans="1:15" ht="17.25" customHeight="1">
      <c r="A531" s="44"/>
      <c r="B531" s="44"/>
      <c r="C531" s="44"/>
      <c r="D531" s="44"/>
      <c r="E531" s="44"/>
      <c r="F531" s="44"/>
      <c r="G531" s="44"/>
      <c r="H531" s="44"/>
      <c r="I531" s="44"/>
      <c r="J531" s="44"/>
      <c r="K531" s="44"/>
      <c r="L531" s="44"/>
      <c r="M531" s="44"/>
      <c r="N531" s="44"/>
      <c r="O531" s="44"/>
    </row>
    <row r="532" spans="1:15" ht="17.25" customHeight="1">
      <c r="A532" s="44"/>
      <c r="B532" s="44"/>
      <c r="C532" s="44"/>
      <c r="D532" s="44"/>
      <c r="E532" s="44"/>
      <c r="F532" s="44"/>
      <c r="G532" s="44"/>
      <c r="H532" s="44"/>
      <c r="I532" s="44"/>
      <c r="J532" s="44"/>
      <c r="K532" s="44"/>
      <c r="L532" s="44"/>
      <c r="M532" s="44"/>
      <c r="N532" s="44"/>
      <c r="O532" s="44"/>
    </row>
    <row r="533" spans="1:15" ht="17.25" customHeight="1">
      <c r="A533" s="44"/>
      <c r="B533" s="44"/>
      <c r="C533" s="44"/>
      <c r="D533" s="44"/>
      <c r="E533" s="44"/>
      <c r="F533" s="44"/>
      <c r="G533" s="44"/>
      <c r="H533" s="44"/>
      <c r="I533" s="44"/>
      <c r="J533" s="44"/>
      <c r="K533" s="44"/>
      <c r="L533" s="44"/>
      <c r="M533" s="44"/>
      <c r="N533" s="44"/>
      <c r="O533" s="44"/>
    </row>
    <row r="534" spans="1:15" ht="17.25" customHeight="1">
      <c r="A534" s="44"/>
      <c r="B534" s="44"/>
      <c r="C534" s="44"/>
      <c r="D534" s="44"/>
      <c r="E534" s="44"/>
      <c r="F534" s="44"/>
      <c r="G534" s="44"/>
      <c r="H534" s="44"/>
      <c r="I534" s="44"/>
      <c r="J534" s="44"/>
      <c r="K534" s="44"/>
      <c r="L534" s="44"/>
      <c r="M534" s="44"/>
      <c r="N534" s="44"/>
      <c r="O534" s="44"/>
    </row>
    <row r="535" spans="1:15" ht="17.25" customHeight="1">
      <c r="A535" s="44"/>
      <c r="B535" s="44"/>
      <c r="C535" s="44"/>
      <c r="D535" s="44"/>
      <c r="E535" s="44"/>
      <c r="F535" s="44"/>
      <c r="G535" s="44"/>
      <c r="H535" s="44"/>
      <c r="I535" s="44"/>
      <c r="J535" s="44"/>
      <c r="K535" s="44"/>
      <c r="L535" s="44"/>
      <c r="M535" s="44"/>
      <c r="N535" s="44"/>
      <c r="O535" s="44"/>
    </row>
    <row r="536" spans="1:15" ht="17.25" customHeight="1">
      <c r="A536" s="44"/>
      <c r="B536" s="44"/>
      <c r="C536" s="44"/>
      <c r="D536" s="44"/>
      <c r="E536" s="44"/>
      <c r="F536" s="44"/>
      <c r="G536" s="44"/>
      <c r="H536" s="44"/>
      <c r="I536" s="44"/>
      <c r="J536" s="44"/>
      <c r="K536" s="44"/>
      <c r="L536" s="44"/>
      <c r="M536" s="44"/>
      <c r="N536" s="44"/>
      <c r="O536" s="44"/>
    </row>
    <row r="537" spans="1:15" ht="17.25" customHeight="1">
      <c r="A537" s="44"/>
      <c r="B537" s="44"/>
      <c r="C537" s="44"/>
      <c r="D537" s="44"/>
      <c r="E537" s="44"/>
      <c r="F537" s="44"/>
      <c r="G537" s="44"/>
      <c r="H537" s="44"/>
      <c r="I537" s="44"/>
      <c r="J537" s="44"/>
      <c r="K537" s="44"/>
      <c r="L537" s="44"/>
      <c r="M537" s="44"/>
      <c r="N537" s="44"/>
      <c r="O537" s="44"/>
    </row>
    <row r="538" spans="1:15" ht="17.25" customHeight="1">
      <c r="A538" s="44"/>
      <c r="B538" s="44"/>
      <c r="C538" s="44"/>
      <c r="D538" s="44"/>
      <c r="E538" s="44"/>
      <c r="F538" s="44"/>
      <c r="G538" s="44"/>
      <c r="H538" s="44"/>
      <c r="I538" s="44"/>
      <c r="J538" s="44"/>
      <c r="K538" s="44"/>
      <c r="L538" s="44"/>
      <c r="M538" s="44"/>
      <c r="N538" s="44"/>
      <c r="O538" s="44"/>
    </row>
    <row r="539" spans="1:15" ht="17.25" customHeight="1">
      <c r="A539" s="44"/>
      <c r="B539" s="44"/>
      <c r="C539" s="44"/>
      <c r="D539" s="44"/>
      <c r="E539" s="44"/>
      <c r="F539" s="44"/>
      <c r="G539" s="44"/>
      <c r="H539" s="44"/>
      <c r="I539" s="44"/>
      <c r="J539" s="44"/>
      <c r="K539" s="44"/>
      <c r="L539" s="44"/>
      <c r="M539" s="44"/>
      <c r="N539" s="44"/>
      <c r="O539" s="44"/>
    </row>
    <row r="540" spans="1:15" ht="17.25" customHeight="1">
      <c r="A540" s="44"/>
      <c r="B540" s="44"/>
      <c r="C540" s="44"/>
      <c r="D540" s="44"/>
      <c r="E540" s="44"/>
      <c r="F540" s="44"/>
      <c r="G540" s="44"/>
      <c r="H540" s="44"/>
      <c r="I540" s="44"/>
      <c r="J540" s="44"/>
      <c r="K540" s="44"/>
      <c r="L540" s="44"/>
      <c r="M540" s="44"/>
      <c r="N540" s="44"/>
      <c r="O540" s="44"/>
    </row>
    <row r="541" spans="1:15" ht="17.25" customHeight="1">
      <c r="A541" s="44"/>
      <c r="B541" s="44"/>
      <c r="C541" s="44"/>
      <c r="D541" s="44"/>
      <c r="E541" s="44"/>
      <c r="F541" s="44"/>
      <c r="G541" s="44"/>
      <c r="H541" s="44"/>
      <c r="I541" s="44"/>
      <c r="J541" s="44"/>
      <c r="K541" s="44"/>
      <c r="L541" s="44"/>
      <c r="M541" s="44"/>
      <c r="N541" s="44"/>
      <c r="O541" s="44"/>
    </row>
    <row r="542" spans="1:15" ht="17.25" customHeight="1">
      <c r="A542" s="44"/>
      <c r="B542" s="44"/>
      <c r="C542" s="44"/>
      <c r="D542" s="44"/>
      <c r="E542" s="44"/>
      <c r="F542" s="44"/>
      <c r="G542" s="44"/>
      <c r="H542" s="44"/>
      <c r="I542" s="44"/>
      <c r="J542" s="44"/>
      <c r="K542" s="44"/>
      <c r="L542" s="44"/>
      <c r="M542" s="44"/>
      <c r="N542" s="44"/>
      <c r="O542" s="44"/>
    </row>
    <row r="543" spans="1:15" ht="17.25" customHeight="1">
      <c r="A543" s="44"/>
      <c r="B543" s="44"/>
      <c r="C543" s="44"/>
      <c r="D543" s="44"/>
      <c r="E543" s="44"/>
      <c r="F543" s="44"/>
      <c r="G543" s="44"/>
      <c r="H543" s="44"/>
      <c r="I543" s="44"/>
      <c r="J543" s="44"/>
      <c r="K543" s="44"/>
      <c r="L543" s="44"/>
      <c r="M543" s="44"/>
      <c r="N543" s="44"/>
      <c r="O543" s="44"/>
    </row>
    <row r="544" spans="1:15" ht="17.25" customHeight="1">
      <c r="A544" s="44"/>
      <c r="B544" s="44"/>
      <c r="C544" s="44"/>
      <c r="D544" s="44"/>
      <c r="E544" s="44"/>
      <c r="F544" s="44"/>
      <c r="G544" s="44"/>
      <c r="H544" s="44"/>
      <c r="I544" s="44"/>
      <c r="J544" s="44"/>
      <c r="K544" s="44"/>
      <c r="L544" s="44"/>
      <c r="M544" s="44"/>
      <c r="N544" s="44"/>
      <c r="O544" s="44"/>
    </row>
    <row r="545" spans="1:15" ht="17.25" customHeight="1">
      <c r="A545" s="44"/>
      <c r="B545" s="44"/>
      <c r="C545" s="44"/>
      <c r="D545" s="44"/>
      <c r="E545" s="44"/>
      <c r="F545" s="44"/>
      <c r="G545" s="44"/>
      <c r="H545" s="44"/>
      <c r="I545" s="44"/>
      <c r="J545" s="44"/>
      <c r="K545" s="44"/>
      <c r="L545" s="44"/>
      <c r="M545" s="44"/>
      <c r="N545" s="44"/>
      <c r="O545" s="44"/>
    </row>
    <row r="546" spans="1:15" ht="17.25" customHeight="1">
      <c r="A546" s="44"/>
      <c r="B546" s="44"/>
      <c r="C546" s="44"/>
      <c r="D546" s="44"/>
      <c r="E546" s="44"/>
      <c r="F546" s="44"/>
      <c r="G546" s="44"/>
      <c r="H546" s="44"/>
      <c r="I546" s="44"/>
      <c r="J546" s="44"/>
      <c r="K546" s="44"/>
      <c r="L546" s="44"/>
      <c r="M546" s="44"/>
      <c r="N546" s="44"/>
      <c r="O546" s="44"/>
    </row>
    <row r="547" spans="1:15" ht="17.25" customHeight="1">
      <c r="A547" s="44"/>
      <c r="B547" s="44"/>
      <c r="C547" s="44"/>
      <c r="D547" s="44"/>
      <c r="E547" s="44"/>
      <c r="F547" s="44"/>
      <c r="G547" s="44"/>
      <c r="H547" s="44"/>
      <c r="I547" s="44"/>
      <c r="J547" s="44"/>
      <c r="K547" s="44"/>
      <c r="L547" s="44"/>
      <c r="M547" s="44"/>
      <c r="N547" s="44"/>
      <c r="O547" s="44"/>
    </row>
    <row r="548" spans="1:15" ht="17.25" customHeight="1">
      <c r="A548" s="44"/>
      <c r="B548" s="44"/>
      <c r="C548" s="44"/>
      <c r="D548" s="44"/>
      <c r="E548" s="44"/>
      <c r="F548" s="44"/>
      <c r="G548" s="44"/>
      <c r="H548" s="44"/>
      <c r="I548" s="44"/>
      <c r="J548" s="44"/>
      <c r="K548" s="44"/>
      <c r="L548" s="44"/>
      <c r="M548" s="44"/>
      <c r="N548" s="44"/>
      <c r="O548" s="44"/>
    </row>
    <row r="549" spans="1:15" ht="17.25" customHeight="1">
      <c r="A549" s="44"/>
      <c r="B549" s="44"/>
      <c r="C549" s="44"/>
      <c r="D549" s="44"/>
      <c r="E549" s="44"/>
      <c r="F549" s="44"/>
      <c r="G549" s="44"/>
      <c r="H549" s="44"/>
      <c r="I549" s="44"/>
      <c r="J549" s="44"/>
      <c r="K549" s="44"/>
      <c r="L549" s="44"/>
      <c r="M549" s="44"/>
      <c r="N549" s="44"/>
      <c r="O549" s="44"/>
    </row>
    <row r="550" spans="1:15" ht="17.25" customHeight="1">
      <c r="A550" s="44"/>
      <c r="B550" s="44"/>
      <c r="C550" s="44"/>
      <c r="D550" s="44"/>
      <c r="E550" s="44"/>
      <c r="F550" s="44"/>
      <c r="G550" s="44"/>
      <c r="H550" s="44"/>
      <c r="I550" s="44"/>
      <c r="J550" s="44"/>
      <c r="K550" s="44"/>
      <c r="L550" s="44"/>
      <c r="M550" s="44"/>
      <c r="N550" s="44"/>
      <c r="O550" s="44"/>
    </row>
    <row r="551" spans="1:15" ht="17.25" customHeight="1">
      <c r="A551" s="44"/>
      <c r="B551" s="44"/>
      <c r="C551" s="44"/>
      <c r="D551" s="44"/>
      <c r="E551" s="44"/>
      <c r="F551" s="44"/>
      <c r="G551" s="44"/>
      <c r="H551" s="44"/>
      <c r="I551" s="44"/>
      <c r="J551" s="44"/>
      <c r="K551" s="44"/>
      <c r="L551" s="44"/>
      <c r="M551" s="44"/>
      <c r="N551" s="44"/>
      <c r="O551" s="44"/>
    </row>
    <row r="552" spans="1:15" ht="17.25" customHeight="1">
      <c r="A552" s="44"/>
      <c r="B552" s="44"/>
      <c r="C552" s="44"/>
      <c r="D552" s="44"/>
      <c r="E552" s="44"/>
      <c r="F552" s="44"/>
      <c r="G552" s="44"/>
      <c r="H552" s="44"/>
      <c r="I552" s="44"/>
      <c r="J552" s="44"/>
      <c r="K552" s="44"/>
      <c r="L552" s="44"/>
      <c r="M552" s="44"/>
      <c r="N552" s="44"/>
      <c r="O552" s="44"/>
    </row>
    <row r="553" spans="1:15" ht="17.25" customHeight="1">
      <c r="A553" s="44"/>
      <c r="B553" s="44"/>
      <c r="C553" s="44"/>
      <c r="D553" s="44"/>
      <c r="E553" s="44"/>
      <c r="F553" s="44"/>
      <c r="G553" s="44"/>
      <c r="H553" s="44"/>
      <c r="I553" s="44"/>
      <c r="J553" s="44"/>
      <c r="K553" s="44"/>
      <c r="L553" s="44"/>
      <c r="M553" s="44"/>
      <c r="N553" s="44"/>
      <c r="O553" s="44"/>
    </row>
    <row r="554" spans="1:15" ht="17.25" customHeight="1">
      <c r="A554" s="44"/>
      <c r="B554" s="44"/>
      <c r="C554" s="44"/>
      <c r="D554" s="44"/>
      <c r="E554" s="44"/>
      <c r="F554" s="44"/>
      <c r="G554" s="44"/>
      <c r="H554" s="44"/>
      <c r="I554" s="44"/>
      <c r="J554" s="44"/>
      <c r="K554" s="44"/>
      <c r="L554" s="44"/>
      <c r="M554" s="44"/>
      <c r="N554" s="44"/>
      <c r="O554" s="44"/>
    </row>
    <row r="555" spans="1:15" ht="17.25" customHeight="1">
      <c r="A555" s="44"/>
      <c r="B555" s="44"/>
      <c r="C555" s="44"/>
      <c r="D555" s="44"/>
      <c r="E555" s="44"/>
      <c r="F555" s="44"/>
      <c r="G555" s="44"/>
      <c r="H555" s="44"/>
      <c r="I555" s="44"/>
      <c r="J555" s="44"/>
      <c r="K555" s="44"/>
      <c r="L555" s="44"/>
      <c r="M555" s="44"/>
      <c r="N555" s="44"/>
      <c r="O555" s="44"/>
    </row>
    <row r="556" spans="1:15" ht="17.25" customHeight="1">
      <c r="A556" s="44"/>
      <c r="B556" s="44"/>
      <c r="C556" s="44"/>
      <c r="D556" s="44"/>
      <c r="E556" s="44"/>
      <c r="F556" s="44"/>
      <c r="G556" s="44"/>
      <c r="H556" s="44"/>
      <c r="I556" s="44"/>
      <c r="J556" s="44"/>
      <c r="K556" s="44"/>
      <c r="L556" s="44"/>
      <c r="M556" s="44"/>
      <c r="N556" s="44"/>
      <c r="O556" s="44"/>
    </row>
    <row r="557" spans="1:15" ht="17.25" customHeight="1">
      <c r="A557" s="44"/>
      <c r="B557" s="44"/>
      <c r="C557" s="44"/>
      <c r="D557" s="44"/>
      <c r="E557" s="44"/>
      <c r="F557" s="44"/>
      <c r="G557" s="44"/>
      <c r="H557" s="44"/>
      <c r="I557" s="44"/>
      <c r="J557" s="44"/>
      <c r="K557" s="44"/>
      <c r="L557" s="44"/>
      <c r="M557" s="44"/>
      <c r="N557" s="44"/>
      <c r="O557" s="44"/>
    </row>
    <row r="558" spans="1:15" ht="17.25" customHeight="1">
      <c r="A558" s="44"/>
      <c r="B558" s="44"/>
      <c r="C558" s="44"/>
      <c r="D558" s="44"/>
      <c r="E558" s="44"/>
      <c r="F558" s="44"/>
      <c r="G558" s="44"/>
      <c r="H558" s="44"/>
      <c r="I558" s="44"/>
      <c r="J558" s="44"/>
      <c r="K558" s="44"/>
      <c r="L558" s="44"/>
      <c r="M558" s="44"/>
      <c r="N558" s="44"/>
      <c r="O558" s="44"/>
    </row>
    <row r="559" spans="1:15" ht="17.25" customHeight="1">
      <c r="A559" s="44"/>
      <c r="B559" s="44"/>
      <c r="C559" s="44"/>
      <c r="D559" s="44"/>
      <c r="E559" s="44"/>
      <c r="F559" s="44"/>
      <c r="G559" s="44"/>
      <c r="H559" s="44"/>
      <c r="I559" s="44"/>
      <c r="J559" s="44"/>
      <c r="K559" s="44"/>
      <c r="L559" s="44"/>
      <c r="M559" s="44"/>
      <c r="N559" s="44"/>
      <c r="O559" s="44"/>
    </row>
    <row r="560" spans="1:15" ht="17.25" customHeight="1">
      <c r="A560" s="44"/>
      <c r="B560" s="44"/>
      <c r="C560" s="44"/>
      <c r="D560" s="44"/>
      <c r="E560" s="44"/>
      <c r="F560" s="44"/>
      <c r="G560" s="44"/>
      <c r="H560" s="44"/>
      <c r="I560" s="44"/>
      <c r="J560" s="44"/>
      <c r="K560" s="44"/>
      <c r="L560" s="44"/>
      <c r="M560" s="44"/>
      <c r="N560" s="44"/>
      <c r="O560" s="44"/>
    </row>
    <row r="561" spans="1:15" ht="17.25" customHeight="1">
      <c r="A561" s="44"/>
      <c r="B561" s="44"/>
      <c r="C561" s="44"/>
      <c r="D561" s="44"/>
      <c r="E561" s="44"/>
      <c r="F561" s="44"/>
      <c r="G561" s="44"/>
      <c r="H561" s="44"/>
      <c r="I561" s="44"/>
      <c r="J561" s="44"/>
      <c r="K561" s="44"/>
      <c r="L561" s="44"/>
      <c r="M561" s="44"/>
      <c r="N561" s="44"/>
      <c r="O561" s="44"/>
    </row>
    <row r="562" spans="1:15" ht="17.25" customHeight="1">
      <c r="A562" s="44"/>
      <c r="B562" s="44"/>
      <c r="C562" s="44"/>
      <c r="D562" s="44"/>
      <c r="E562" s="44"/>
      <c r="F562" s="44"/>
      <c r="G562" s="44"/>
      <c r="H562" s="44"/>
      <c r="I562" s="44"/>
      <c r="J562" s="44"/>
      <c r="K562" s="44"/>
      <c r="L562" s="44"/>
      <c r="M562" s="44"/>
      <c r="N562" s="44"/>
      <c r="O562" s="44"/>
    </row>
    <row r="563" spans="1:15" ht="17.25" customHeight="1">
      <c r="A563" s="44"/>
      <c r="B563" s="44"/>
      <c r="C563" s="44"/>
      <c r="D563" s="44"/>
      <c r="E563" s="44"/>
      <c r="F563" s="44"/>
      <c r="G563" s="44"/>
      <c r="H563" s="44"/>
      <c r="I563" s="44"/>
      <c r="J563" s="44"/>
      <c r="K563" s="44"/>
      <c r="L563" s="44"/>
      <c r="M563" s="44"/>
      <c r="N563" s="44"/>
      <c r="O563" s="44"/>
    </row>
    <row r="564" spans="1:15" ht="17.25" customHeight="1">
      <c r="A564" s="44"/>
      <c r="B564" s="44"/>
      <c r="C564" s="44"/>
      <c r="D564" s="44"/>
      <c r="E564" s="44"/>
      <c r="F564" s="44"/>
      <c r="G564" s="44"/>
      <c r="H564" s="44"/>
      <c r="I564" s="44"/>
      <c r="J564" s="44"/>
      <c r="K564" s="44"/>
      <c r="L564" s="44"/>
      <c r="M564" s="44"/>
      <c r="N564" s="44"/>
      <c r="O564" s="44"/>
    </row>
    <row r="565" spans="1:15" ht="17.25" customHeight="1">
      <c r="A565" s="44"/>
      <c r="B565" s="44"/>
      <c r="C565" s="44"/>
      <c r="D565" s="44"/>
      <c r="E565" s="44"/>
      <c r="F565" s="44"/>
      <c r="G565" s="44"/>
      <c r="H565" s="44"/>
      <c r="I565" s="44"/>
      <c r="J565" s="44"/>
      <c r="K565" s="44"/>
      <c r="L565" s="44"/>
      <c r="M565" s="44"/>
      <c r="N565" s="44"/>
      <c r="O565" s="44"/>
    </row>
    <row r="566" spans="1:15" ht="17.25" customHeight="1">
      <c r="A566" s="44"/>
      <c r="B566" s="44"/>
      <c r="C566" s="44"/>
      <c r="D566" s="44"/>
      <c r="E566" s="44"/>
      <c r="F566" s="44"/>
      <c r="G566" s="44"/>
      <c r="H566" s="44"/>
      <c r="I566" s="44"/>
      <c r="J566" s="44"/>
      <c r="K566" s="44"/>
      <c r="L566" s="44"/>
      <c r="M566" s="44"/>
      <c r="N566" s="44"/>
      <c r="O566" s="44"/>
    </row>
    <row r="567" spans="1:15" ht="17.25" customHeight="1">
      <c r="A567" s="44"/>
      <c r="B567" s="44"/>
      <c r="C567" s="44"/>
      <c r="D567" s="44"/>
      <c r="E567" s="44"/>
      <c r="F567" s="44"/>
      <c r="G567" s="44"/>
      <c r="H567" s="44"/>
      <c r="I567" s="44"/>
      <c r="J567" s="44"/>
      <c r="K567" s="44"/>
      <c r="L567" s="44"/>
      <c r="M567" s="44"/>
      <c r="N567" s="44"/>
      <c r="O567" s="44"/>
    </row>
    <row r="568" spans="1:15" ht="17.25" customHeight="1">
      <c r="A568" s="44"/>
      <c r="B568" s="44"/>
      <c r="C568" s="44"/>
      <c r="D568" s="44"/>
      <c r="E568" s="44"/>
      <c r="F568" s="44"/>
      <c r="G568" s="44"/>
      <c r="H568" s="44"/>
      <c r="I568" s="44"/>
      <c r="J568" s="44"/>
      <c r="K568" s="44"/>
      <c r="L568" s="44"/>
      <c r="M568" s="44"/>
      <c r="N568" s="44"/>
      <c r="O568" s="44"/>
    </row>
    <row r="569" spans="1:15" ht="17.25" customHeight="1">
      <c r="A569" s="44"/>
      <c r="B569" s="44"/>
      <c r="C569" s="44"/>
      <c r="D569" s="44"/>
      <c r="E569" s="44"/>
      <c r="F569" s="44"/>
      <c r="G569" s="44"/>
      <c r="H569" s="44"/>
      <c r="I569" s="44"/>
      <c r="J569" s="44"/>
      <c r="K569" s="44"/>
      <c r="L569" s="44"/>
      <c r="M569" s="44"/>
      <c r="N569" s="44"/>
      <c r="O569" s="44"/>
    </row>
    <row r="570" spans="1:15" ht="17.25" customHeight="1">
      <c r="A570" s="44"/>
      <c r="B570" s="44"/>
      <c r="C570" s="44"/>
      <c r="D570" s="44"/>
      <c r="E570" s="44"/>
      <c r="F570" s="44"/>
      <c r="G570" s="44"/>
      <c r="H570" s="44"/>
      <c r="I570" s="44"/>
      <c r="J570" s="44"/>
      <c r="K570" s="44"/>
      <c r="L570" s="44"/>
      <c r="M570" s="44"/>
      <c r="N570" s="44"/>
      <c r="O570" s="44"/>
    </row>
    <row r="571" spans="1:15" ht="17.25" customHeight="1">
      <c r="A571" s="44"/>
      <c r="B571" s="44"/>
      <c r="C571" s="44"/>
      <c r="D571" s="44"/>
      <c r="E571" s="44"/>
      <c r="F571" s="44"/>
      <c r="G571" s="44"/>
      <c r="H571" s="44"/>
      <c r="I571" s="44"/>
      <c r="J571" s="44"/>
      <c r="K571" s="44"/>
      <c r="L571" s="44"/>
      <c r="M571" s="44"/>
      <c r="N571" s="44"/>
      <c r="O571" s="44"/>
    </row>
    <row r="572" spans="1:15" ht="17.25" customHeight="1">
      <c r="A572" s="44"/>
      <c r="B572" s="44"/>
      <c r="C572" s="44"/>
      <c r="D572" s="44"/>
      <c r="E572" s="44"/>
      <c r="F572" s="44"/>
      <c r="G572" s="44"/>
      <c r="H572" s="44"/>
      <c r="I572" s="44"/>
      <c r="J572" s="44"/>
      <c r="K572" s="44"/>
      <c r="L572" s="44"/>
      <c r="M572" s="44"/>
      <c r="N572" s="44"/>
      <c r="O572" s="44"/>
    </row>
    <row r="573" spans="1:15" ht="17.25" customHeight="1">
      <c r="A573" s="44"/>
      <c r="B573" s="44"/>
      <c r="C573" s="44"/>
      <c r="D573" s="44"/>
      <c r="E573" s="44"/>
      <c r="F573" s="44"/>
      <c r="G573" s="44"/>
      <c r="H573" s="44"/>
      <c r="I573" s="44"/>
      <c r="J573" s="44"/>
      <c r="K573" s="44"/>
      <c r="L573" s="44"/>
      <c r="M573" s="44"/>
      <c r="N573" s="44"/>
      <c r="O573" s="44"/>
    </row>
    <row r="574" spans="1:15" ht="17.25" customHeight="1">
      <c r="A574" s="44"/>
      <c r="B574" s="44"/>
      <c r="C574" s="44"/>
      <c r="D574" s="44"/>
      <c r="E574" s="44"/>
      <c r="F574" s="44"/>
      <c r="G574" s="44"/>
      <c r="H574" s="44"/>
      <c r="I574" s="44"/>
      <c r="J574" s="44"/>
      <c r="K574" s="44"/>
      <c r="L574" s="44"/>
      <c r="M574" s="44"/>
      <c r="N574" s="44"/>
      <c r="O574" s="44"/>
    </row>
    <row r="575" spans="1:15" ht="17.25" customHeight="1">
      <c r="A575" s="44"/>
      <c r="B575" s="44"/>
      <c r="C575" s="44"/>
      <c r="D575" s="44"/>
      <c r="E575" s="44"/>
      <c r="F575" s="44"/>
      <c r="G575" s="44"/>
      <c r="H575" s="44"/>
      <c r="I575" s="44"/>
      <c r="J575" s="44"/>
      <c r="K575" s="44"/>
      <c r="L575" s="44"/>
      <c r="M575" s="44"/>
      <c r="N575" s="44"/>
      <c r="O575" s="44"/>
    </row>
    <row r="576" spans="1:15" ht="17.25" customHeight="1">
      <c r="A576" s="44"/>
      <c r="B576" s="44"/>
      <c r="C576" s="44"/>
      <c r="D576" s="44"/>
      <c r="E576" s="44"/>
      <c r="F576" s="44"/>
      <c r="G576" s="44"/>
      <c r="H576" s="44"/>
      <c r="I576" s="44"/>
      <c r="J576" s="44"/>
      <c r="K576" s="44"/>
      <c r="L576" s="44"/>
      <c r="M576" s="44"/>
      <c r="N576" s="44"/>
      <c r="O576" s="44"/>
    </row>
    <row r="577" spans="1:15" ht="17.25" customHeight="1">
      <c r="A577" s="44"/>
      <c r="B577" s="44"/>
      <c r="C577" s="44"/>
      <c r="D577" s="44"/>
      <c r="E577" s="44"/>
      <c r="F577" s="44"/>
      <c r="G577" s="44"/>
      <c r="H577" s="44"/>
      <c r="I577" s="44"/>
      <c r="J577" s="44"/>
      <c r="K577" s="44"/>
      <c r="L577" s="44"/>
      <c r="M577" s="44"/>
      <c r="N577" s="44"/>
      <c r="O577" s="44"/>
    </row>
    <row r="578" spans="1:15" ht="17.25" customHeight="1">
      <c r="A578" s="44"/>
      <c r="B578" s="44"/>
      <c r="C578" s="44"/>
      <c r="D578" s="44"/>
      <c r="E578" s="44"/>
      <c r="F578" s="44"/>
      <c r="G578" s="44"/>
      <c r="H578" s="44"/>
      <c r="I578" s="44"/>
      <c r="J578" s="44"/>
      <c r="K578" s="44"/>
      <c r="L578" s="44"/>
      <c r="M578" s="44"/>
      <c r="N578" s="44"/>
      <c r="O578" s="44"/>
    </row>
    <row r="579" spans="1:15" ht="17.25" customHeight="1">
      <c r="A579" s="44"/>
      <c r="B579" s="44"/>
      <c r="C579" s="44"/>
      <c r="D579" s="44"/>
      <c r="E579" s="44"/>
      <c r="F579" s="44"/>
      <c r="G579" s="44"/>
      <c r="H579" s="44"/>
      <c r="I579" s="44"/>
      <c r="J579" s="44"/>
      <c r="K579" s="44"/>
      <c r="L579" s="44"/>
      <c r="M579" s="44"/>
      <c r="N579" s="44"/>
      <c r="O579" s="44"/>
    </row>
    <row r="580" spans="1:15" ht="17.25" customHeight="1">
      <c r="A580" s="44"/>
      <c r="B580" s="44"/>
      <c r="C580" s="44"/>
      <c r="D580" s="44"/>
      <c r="E580" s="44"/>
      <c r="F580" s="44"/>
      <c r="G580" s="44"/>
      <c r="H580" s="44"/>
      <c r="I580" s="44"/>
      <c r="J580" s="44"/>
      <c r="K580" s="44"/>
      <c r="L580" s="44"/>
      <c r="M580" s="44"/>
      <c r="N580" s="44"/>
      <c r="O580" s="44"/>
    </row>
    <row r="581" spans="1:15" ht="17.25" customHeight="1">
      <c r="A581" s="44"/>
      <c r="B581" s="44"/>
      <c r="C581" s="44"/>
      <c r="D581" s="44"/>
      <c r="E581" s="44"/>
      <c r="F581" s="44"/>
      <c r="G581" s="44"/>
      <c r="H581" s="44"/>
      <c r="I581" s="44"/>
      <c r="J581" s="44"/>
      <c r="K581" s="44"/>
      <c r="L581" s="44"/>
      <c r="M581" s="44"/>
      <c r="N581" s="44"/>
      <c r="O581" s="44"/>
    </row>
    <row r="582" spans="1:15" ht="17.25" customHeight="1">
      <c r="A582" s="44"/>
      <c r="B582" s="44"/>
      <c r="C582" s="44"/>
      <c r="D582" s="44"/>
      <c r="E582" s="44"/>
      <c r="F582" s="44"/>
      <c r="G582" s="44"/>
      <c r="H582" s="44"/>
      <c r="I582" s="44"/>
      <c r="J582" s="44"/>
      <c r="K582" s="44"/>
      <c r="L582" s="44"/>
      <c r="M582" s="44"/>
      <c r="N582" s="44"/>
      <c r="O582" s="44"/>
    </row>
    <row r="583" spans="1:15" ht="17.25" customHeight="1">
      <c r="A583" s="44"/>
      <c r="B583" s="44"/>
      <c r="C583" s="44"/>
      <c r="D583" s="44"/>
      <c r="E583" s="44"/>
      <c r="F583" s="44"/>
      <c r="G583" s="44"/>
      <c r="H583" s="44"/>
      <c r="I583" s="44"/>
      <c r="J583" s="44"/>
      <c r="K583" s="44"/>
      <c r="L583" s="44"/>
      <c r="M583" s="44"/>
      <c r="N583" s="44"/>
      <c r="O583" s="44"/>
    </row>
    <row r="584" spans="1:15" ht="17.25" customHeight="1">
      <c r="A584" s="44"/>
      <c r="B584" s="44"/>
      <c r="C584" s="44"/>
      <c r="D584" s="44"/>
      <c r="E584" s="44"/>
      <c r="F584" s="44"/>
      <c r="G584" s="44"/>
      <c r="H584" s="44"/>
      <c r="I584" s="44"/>
      <c r="J584" s="44"/>
      <c r="K584" s="44"/>
      <c r="L584" s="44"/>
      <c r="M584" s="44"/>
      <c r="N584" s="44"/>
      <c r="O584" s="44"/>
    </row>
    <row r="585" spans="1:15" ht="17.25" customHeight="1">
      <c r="A585" s="44"/>
      <c r="B585" s="44"/>
      <c r="C585" s="44"/>
      <c r="D585" s="44"/>
      <c r="E585" s="44"/>
      <c r="F585" s="44"/>
      <c r="G585" s="44"/>
      <c r="H585" s="44"/>
      <c r="I585" s="44"/>
      <c r="J585" s="44"/>
      <c r="K585" s="44"/>
      <c r="L585" s="44"/>
      <c r="M585" s="44"/>
      <c r="N585" s="44"/>
      <c r="O585" s="44"/>
    </row>
    <row r="586" spans="1:15" ht="17.25" customHeight="1">
      <c r="A586" s="44"/>
      <c r="B586" s="44"/>
      <c r="C586" s="44"/>
      <c r="D586" s="44"/>
      <c r="E586" s="44"/>
      <c r="F586" s="44"/>
      <c r="G586" s="44"/>
      <c r="H586" s="44"/>
      <c r="I586" s="44"/>
      <c r="J586" s="44"/>
      <c r="K586" s="44"/>
      <c r="L586" s="44"/>
      <c r="M586" s="44"/>
      <c r="N586" s="44"/>
      <c r="O586" s="44"/>
    </row>
    <row r="587" spans="1:15" ht="17.25" customHeight="1">
      <c r="A587" s="44"/>
      <c r="B587" s="44"/>
      <c r="C587" s="44"/>
      <c r="D587" s="44"/>
      <c r="E587" s="44"/>
      <c r="F587" s="44"/>
      <c r="G587" s="44"/>
      <c r="H587" s="44"/>
      <c r="I587" s="44"/>
      <c r="J587" s="44"/>
      <c r="K587" s="44"/>
      <c r="L587" s="44"/>
      <c r="M587" s="44"/>
      <c r="N587" s="44"/>
      <c r="O587" s="44"/>
    </row>
    <row r="588" spans="1:15" ht="17.25" customHeight="1">
      <c r="A588" s="44"/>
      <c r="B588" s="44"/>
      <c r="C588" s="44"/>
      <c r="D588" s="44"/>
      <c r="E588" s="44"/>
      <c r="F588" s="44"/>
      <c r="G588" s="44"/>
      <c r="H588" s="44"/>
      <c r="I588" s="44"/>
      <c r="J588" s="44"/>
      <c r="K588" s="44"/>
      <c r="L588" s="44"/>
      <c r="M588" s="44"/>
      <c r="N588" s="44"/>
      <c r="O588" s="44"/>
    </row>
    <row r="589" spans="1:15" ht="17.25" customHeight="1">
      <c r="A589" s="44"/>
      <c r="B589" s="44"/>
      <c r="C589" s="44"/>
      <c r="D589" s="44"/>
      <c r="E589" s="44"/>
      <c r="F589" s="44"/>
      <c r="G589" s="44"/>
      <c r="H589" s="44"/>
      <c r="I589" s="44"/>
      <c r="J589" s="44"/>
      <c r="K589" s="44"/>
      <c r="L589" s="44"/>
      <c r="M589" s="44"/>
      <c r="N589" s="44"/>
      <c r="O589" s="44"/>
    </row>
    <row r="590" spans="1:15" ht="17.25" customHeight="1">
      <c r="A590" s="44"/>
      <c r="B590" s="44"/>
      <c r="C590" s="44"/>
      <c r="D590" s="44"/>
      <c r="E590" s="44"/>
      <c r="F590" s="44"/>
      <c r="G590" s="44"/>
      <c r="H590" s="44"/>
      <c r="I590" s="44"/>
      <c r="J590" s="44"/>
      <c r="K590" s="44"/>
      <c r="L590" s="44"/>
      <c r="M590" s="44"/>
      <c r="N590" s="44"/>
      <c r="O590" s="44"/>
    </row>
    <row r="591" spans="1:15" ht="17.25" customHeight="1">
      <c r="A591" s="44"/>
      <c r="B591" s="44"/>
      <c r="C591" s="44"/>
      <c r="D591" s="44"/>
      <c r="E591" s="44"/>
      <c r="F591" s="44"/>
      <c r="G591" s="44"/>
      <c r="H591" s="44"/>
      <c r="I591" s="44"/>
      <c r="J591" s="44"/>
      <c r="K591" s="44"/>
      <c r="L591" s="44"/>
      <c r="M591" s="44"/>
      <c r="N591" s="44"/>
      <c r="O591" s="44"/>
    </row>
    <row r="592" spans="1:15" ht="17.25" customHeight="1">
      <c r="A592" s="44"/>
      <c r="B592" s="44"/>
      <c r="C592" s="44"/>
      <c r="D592" s="44"/>
      <c r="E592" s="44"/>
      <c r="F592" s="44"/>
      <c r="G592" s="44"/>
      <c r="H592" s="44"/>
      <c r="I592" s="44"/>
      <c r="J592" s="44"/>
      <c r="K592" s="44"/>
      <c r="L592" s="44"/>
      <c r="M592" s="44"/>
      <c r="N592" s="44"/>
      <c r="O592" s="44"/>
    </row>
    <row r="593" spans="1:15" ht="17.25" customHeight="1">
      <c r="A593" s="44"/>
      <c r="B593" s="44"/>
      <c r="C593" s="44"/>
      <c r="D593" s="44"/>
      <c r="E593" s="44"/>
      <c r="F593" s="44"/>
      <c r="G593" s="44"/>
      <c r="H593" s="44"/>
      <c r="I593" s="44"/>
      <c r="J593" s="44"/>
      <c r="K593" s="44"/>
      <c r="L593" s="44"/>
      <c r="M593" s="44"/>
      <c r="N593" s="44"/>
      <c r="O593" s="44"/>
    </row>
    <row r="594" spans="1:15" ht="17.25" customHeight="1">
      <c r="A594" s="44"/>
      <c r="B594" s="44"/>
      <c r="C594" s="44"/>
      <c r="D594" s="44"/>
      <c r="E594" s="44"/>
      <c r="F594" s="44"/>
      <c r="G594" s="44"/>
      <c r="H594" s="44"/>
      <c r="I594" s="44"/>
      <c r="J594" s="44"/>
      <c r="K594" s="44"/>
      <c r="L594" s="44"/>
      <c r="M594" s="44"/>
      <c r="N594" s="44"/>
      <c r="O594" s="44"/>
    </row>
    <row r="595" spans="1:15" ht="17.25" customHeight="1">
      <c r="A595" s="44"/>
      <c r="B595" s="44"/>
      <c r="C595" s="44"/>
      <c r="D595" s="44"/>
      <c r="E595" s="44"/>
      <c r="F595" s="44"/>
      <c r="G595" s="44"/>
      <c r="H595" s="44"/>
      <c r="I595" s="44"/>
      <c r="J595" s="44"/>
      <c r="K595" s="44"/>
      <c r="L595" s="44"/>
      <c r="M595" s="44"/>
      <c r="N595" s="44"/>
      <c r="O595" s="44"/>
    </row>
    <row r="596" spans="1:15" ht="17.25" customHeight="1">
      <c r="A596" s="44"/>
      <c r="B596" s="44"/>
      <c r="C596" s="44"/>
      <c r="D596" s="44"/>
      <c r="E596" s="44"/>
      <c r="F596" s="44"/>
      <c r="G596" s="44"/>
      <c r="H596" s="44"/>
      <c r="I596" s="44"/>
      <c r="J596" s="44"/>
      <c r="K596" s="44"/>
      <c r="L596" s="44"/>
      <c r="M596" s="44"/>
      <c r="N596" s="44"/>
      <c r="O596" s="44"/>
    </row>
    <row r="597" spans="1:15" ht="17.25" customHeight="1">
      <c r="A597" s="44"/>
      <c r="B597" s="44"/>
      <c r="C597" s="44"/>
      <c r="D597" s="44"/>
      <c r="E597" s="44"/>
      <c r="F597" s="44"/>
      <c r="G597" s="44"/>
      <c r="H597" s="44"/>
      <c r="I597" s="44"/>
      <c r="J597" s="44"/>
      <c r="K597" s="44"/>
      <c r="L597" s="44"/>
      <c r="M597" s="44"/>
      <c r="N597" s="44"/>
      <c r="O597" s="44"/>
    </row>
    <row r="598" spans="1:15" ht="17.25" customHeight="1">
      <c r="A598" s="44"/>
      <c r="B598" s="44"/>
      <c r="C598" s="44"/>
      <c r="D598" s="44"/>
      <c r="E598" s="44"/>
      <c r="F598" s="44"/>
      <c r="G598" s="44"/>
      <c r="H598" s="44"/>
      <c r="I598" s="44"/>
      <c r="J598" s="44"/>
      <c r="K598" s="44"/>
      <c r="L598" s="44"/>
      <c r="M598" s="44"/>
      <c r="N598" s="44"/>
      <c r="O598" s="44"/>
    </row>
    <row r="599" spans="1:15" ht="17.25" customHeight="1">
      <c r="A599" s="44"/>
      <c r="B599" s="44"/>
      <c r="C599" s="44"/>
      <c r="D599" s="44"/>
      <c r="E599" s="44"/>
      <c r="F599" s="44"/>
      <c r="G599" s="44"/>
      <c r="H599" s="44"/>
      <c r="I599" s="44"/>
      <c r="J599" s="44"/>
      <c r="K599" s="44"/>
      <c r="L599" s="44"/>
      <c r="M599" s="44"/>
      <c r="N599" s="44"/>
      <c r="O599" s="44"/>
    </row>
    <row r="600" spans="1:15" ht="17.25" customHeight="1">
      <c r="A600" s="44"/>
      <c r="B600" s="44"/>
      <c r="C600" s="44"/>
      <c r="D600" s="44"/>
      <c r="E600" s="44"/>
      <c r="F600" s="44"/>
      <c r="G600" s="44"/>
      <c r="H600" s="44"/>
      <c r="I600" s="44"/>
      <c r="J600" s="44"/>
      <c r="K600" s="44"/>
      <c r="L600" s="44"/>
      <c r="M600" s="44"/>
      <c r="N600" s="44"/>
      <c r="O600" s="44"/>
    </row>
    <row r="601" spans="1:15" ht="17.25" customHeight="1">
      <c r="A601" s="44"/>
      <c r="B601" s="44"/>
      <c r="C601" s="44"/>
      <c r="D601" s="44"/>
      <c r="E601" s="44"/>
      <c r="F601" s="44"/>
      <c r="G601" s="44"/>
      <c r="H601" s="44"/>
      <c r="I601" s="44"/>
      <c r="J601" s="44"/>
      <c r="K601" s="44"/>
      <c r="L601" s="44"/>
      <c r="M601" s="44"/>
      <c r="N601" s="44"/>
      <c r="O601" s="44"/>
    </row>
    <row r="602" spans="1:15" ht="17.25" customHeight="1">
      <c r="A602" s="44"/>
      <c r="B602" s="44"/>
      <c r="C602" s="44"/>
      <c r="D602" s="44"/>
      <c r="E602" s="44"/>
      <c r="F602" s="44"/>
      <c r="G602" s="44"/>
      <c r="H602" s="44"/>
      <c r="I602" s="44"/>
      <c r="J602" s="44"/>
      <c r="K602" s="44"/>
      <c r="L602" s="44"/>
      <c r="M602" s="44"/>
      <c r="N602" s="44"/>
      <c r="O602" s="44"/>
    </row>
    <row r="603" spans="1:15" ht="17.25" customHeight="1">
      <c r="A603" s="44"/>
      <c r="B603" s="44"/>
      <c r="C603" s="44"/>
      <c r="D603" s="44"/>
      <c r="E603" s="44"/>
      <c r="F603" s="44"/>
      <c r="G603" s="44"/>
      <c r="H603" s="44"/>
      <c r="I603" s="44"/>
      <c r="J603" s="44"/>
      <c r="K603" s="44"/>
      <c r="L603" s="44"/>
      <c r="M603" s="44"/>
      <c r="N603" s="44"/>
      <c r="O603" s="44"/>
    </row>
    <row r="604" spans="1:15" ht="17.25" customHeight="1">
      <c r="A604" s="44"/>
      <c r="B604" s="44"/>
      <c r="C604" s="44"/>
      <c r="D604" s="44"/>
      <c r="E604" s="44"/>
      <c r="F604" s="44"/>
      <c r="G604" s="44"/>
      <c r="H604" s="44"/>
      <c r="I604" s="44"/>
      <c r="J604" s="44"/>
      <c r="K604" s="44"/>
      <c r="L604" s="44"/>
      <c r="M604" s="44"/>
      <c r="N604" s="44"/>
      <c r="O604" s="44"/>
    </row>
    <row r="605" spans="1:15" ht="17.25" customHeight="1">
      <c r="A605" s="44"/>
      <c r="B605" s="44"/>
      <c r="C605" s="44"/>
      <c r="D605" s="44"/>
      <c r="E605" s="44"/>
      <c r="F605" s="44"/>
      <c r="G605" s="44"/>
      <c r="H605" s="44"/>
      <c r="I605" s="44"/>
      <c r="J605" s="44"/>
      <c r="K605" s="44"/>
      <c r="L605" s="44"/>
      <c r="M605" s="44"/>
      <c r="N605" s="44"/>
      <c r="O605" s="44"/>
    </row>
    <row r="606" spans="1:15" ht="17.25" customHeight="1">
      <c r="A606" s="44"/>
      <c r="B606" s="44"/>
      <c r="C606" s="44"/>
      <c r="D606" s="44"/>
      <c r="E606" s="44"/>
      <c r="F606" s="44"/>
      <c r="G606" s="44"/>
      <c r="H606" s="44"/>
      <c r="I606" s="44"/>
      <c r="J606" s="44"/>
      <c r="K606" s="44"/>
      <c r="L606" s="44"/>
      <c r="M606" s="44"/>
      <c r="N606" s="44"/>
      <c r="O606" s="44"/>
    </row>
    <row r="607" spans="1:15" ht="17.25" customHeight="1">
      <c r="A607" s="44"/>
      <c r="B607" s="44"/>
      <c r="C607" s="44"/>
      <c r="D607" s="44"/>
      <c r="E607" s="44"/>
      <c r="F607" s="44"/>
      <c r="G607" s="44"/>
      <c r="H607" s="44"/>
      <c r="I607" s="44"/>
      <c r="J607" s="44"/>
      <c r="K607" s="44"/>
      <c r="L607" s="44"/>
      <c r="M607" s="44"/>
      <c r="N607" s="44"/>
      <c r="O607" s="44"/>
    </row>
    <row r="608" spans="1:15" ht="17.25" customHeight="1">
      <c r="A608" s="44"/>
      <c r="B608" s="44"/>
      <c r="C608" s="44"/>
      <c r="D608" s="44"/>
      <c r="E608" s="44"/>
      <c r="F608" s="44"/>
      <c r="G608" s="44"/>
      <c r="H608" s="44"/>
      <c r="I608" s="44"/>
      <c r="J608" s="44"/>
      <c r="K608" s="44"/>
      <c r="L608" s="44"/>
      <c r="M608" s="44"/>
      <c r="N608" s="44"/>
      <c r="O608" s="44"/>
    </row>
    <row r="609" spans="1:15" ht="17.25" customHeight="1">
      <c r="A609" s="44"/>
      <c r="B609" s="44"/>
      <c r="C609" s="44"/>
      <c r="D609" s="44"/>
      <c r="E609" s="44"/>
      <c r="F609" s="44"/>
      <c r="G609" s="44"/>
      <c r="H609" s="44"/>
      <c r="I609" s="44"/>
      <c r="J609" s="44"/>
      <c r="K609" s="44"/>
      <c r="L609" s="44"/>
      <c r="M609" s="44"/>
      <c r="N609" s="44"/>
      <c r="O609" s="44"/>
    </row>
    <row r="610" spans="1:15" ht="17.25" customHeight="1">
      <c r="A610" s="44"/>
      <c r="B610" s="44"/>
      <c r="C610" s="44"/>
      <c r="D610" s="44"/>
      <c r="E610" s="44"/>
      <c r="F610" s="44"/>
      <c r="G610" s="44"/>
      <c r="H610" s="44"/>
      <c r="I610" s="44"/>
      <c r="J610" s="44"/>
      <c r="K610" s="44"/>
      <c r="L610" s="44"/>
      <c r="M610" s="44"/>
      <c r="N610" s="44"/>
      <c r="O610" s="44"/>
    </row>
    <row r="611" spans="1:15" ht="17.25" customHeight="1">
      <c r="A611" s="44"/>
      <c r="B611" s="44"/>
      <c r="C611" s="44"/>
      <c r="D611" s="44"/>
      <c r="E611" s="44"/>
      <c r="F611" s="44"/>
      <c r="G611" s="44"/>
      <c r="H611" s="44"/>
      <c r="I611" s="44"/>
      <c r="J611" s="44"/>
      <c r="K611" s="44"/>
      <c r="L611" s="44"/>
      <c r="M611" s="44"/>
      <c r="N611" s="44"/>
      <c r="O611" s="44"/>
    </row>
    <row r="612" spans="1:15" ht="17.25" customHeight="1">
      <c r="A612" s="44"/>
      <c r="B612" s="44"/>
      <c r="C612" s="44"/>
      <c r="D612" s="44"/>
      <c r="E612" s="44"/>
      <c r="F612" s="44"/>
      <c r="G612" s="44"/>
      <c r="H612" s="44"/>
      <c r="I612" s="44"/>
      <c r="J612" s="44"/>
      <c r="K612" s="44"/>
      <c r="L612" s="44"/>
      <c r="M612" s="44"/>
      <c r="N612" s="44"/>
      <c r="O612" s="44"/>
    </row>
    <row r="613" spans="1:15" ht="17.25" customHeight="1">
      <c r="A613" s="44"/>
      <c r="B613" s="44"/>
      <c r="C613" s="44"/>
      <c r="D613" s="44"/>
      <c r="E613" s="44"/>
      <c r="F613" s="44"/>
      <c r="G613" s="44"/>
      <c r="H613" s="44"/>
      <c r="I613" s="44"/>
      <c r="J613" s="44"/>
      <c r="K613" s="44"/>
      <c r="L613" s="44"/>
      <c r="M613" s="44"/>
      <c r="N613" s="44"/>
      <c r="O613" s="44"/>
    </row>
    <row r="614" spans="1:15" ht="17.25" customHeight="1">
      <c r="A614" s="44"/>
      <c r="B614" s="44"/>
      <c r="C614" s="44"/>
      <c r="D614" s="44"/>
      <c r="E614" s="44"/>
      <c r="F614" s="44"/>
      <c r="G614" s="44"/>
      <c r="H614" s="44"/>
      <c r="I614" s="44"/>
      <c r="J614" s="44"/>
      <c r="K614" s="44"/>
      <c r="L614" s="44"/>
      <c r="M614" s="44"/>
      <c r="N614" s="44"/>
      <c r="O614" s="44"/>
    </row>
    <row r="615" spans="1:15" ht="17.25" customHeight="1">
      <c r="A615" s="44"/>
      <c r="B615" s="44"/>
      <c r="C615" s="44"/>
      <c r="D615" s="44"/>
      <c r="E615" s="44"/>
      <c r="F615" s="44"/>
      <c r="G615" s="44"/>
      <c r="H615" s="44"/>
      <c r="I615" s="44"/>
      <c r="J615" s="44"/>
      <c r="K615" s="44"/>
      <c r="L615" s="44"/>
      <c r="M615" s="44"/>
      <c r="N615" s="44"/>
      <c r="O615" s="44"/>
    </row>
    <row r="616" spans="1:15" ht="17.25" customHeight="1">
      <c r="A616" s="44"/>
      <c r="B616" s="44"/>
      <c r="C616" s="44"/>
      <c r="D616" s="44"/>
      <c r="E616" s="44"/>
      <c r="F616" s="44"/>
      <c r="G616" s="44"/>
      <c r="H616" s="44"/>
      <c r="I616" s="44"/>
      <c r="J616" s="44"/>
      <c r="K616" s="44"/>
      <c r="L616" s="44"/>
      <c r="M616" s="44"/>
      <c r="N616" s="44"/>
      <c r="O616" s="44"/>
    </row>
    <row r="617" spans="1:15" ht="17.25" customHeight="1">
      <c r="A617" s="44"/>
      <c r="B617" s="44"/>
      <c r="C617" s="44"/>
      <c r="D617" s="44"/>
      <c r="E617" s="44"/>
      <c r="F617" s="44"/>
      <c r="G617" s="44"/>
      <c r="H617" s="44"/>
      <c r="I617" s="44"/>
      <c r="J617" s="44"/>
      <c r="K617" s="44"/>
      <c r="L617" s="44"/>
      <c r="M617" s="44"/>
      <c r="N617" s="44"/>
      <c r="O617" s="44"/>
    </row>
    <row r="618" spans="1:15" ht="17.25" customHeight="1">
      <c r="A618" s="44"/>
      <c r="B618" s="44"/>
      <c r="C618" s="44"/>
      <c r="D618" s="44"/>
      <c r="E618" s="44"/>
      <c r="F618" s="44"/>
      <c r="G618" s="44"/>
      <c r="H618" s="44"/>
      <c r="I618" s="44"/>
      <c r="J618" s="44"/>
      <c r="K618" s="44"/>
      <c r="L618" s="44"/>
      <c r="M618" s="44"/>
      <c r="N618" s="44"/>
      <c r="O618" s="44"/>
    </row>
    <row r="619" spans="1:15" ht="17.25" customHeight="1">
      <c r="A619" s="44"/>
      <c r="B619" s="44"/>
      <c r="C619" s="44"/>
      <c r="D619" s="44"/>
      <c r="E619" s="44"/>
      <c r="F619" s="44"/>
      <c r="G619" s="44"/>
      <c r="H619" s="44"/>
      <c r="I619" s="44"/>
      <c r="J619" s="44"/>
      <c r="K619" s="44"/>
      <c r="L619" s="44"/>
      <c r="M619" s="44"/>
      <c r="N619" s="44"/>
      <c r="O619" s="44"/>
    </row>
    <row r="620" spans="1:15" ht="17.25" customHeight="1">
      <c r="A620" s="44"/>
      <c r="B620" s="44"/>
      <c r="C620" s="44"/>
      <c r="D620" s="44"/>
      <c r="E620" s="44"/>
      <c r="F620" s="44"/>
      <c r="G620" s="44"/>
      <c r="H620" s="44"/>
      <c r="I620" s="44"/>
      <c r="J620" s="44"/>
      <c r="K620" s="44"/>
      <c r="L620" s="44"/>
      <c r="M620" s="44"/>
      <c r="N620" s="44"/>
      <c r="O620" s="44"/>
    </row>
    <row r="621" spans="1:15" ht="17.25" customHeight="1">
      <c r="A621" s="44"/>
      <c r="B621" s="44"/>
      <c r="C621" s="44"/>
      <c r="D621" s="44"/>
      <c r="E621" s="44"/>
      <c r="F621" s="44"/>
      <c r="G621" s="44"/>
      <c r="H621" s="44"/>
      <c r="I621" s="44"/>
      <c r="J621" s="44"/>
      <c r="K621" s="44"/>
      <c r="L621" s="44"/>
      <c r="M621" s="44"/>
      <c r="N621" s="44"/>
      <c r="O621" s="44"/>
    </row>
    <row r="622" spans="1:15" ht="17.25" customHeight="1">
      <c r="A622" s="44"/>
      <c r="B622" s="44"/>
      <c r="C622" s="44"/>
      <c r="D622" s="44"/>
      <c r="E622" s="44"/>
      <c r="F622" s="44"/>
      <c r="G622" s="44"/>
      <c r="H622" s="44"/>
      <c r="I622" s="44"/>
      <c r="J622" s="44"/>
      <c r="K622" s="44"/>
      <c r="L622" s="44"/>
      <c r="M622" s="44"/>
      <c r="N622" s="44"/>
      <c r="O622" s="44"/>
    </row>
    <row r="623" spans="1:15" ht="17.25" customHeight="1">
      <c r="A623" s="44"/>
      <c r="B623" s="44"/>
      <c r="C623" s="44"/>
      <c r="D623" s="44"/>
      <c r="E623" s="44"/>
      <c r="F623" s="44"/>
      <c r="G623" s="44"/>
      <c r="H623" s="44"/>
      <c r="I623" s="44"/>
      <c r="J623" s="44"/>
      <c r="K623" s="44"/>
      <c r="L623" s="44"/>
      <c r="M623" s="44"/>
      <c r="N623" s="44"/>
      <c r="O623" s="44"/>
    </row>
    <row r="624" spans="1:15" ht="17.25" customHeight="1">
      <c r="A624" s="44"/>
      <c r="B624" s="44"/>
      <c r="C624" s="44"/>
      <c r="D624" s="44"/>
      <c r="E624" s="44"/>
      <c r="F624" s="44"/>
      <c r="G624" s="44"/>
      <c r="H624" s="44"/>
      <c r="I624" s="44"/>
      <c r="J624" s="44"/>
      <c r="K624" s="44"/>
      <c r="L624" s="44"/>
      <c r="M624" s="44"/>
      <c r="N624" s="44"/>
      <c r="O624" s="44"/>
    </row>
    <row r="625" spans="1:15" ht="17.25" customHeight="1">
      <c r="A625" s="44"/>
      <c r="B625" s="44"/>
      <c r="C625" s="44"/>
      <c r="D625" s="44"/>
      <c r="E625" s="44"/>
      <c r="F625" s="44"/>
      <c r="G625" s="44"/>
      <c r="H625" s="44"/>
      <c r="I625" s="44"/>
      <c r="J625" s="44"/>
      <c r="K625" s="44"/>
      <c r="L625" s="44"/>
      <c r="M625" s="44"/>
      <c r="N625" s="44"/>
      <c r="O625" s="44"/>
    </row>
    <row r="626" spans="1:15" ht="17.25" customHeight="1">
      <c r="A626" s="44"/>
      <c r="B626" s="44"/>
      <c r="C626" s="44"/>
      <c r="D626" s="44"/>
      <c r="E626" s="44"/>
      <c r="F626" s="44"/>
      <c r="G626" s="44"/>
      <c r="H626" s="44"/>
      <c r="I626" s="44"/>
      <c r="J626" s="44"/>
      <c r="K626" s="44"/>
      <c r="L626" s="44"/>
      <c r="M626" s="44"/>
      <c r="N626" s="44"/>
      <c r="O626" s="44"/>
    </row>
    <row r="627" spans="1:15" ht="17.25" customHeight="1">
      <c r="A627" s="44"/>
      <c r="B627" s="44"/>
      <c r="C627" s="44"/>
      <c r="D627" s="44"/>
      <c r="E627" s="44"/>
      <c r="F627" s="44"/>
      <c r="G627" s="44"/>
      <c r="H627" s="44"/>
      <c r="I627" s="44"/>
      <c r="J627" s="44"/>
      <c r="K627" s="44"/>
      <c r="L627" s="44"/>
      <c r="M627" s="44"/>
      <c r="N627" s="44"/>
      <c r="O627" s="44"/>
    </row>
    <row r="628" spans="1:15" ht="17.25" customHeight="1">
      <c r="A628" s="44"/>
      <c r="B628" s="44"/>
      <c r="C628" s="44"/>
      <c r="D628" s="44"/>
      <c r="E628" s="44"/>
      <c r="F628" s="44"/>
      <c r="G628" s="44"/>
      <c r="H628" s="44"/>
      <c r="I628" s="44"/>
      <c r="J628" s="44"/>
      <c r="K628" s="44"/>
      <c r="L628" s="44"/>
      <c r="M628" s="44"/>
      <c r="N628" s="44"/>
      <c r="O628" s="44"/>
    </row>
    <row r="629" spans="1:15" ht="17.25" customHeight="1">
      <c r="A629" s="44"/>
      <c r="B629" s="44"/>
      <c r="C629" s="44"/>
      <c r="D629" s="44"/>
      <c r="E629" s="44"/>
      <c r="F629" s="44"/>
      <c r="G629" s="44"/>
      <c r="H629" s="44"/>
      <c r="I629" s="44"/>
      <c r="J629" s="44"/>
      <c r="K629" s="44"/>
      <c r="L629" s="44"/>
      <c r="M629" s="44"/>
      <c r="N629" s="44"/>
      <c r="O629" s="44"/>
    </row>
    <row r="630" spans="1:15" ht="17.25" customHeight="1">
      <c r="A630" s="44"/>
      <c r="B630" s="44"/>
      <c r="C630" s="44"/>
      <c r="D630" s="44"/>
      <c r="E630" s="44"/>
      <c r="F630" s="44"/>
      <c r="G630" s="44"/>
      <c r="H630" s="44"/>
      <c r="I630" s="44"/>
      <c r="J630" s="44"/>
      <c r="K630" s="44"/>
      <c r="L630" s="44"/>
      <c r="M630" s="44"/>
      <c r="N630" s="44"/>
      <c r="O630" s="44"/>
    </row>
    <row r="631" spans="1:15" ht="17.25" customHeight="1">
      <c r="A631" s="44"/>
      <c r="B631" s="44"/>
      <c r="C631" s="44"/>
      <c r="D631" s="44"/>
      <c r="E631" s="44"/>
      <c r="F631" s="44"/>
      <c r="G631" s="44"/>
      <c r="H631" s="44"/>
      <c r="I631" s="44"/>
      <c r="J631" s="44"/>
      <c r="K631" s="44"/>
      <c r="L631" s="44"/>
      <c r="M631" s="44"/>
      <c r="N631" s="44"/>
      <c r="O631" s="44"/>
    </row>
    <row r="632" spans="1:15" ht="17.25" customHeight="1">
      <c r="A632" s="44"/>
      <c r="B632" s="44"/>
      <c r="C632" s="44"/>
      <c r="D632" s="44"/>
      <c r="E632" s="44"/>
      <c r="F632" s="44"/>
      <c r="G632" s="44"/>
      <c r="H632" s="44"/>
      <c r="I632" s="44"/>
      <c r="J632" s="44"/>
      <c r="K632" s="44"/>
      <c r="L632" s="44"/>
      <c r="M632" s="44"/>
      <c r="N632" s="44"/>
      <c r="O632" s="44"/>
    </row>
    <row r="633" spans="1:15" ht="17.25" customHeight="1">
      <c r="A633" s="44"/>
      <c r="B633" s="44"/>
      <c r="C633" s="44"/>
      <c r="D633" s="44"/>
      <c r="E633" s="44"/>
      <c r="F633" s="44"/>
      <c r="G633" s="44"/>
      <c r="H633" s="44"/>
      <c r="I633" s="44"/>
      <c r="J633" s="44"/>
      <c r="K633" s="44"/>
      <c r="L633" s="44"/>
      <c r="M633" s="44"/>
      <c r="N633" s="44"/>
      <c r="O633" s="44"/>
    </row>
    <row r="634" spans="1:15" ht="17.25" customHeight="1">
      <c r="A634" s="44"/>
      <c r="B634" s="44"/>
      <c r="C634" s="44"/>
      <c r="D634" s="44"/>
      <c r="E634" s="44"/>
      <c r="F634" s="44"/>
      <c r="G634" s="44"/>
      <c r="H634" s="44"/>
      <c r="I634" s="44"/>
      <c r="J634" s="44"/>
      <c r="K634" s="44"/>
      <c r="L634" s="44"/>
      <c r="M634" s="44"/>
      <c r="N634" s="44"/>
      <c r="O634" s="44"/>
    </row>
    <row r="635" spans="1:15" ht="17.25" customHeight="1">
      <c r="A635" s="44"/>
      <c r="B635" s="44"/>
      <c r="C635" s="44"/>
      <c r="D635" s="44"/>
      <c r="E635" s="44"/>
      <c r="F635" s="44"/>
      <c r="G635" s="44"/>
      <c r="H635" s="44"/>
      <c r="I635" s="44"/>
      <c r="J635" s="44"/>
      <c r="K635" s="44"/>
      <c r="L635" s="44"/>
      <c r="M635" s="44"/>
      <c r="N635" s="44"/>
      <c r="O635" s="44"/>
    </row>
    <row r="636" spans="1:15" ht="17.25" customHeight="1">
      <c r="A636" s="44"/>
      <c r="B636" s="44"/>
      <c r="C636" s="44"/>
      <c r="D636" s="44"/>
      <c r="E636" s="44"/>
      <c r="F636" s="44"/>
      <c r="G636" s="44"/>
      <c r="H636" s="44"/>
      <c r="I636" s="44"/>
      <c r="J636" s="44"/>
      <c r="K636" s="44"/>
      <c r="L636" s="44"/>
      <c r="M636" s="44"/>
      <c r="N636" s="44"/>
      <c r="O636" s="44"/>
    </row>
    <row r="637" spans="1:15" ht="17.25" customHeight="1">
      <c r="A637" s="44"/>
      <c r="B637" s="44"/>
      <c r="C637" s="44"/>
      <c r="D637" s="44"/>
      <c r="E637" s="44"/>
      <c r="F637" s="44"/>
      <c r="G637" s="44"/>
      <c r="H637" s="44"/>
      <c r="I637" s="44"/>
      <c r="J637" s="44"/>
      <c r="K637" s="44"/>
      <c r="L637" s="44"/>
      <c r="M637" s="44"/>
      <c r="N637" s="44"/>
      <c r="O637" s="44"/>
    </row>
    <row r="638" spans="1:15" ht="17.25" customHeight="1">
      <c r="A638" s="44"/>
      <c r="B638" s="44"/>
      <c r="C638" s="44"/>
      <c r="D638" s="44"/>
      <c r="E638" s="44"/>
      <c r="F638" s="44"/>
      <c r="G638" s="44"/>
      <c r="H638" s="44"/>
      <c r="I638" s="44"/>
      <c r="J638" s="44"/>
      <c r="K638" s="44"/>
      <c r="L638" s="44"/>
      <c r="M638" s="44"/>
      <c r="N638" s="44"/>
      <c r="O638" s="44"/>
    </row>
    <row r="639" spans="1:15" ht="17.25" customHeight="1">
      <c r="A639" s="44"/>
      <c r="B639" s="44"/>
      <c r="C639" s="44"/>
      <c r="D639" s="44"/>
      <c r="E639" s="44"/>
      <c r="F639" s="44"/>
      <c r="G639" s="44"/>
      <c r="H639" s="44"/>
      <c r="I639" s="44"/>
      <c r="J639" s="44"/>
      <c r="K639" s="44"/>
      <c r="L639" s="44"/>
      <c r="M639" s="44"/>
      <c r="N639" s="44"/>
      <c r="O639" s="44"/>
    </row>
    <row r="640" spans="1:15" ht="17.25" customHeight="1">
      <c r="A640" s="44"/>
      <c r="B640" s="44"/>
      <c r="C640" s="44"/>
      <c r="D640" s="44"/>
      <c r="E640" s="44"/>
      <c r="F640" s="44"/>
      <c r="G640" s="44"/>
      <c r="H640" s="44"/>
      <c r="I640" s="44"/>
      <c r="J640" s="44"/>
      <c r="K640" s="44"/>
      <c r="L640" s="44"/>
      <c r="M640" s="44"/>
      <c r="N640" s="44"/>
      <c r="O640" s="44"/>
    </row>
    <row r="641" spans="1:15" ht="17.25" customHeight="1">
      <c r="A641" s="44"/>
      <c r="B641" s="44"/>
      <c r="C641" s="44"/>
      <c r="D641" s="44"/>
      <c r="E641" s="44"/>
      <c r="F641" s="44"/>
      <c r="G641" s="44"/>
      <c r="H641" s="44"/>
      <c r="I641" s="44"/>
      <c r="J641" s="44"/>
      <c r="K641" s="44"/>
      <c r="L641" s="44"/>
      <c r="M641" s="44"/>
      <c r="N641" s="44"/>
      <c r="O641" s="44"/>
    </row>
    <row r="642" spans="1:15" ht="17.25" customHeight="1">
      <c r="A642" s="44"/>
      <c r="B642" s="44"/>
      <c r="C642" s="44"/>
      <c r="D642" s="44"/>
      <c r="E642" s="44"/>
      <c r="F642" s="44"/>
      <c r="G642" s="44"/>
      <c r="H642" s="44"/>
      <c r="I642" s="44"/>
      <c r="J642" s="44"/>
      <c r="K642" s="44"/>
      <c r="L642" s="44"/>
      <c r="M642" s="44"/>
      <c r="N642" s="44"/>
      <c r="O642" s="44"/>
    </row>
    <row r="643" spans="1:15" ht="17.25" customHeight="1">
      <c r="A643" s="44"/>
      <c r="B643" s="44"/>
      <c r="C643" s="44"/>
      <c r="D643" s="44"/>
      <c r="E643" s="44"/>
      <c r="F643" s="44"/>
      <c r="G643" s="44"/>
      <c r="H643" s="44"/>
      <c r="I643" s="44"/>
      <c r="J643" s="44"/>
      <c r="K643" s="44"/>
      <c r="L643" s="44"/>
      <c r="M643" s="44"/>
      <c r="N643" s="44"/>
      <c r="O643" s="44"/>
    </row>
    <row r="644" spans="1:15" ht="17.25" customHeight="1">
      <c r="A644" s="44"/>
      <c r="B644" s="44"/>
      <c r="C644" s="44"/>
      <c r="D644" s="44"/>
      <c r="E644" s="44"/>
      <c r="F644" s="44"/>
      <c r="G644" s="44"/>
      <c r="H644" s="44"/>
      <c r="I644" s="44"/>
      <c r="J644" s="44"/>
      <c r="K644" s="44"/>
      <c r="L644" s="44"/>
      <c r="M644" s="44"/>
      <c r="N644" s="44"/>
      <c r="O644" s="44"/>
    </row>
    <row r="645" spans="1:15" ht="17.25" customHeight="1">
      <c r="A645" s="44"/>
      <c r="B645" s="44"/>
      <c r="C645" s="44"/>
      <c r="D645" s="44"/>
      <c r="E645" s="44"/>
      <c r="F645" s="44"/>
      <c r="G645" s="44"/>
      <c r="H645" s="44"/>
      <c r="I645" s="44"/>
      <c r="J645" s="44"/>
      <c r="K645" s="44"/>
      <c r="L645" s="44"/>
      <c r="M645" s="44"/>
      <c r="N645" s="44"/>
      <c r="O645" s="44"/>
    </row>
    <row r="646" spans="1:15" ht="17.25" customHeight="1">
      <c r="A646" s="44"/>
      <c r="B646" s="44"/>
      <c r="C646" s="44"/>
      <c r="D646" s="44"/>
      <c r="E646" s="44"/>
      <c r="F646" s="44"/>
      <c r="G646" s="44"/>
      <c r="H646" s="44"/>
      <c r="I646" s="44"/>
      <c r="J646" s="44"/>
      <c r="K646" s="44"/>
      <c r="L646" s="44"/>
      <c r="M646" s="44"/>
      <c r="N646" s="44"/>
      <c r="O646" s="44"/>
    </row>
    <row r="647" spans="1:15" ht="17.25" customHeight="1">
      <c r="A647" s="44"/>
      <c r="B647" s="44"/>
      <c r="C647" s="44"/>
      <c r="D647" s="44"/>
      <c r="E647" s="44"/>
      <c r="F647" s="44"/>
      <c r="G647" s="44"/>
      <c r="H647" s="44"/>
      <c r="I647" s="44"/>
      <c r="J647" s="44"/>
      <c r="K647" s="44"/>
      <c r="L647" s="44"/>
      <c r="M647" s="44"/>
      <c r="N647" s="44"/>
      <c r="O647" s="44"/>
    </row>
    <row r="648" spans="1:15" ht="17.25" customHeight="1">
      <c r="A648" s="44"/>
      <c r="B648" s="44"/>
      <c r="C648" s="44"/>
      <c r="D648" s="44"/>
      <c r="E648" s="44"/>
      <c r="F648" s="44"/>
      <c r="G648" s="44"/>
      <c r="H648" s="44"/>
      <c r="I648" s="44"/>
      <c r="J648" s="44"/>
      <c r="K648" s="44"/>
      <c r="L648" s="44"/>
      <c r="M648" s="44"/>
      <c r="N648" s="44"/>
      <c r="O648" s="44"/>
    </row>
    <row r="649" spans="1:15" ht="17.25" customHeight="1">
      <c r="A649" s="44"/>
      <c r="B649" s="44"/>
      <c r="C649" s="44"/>
      <c r="D649" s="44"/>
      <c r="E649" s="44"/>
      <c r="F649" s="44"/>
      <c r="G649" s="44"/>
      <c r="H649" s="44"/>
      <c r="I649" s="44"/>
      <c r="J649" s="44"/>
      <c r="K649" s="44"/>
      <c r="L649" s="44"/>
      <c r="M649" s="44"/>
      <c r="N649" s="44"/>
      <c r="O649" s="44"/>
    </row>
    <row r="650" spans="1:15" ht="17.25" customHeight="1">
      <c r="A650" s="44"/>
      <c r="B650" s="44"/>
      <c r="C650" s="44"/>
      <c r="D650" s="44"/>
      <c r="E650" s="44"/>
      <c r="F650" s="44"/>
      <c r="G650" s="44"/>
      <c r="H650" s="44"/>
      <c r="I650" s="44"/>
      <c r="J650" s="44"/>
      <c r="K650" s="44"/>
      <c r="L650" s="44"/>
      <c r="M650" s="44"/>
      <c r="N650" s="44"/>
      <c r="O650" s="44"/>
    </row>
    <row r="651" spans="1:15" ht="17.25" customHeight="1">
      <c r="A651" s="44"/>
      <c r="B651" s="44"/>
      <c r="C651" s="44"/>
      <c r="D651" s="44"/>
      <c r="E651" s="44"/>
      <c r="F651" s="44"/>
      <c r="G651" s="44"/>
      <c r="H651" s="44"/>
      <c r="I651" s="44"/>
      <c r="J651" s="44"/>
      <c r="K651" s="44"/>
      <c r="L651" s="44"/>
      <c r="M651" s="44"/>
      <c r="N651" s="44"/>
      <c r="O651" s="44"/>
    </row>
    <row r="652" spans="1:15" ht="17.25" customHeight="1">
      <c r="A652" s="44"/>
      <c r="B652" s="44"/>
      <c r="C652" s="44"/>
      <c r="D652" s="44"/>
      <c r="E652" s="44"/>
      <c r="F652" s="44"/>
      <c r="G652" s="44"/>
      <c r="H652" s="44"/>
      <c r="I652" s="44"/>
      <c r="J652" s="44"/>
      <c r="K652" s="44"/>
      <c r="L652" s="44"/>
      <c r="M652" s="44"/>
      <c r="N652" s="44"/>
      <c r="O652" s="44"/>
    </row>
    <row r="653" spans="1:15" ht="17.25" customHeight="1">
      <c r="A653" s="44"/>
      <c r="B653" s="44"/>
      <c r="C653" s="44"/>
      <c r="D653" s="44"/>
      <c r="E653" s="44"/>
      <c r="F653" s="44"/>
      <c r="G653" s="44"/>
      <c r="H653" s="44"/>
      <c r="I653" s="44"/>
      <c r="J653" s="44"/>
      <c r="K653" s="44"/>
      <c r="L653" s="44"/>
      <c r="M653" s="44"/>
      <c r="N653" s="44"/>
      <c r="O653" s="44"/>
    </row>
    <row r="654" spans="1:15" ht="17.25" customHeight="1">
      <c r="A654" s="44"/>
      <c r="B654" s="44"/>
      <c r="C654" s="44"/>
      <c r="D654" s="44"/>
      <c r="E654" s="44"/>
      <c r="F654" s="44"/>
      <c r="G654" s="44"/>
      <c r="H654" s="44"/>
      <c r="I654" s="44"/>
      <c r="J654" s="44"/>
      <c r="K654" s="44"/>
      <c r="L654" s="44"/>
      <c r="M654" s="44"/>
      <c r="N654" s="44"/>
      <c r="O654" s="44"/>
    </row>
    <row r="655" spans="1:15" ht="17.25" customHeight="1">
      <c r="A655" s="44"/>
      <c r="B655" s="44"/>
      <c r="C655" s="44"/>
      <c r="D655" s="44"/>
      <c r="E655" s="44"/>
      <c r="F655" s="44"/>
      <c r="G655" s="44"/>
      <c r="H655" s="44"/>
      <c r="I655" s="44"/>
      <c r="J655" s="44"/>
      <c r="K655" s="44"/>
      <c r="L655" s="44"/>
      <c r="M655" s="44"/>
      <c r="N655" s="44"/>
      <c r="O655" s="44"/>
    </row>
    <row r="656" spans="1:15" ht="17.25" customHeight="1">
      <c r="A656" s="44"/>
      <c r="B656" s="44"/>
      <c r="C656" s="44"/>
      <c r="D656" s="44"/>
      <c r="E656" s="44"/>
      <c r="F656" s="44"/>
      <c r="G656" s="44"/>
      <c r="H656" s="44"/>
      <c r="I656" s="44"/>
      <c r="J656" s="44"/>
      <c r="K656" s="44"/>
      <c r="L656" s="44"/>
      <c r="M656" s="44"/>
      <c r="N656" s="44"/>
      <c r="O656" s="44"/>
    </row>
    <row r="657" spans="1:15" ht="17.25" customHeight="1">
      <c r="A657" s="44"/>
      <c r="B657" s="44"/>
      <c r="C657" s="44"/>
      <c r="D657" s="44"/>
      <c r="E657" s="44"/>
      <c r="F657" s="44"/>
      <c r="G657" s="44"/>
      <c r="H657" s="44"/>
      <c r="I657" s="44"/>
      <c r="J657" s="44"/>
      <c r="K657" s="44"/>
      <c r="L657" s="44"/>
      <c r="M657" s="44"/>
      <c r="N657" s="44"/>
      <c r="O657" s="44"/>
    </row>
    <row r="658" spans="1:15" ht="17.25" customHeight="1">
      <c r="A658" s="44"/>
      <c r="B658" s="44"/>
      <c r="C658" s="44"/>
      <c r="D658" s="44"/>
      <c r="E658" s="44"/>
      <c r="F658" s="44"/>
      <c r="G658" s="44"/>
      <c r="H658" s="44"/>
      <c r="I658" s="44"/>
      <c r="J658" s="44"/>
      <c r="K658" s="44"/>
      <c r="L658" s="44"/>
      <c r="M658" s="44"/>
      <c r="N658" s="44"/>
      <c r="O658" s="44"/>
    </row>
    <row r="659" spans="1:15" ht="17.25" customHeight="1">
      <c r="A659" s="44"/>
      <c r="B659" s="44"/>
      <c r="C659" s="44"/>
      <c r="D659" s="44"/>
      <c r="E659" s="44"/>
      <c r="F659" s="44"/>
      <c r="G659" s="44"/>
      <c r="H659" s="44"/>
      <c r="I659" s="44"/>
      <c r="J659" s="44"/>
      <c r="K659" s="44"/>
      <c r="L659" s="44"/>
      <c r="M659" s="44"/>
      <c r="N659" s="44"/>
      <c r="O659" s="44"/>
    </row>
    <row r="660" spans="1:15" ht="17.25" customHeight="1">
      <c r="A660" s="44"/>
      <c r="B660" s="44"/>
      <c r="C660" s="44"/>
      <c r="D660" s="44"/>
      <c r="E660" s="44"/>
      <c r="F660" s="44"/>
      <c r="G660" s="44"/>
      <c r="H660" s="44"/>
      <c r="I660" s="44"/>
      <c r="J660" s="44"/>
      <c r="K660" s="44"/>
      <c r="L660" s="44"/>
      <c r="M660" s="44"/>
      <c r="N660" s="44"/>
      <c r="O660" s="44"/>
    </row>
    <row r="661" spans="1:15" ht="17.25" customHeight="1">
      <c r="A661" s="44"/>
      <c r="B661" s="44"/>
      <c r="C661" s="44"/>
      <c r="D661" s="44"/>
      <c r="E661" s="44"/>
      <c r="F661" s="44"/>
      <c r="G661" s="44"/>
      <c r="H661" s="44"/>
      <c r="I661" s="44"/>
      <c r="J661" s="44"/>
      <c r="K661" s="44"/>
      <c r="L661" s="44"/>
      <c r="M661" s="44"/>
      <c r="N661" s="44"/>
      <c r="O661" s="44"/>
    </row>
    <row r="662" spans="1:15" ht="17.25" customHeight="1">
      <c r="A662" s="44"/>
      <c r="B662" s="44"/>
      <c r="C662" s="44"/>
      <c r="D662" s="44"/>
      <c r="E662" s="44"/>
      <c r="F662" s="44"/>
      <c r="G662" s="44"/>
      <c r="H662" s="44"/>
      <c r="I662" s="44"/>
      <c r="J662" s="44"/>
      <c r="K662" s="44"/>
      <c r="L662" s="44"/>
      <c r="M662" s="44"/>
      <c r="N662" s="44"/>
      <c r="O662" s="44"/>
    </row>
    <row r="663" spans="1:15" ht="17.25" customHeight="1">
      <c r="A663" s="44"/>
      <c r="B663" s="44"/>
      <c r="C663" s="44"/>
      <c r="D663" s="44"/>
      <c r="E663" s="44"/>
      <c r="F663" s="44"/>
      <c r="G663" s="44"/>
      <c r="H663" s="44"/>
      <c r="I663" s="44"/>
      <c r="J663" s="44"/>
      <c r="K663" s="44"/>
      <c r="L663" s="44"/>
      <c r="M663" s="44"/>
      <c r="N663" s="44"/>
      <c r="O663" s="44"/>
    </row>
    <row r="664" spans="1:15" ht="17.25" customHeight="1">
      <c r="A664" s="44"/>
      <c r="B664" s="44"/>
      <c r="C664" s="44"/>
      <c r="D664" s="44"/>
      <c r="E664" s="44"/>
      <c r="F664" s="44"/>
      <c r="G664" s="44"/>
      <c r="H664" s="44"/>
      <c r="I664" s="44"/>
      <c r="J664" s="44"/>
      <c r="K664" s="44"/>
      <c r="L664" s="44"/>
      <c r="M664" s="44"/>
      <c r="N664" s="44"/>
      <c r="O664" s="44"/>
    </row>
    <row r="665" spans="1:15" ht="17.25" customHeight="1">
      <c r="A665" s="44"/>
      <c r="B665" s="44"/>
      <c r="C665" s="44"/>
      <c r="D665" s="44"/>
      <c r="E665" s="44"/>
      <c r="F665" s="44"/>
      <c r="G665" s="44"/>
      <c r="H665" s="44"/>
      <c r="I665" s="44"/>
      <c r="J665" s="44"/>
      <c r="K665" s="44"/>
      <c r="L665" s="44"/>
      <c r="M665" s="44"/>
      <c r="N665" s="44"/>
      <c r="O665" s="44"/>
    </row>
    <row r="666" spans="1:15" ht="17.25" customHeight="1">
      <c r="A666" s="44"/>
      <c r="B666" s="44"/>
      <c r="C666" s="44"/>
      <c r="D666" s="44"/>
      <c r="E666" s="44"/>
      <c r="F666" s="44"/>
      <c r="G666" s="44"/>
      <c r="H666" s="44"/>
      <c r="I666" s="44"/>
      <c r="J666" s="44"/>
      <c r="K666" s="44"/>
      <c r="L666" s="44"/>
      <c r="M666" s="44"/>
      <c r="N666" s="44"/>
      <c r="O666" s="44"/>
    </row>
    <row r="667" spans="1:15" ht="17.25" customHeight="1">
      <c r="A667" s="44"/>
      <c r="B667" s="44"/>
      <c r="C667" s="44"/>
      <c r="D667" s="44"/>
      <c r="E667" s="44"/>
      <c r="F667" s="44"/>
      <c r="G667" s="44"/>
      <c r="H667" s="44"/>
      <c r="I667" s="44"/>
      <c r="J667" s="44"/>
      <c r="K667" s="44"/>
      <c r="L667" s="44"/>
      <c r="M667" s="44"/>
      <c r="N667" s="44"/>
      <c r="O667" s="44"/>
    </row>
    <row r="668" spans="1:15" ht="17.25" customHeight="1">
      <c r="A668" s="44"/>
      <c r="B668" s="44"/>
      <c r="C668" s="44"/>
      <c r="D668" s="44"/>
      <c r="E668" s="44"/>
      <c r="F668" s="44"/>
      <c r="G668" s="44"/>
      <c r="H668" s="44"/>
      <c r="I668" s="44"/>
      <c r="J668" s="44"/>
      <c r="K668" s="44"/>
      <c r="L668" s="44"/>
      <c r="M668" s="44"/>
      <c r="N668" s="44"/>
      <c r="O668" s="44"/>
    </row>
    <row r="669" spans="1:15" ht="17.25" customHeight="1">
      <c r="A669" s="44"/>
      <c r="B669" s="44"/>
      <c r="C669" s="44"/>
      <c r="D669" s="44"/>
      <c r="E669" s="44"/>
      <c r="F669" s="44"/>
      <c r="G669" s="44"/>
      <c r="H669" s="44"/>
      <c r="I669" s="44"/>
      <c r="J669" s="44"/>
      <c r="K669" s="44"/>
      <c r="L669" s="44"/>
      <c r="M669" s="44"/>
      <c r="N669" s="44"/>
      <c r="O669" s="44"/>
    </row>
    <row r="670" spans="1:15" ht="17.25" customHeight="1">
      <c r="A670" s="44"/>
      <c r="B670" s="44"/>
      <c r="C670" s="44"/>
      <c r="D670" s="44"/>
      <c r="E670" s="44"/>
      <c r="F670" s="44"/>
      <c r="G670" s="44"/>
      <c r="H670" s="44"/>
      <c r="I670" s="44"/>
      <c r="J670" s="44"/>
      <c r="K670" s="44"/>
      <c r="L670" s="44"/>
      <c r="M670" s="44"/>
      <c r="N670" s="44"/>
      <c r="O670" s="44"/>
    </row>
    <row r="671" spans="1:15" ht="17.25" customHeight="1">
      <c r="A671" s="44"/>
      <c r="B671" s="44"/>
      <c r="C671" s="44"/>
      <c r="D671" s="44"/>
      <c r="E671" s="44"/>
      <c r="F671" s="44"/>
      <c r="G671" s="44"/>
      <c r="H671" s="44"/>
      <c r="I671" s="44"/>
      <c r="J671" s="44"/>
      <c r="K671" s="44"/>
      <c r="L671" s="44"/>
      <c r="M671" s="44"/>
      <c r="N671" s="44"/>
      <c r="O671" s="44"/>
    </row>
    <row r="672" spans="1:15" ht="17.25" customHeight="1">
      <c r="A672" s="44"/>
      <c r="B672" s="44"/>
      <c r="C672" s="44"/>
      <c r="D672" s="44"/>
      <c r="E672" s="44"/>
      <c r="F672" s="44"/>
      <c r="G672" s="44"/>
      <c r="H672" s="44"/>
      <c r="I672" s="44"/>
      <c r="J672" s="44"/>
      <c r="K672" s="44"/>
      <c r="L672" s="44"/>
      <c r="M672" s="44"/>
      <c r="N672" s="44"/>
      <c r="O672" s="44"/>
    </row>
    <row r="673" spans="1:15" ht="17.25" customHeight="1">
      <c r="A673" s="44"/>
      <c r="B673" s="44"/>
      <c r="C673" s="44"/>
      <c r="D673" s="44"/>
      <c r="E673" s="44"/>
      <c r="F673" s="44"/>
      <c r="G673" s="44"/>
      <c r="H673" s="44"/>
      <c r="I673" s="44"/>
      <c r="J673" s="44"/>
      <c r="K673" s="44"/>
      <c r="L673" s="44"/>
      <c r="M673" s="44"/>
      <c r="N673" s="44"/>
      <c r="O673" s="44"/>
    </row>
    <row r="674" spans="1:15" ht="17.25" customHeight="1">
      <c r="A674" s="44"/>
      <c r="B674" s="44"/>
      <c r="C674" s="44"/>
      <c r="D674" s="44"/>
      <c r="E674" s="44"/>
      <c r="F674" s="44"/>
      <c r="G674" s="44"/>
      <c r="H674" s="44"/>
      <c r="I674" s="44"/>
      <c r="J674" s="44"/>
      <c r="K674" s="44"/>
      <c r="L674" s="44"/>
      <c r="M674" s="44"/>
      <c r="N674" s="44"/>
      <c r="O674" s="44"/>
    </row>
    <row r="675" spans="1:15" ht="17.25" customHeight="1">
      <c r="A675" s="44"/>
      <c r="B675" s="44"/>
      <c r="C675" s="44"/>
      <c r="D675" s="44"/>
      <c r="E675" s="44"/>
      <c r="F675" s="44"/>
      <c r="G675" s="44"/>
      <c r="H675" s="44"/>
      <c r="I675" s="44"/>
      <c r="J675" s="44"/>
      <c r="K675" s="44"/>
      <c r="L675" s="44"/>
      <c r="M675" s="44"/>
      <c r="N675" s="44"/>
      <c r="O675" s="44"/>
    </row>
    <row r="676" spans="1:15" ht="17.25" customHeight="1">
      <c r="A676" s="44"/>
      <c r="B676" s="44"/>
      <c r="C676" s="44"/>
      <c r="D676" s="44"/>
      <c r="E676" s="44"/>
      <c r="F676" s="44"/>
      <c r="G676" s="44"/>
      <c r="H676" s="44"/>
      <c r="I676" s="44"/>
      <c r="J676" s="44"/>
      <c r="K676" s="44"/>
      <c r="L676" s="44"/>
      <c r="M676" s="44"/>
      <c r="N676" s="44"/>
      <c r="O676" s="44"/>
    </row>
    <row r="677" spans="1:15" ht="17.25" customHeight="1">
      <c r="A677" s="44"/>
      <c r="B677" s="44"/>
      <c r="C677" s="44"/>
      <c r="D677" s="44"/>
      <c r="E677" s="44"/>
      <c r="F677" s="44"/>
      <c r="G677" s="44"/>
      <c r="H677" s="44"/>
      <c r="I677" s="44"/>
      <c r="J677" s="44"/>
      <c r="K677" s="44"/>
      <c r="L677" s="44"/>
      <c r="M677" s="44"/>
      <c r="N677" s="44"/>
      <c r="O677" s="44"/>
    </row>
    <row r="678" spans="1:15" ht="17.25" customHeight="1">
      <c r="A678" s="44"/>
      <c r="B678" s="44"/>
      <c r="C678" s="44"/>
      <c r="D678" s="44"/>
      <c r="E678" s="44"/>
      <c r="F678" s="44"/>
      <c r="G678" s="44"/>
      <c r="H678" s="44"/>
      <c r="I678" s="44"/>
      <c r="J678" s="44"/>
      <c r="K678" s="44"/>
      <c r="L678" s="44"/>
      <c r="M678" s="44"/>
      <c r="N678" s="44"/>
      <c r="O678" s="44"/>
    </row>
    <row r="679" spans="1:15" ht="17.25" customHeight="1">
      <c r="A679" s="44"/>
      <c r="B679" s="44"/>
      <c r="C679" s="44"/>
      <c r="D679" s="44"/>
      <c r="E679" s="44"/>
      <c r="F679" s="44"/>
      <c r="G679" s="44"/>
      <c r="H679" s="44"/>
      <c r="I679" s="44"/>
      <c r="J679" s="44"/>
      <c r="K679" s="44"/>
      <c r="L679" s="44"/>
      <c r="M679" s="44"/>
      <c r="N679" s="44"/>
      <c r="O679" s="44"/>
    </row>
    <row r="680" spans="1:15" ht="17.25" customHeight="1">
      <c r="A680" s="44"/>
      <c r="B680" s="44"/>
      <c r="C680" s="44"/>
      <c r="D680" s="44"/>
      <c r="E680" s="44"/>
      <c r="F680" s="44"/>
      <c r="G680" s="44"/>
      <c r="H680" s="44"/>
      <c r="I680" s="44"/>
      <c r="J680" s="44"/>
      <c r="K680" s="44"/>
      <c r="L680" s="44"/>
      <c r="M680" s="44"/>
      <c r="N680" s="44"/>
      <c r="O680" s="44"/>
    </row>
    <row r="681" spans="1:15" ht="17.25" customHeight="1">
      <c r="A681" s="44"/>
      <c r="B681" s="44"/>
      <c r="C681" s="44"/>
      <c r="D681" s="44"/>
      <c r="E681" s="44"/>
      <c r="F681" s="44"/>
      <c r="G681" s="44"/>
      <c r="H681" s="44"/>
      <c r="I681" s="44"/>
      <c r="J681" s="44"/>
      <c r="K681" s="44"/>
      <c r="L681" s="44"/>
      <c r="M681" s="44"/>
      <c r="N681" s="44"/>
      <c r="O681" s="44"/>
    </row>
    <row r="682" spans="1:15" ht="17.25" customHeight="1">
      <c r="A682" s="44"/>
      <c r="B682" s="44"/>
      <c r="C682" s="44"/>
      <c r="D682" s="44"/>
      <c r="E682" s="44"/>
      <c r="F682" s="44"/>
      <c r="G682" s="44"/>
      <c r="H682" s="44"/>
      <c r="I682" s="44"/>
      <c r="J682" s="44"/>
      <c r="K682" s="44"/>
      <c r="L682" s="44"/>
      <c r="M682" s="44"/>
      <c r="N682" s="44"/>
      <c r="O682" s="44"/>
    </row>
    <row r="683" spans="1:15" ht="17.25" customHeight="1">
      <c r="A683" s="44"/>
      <c r="B683" s="44"/>
      <c r="C683" s="44"/>
      <c r="D683" s="44"/>
      <c r="E683" s="44"/>
      <c r="F683" s="44"/>
      <c r="G683" s="44"/>
      <c r="H683" s="44"/>
      <c r="I683" s="44"/>
      <c r="J683" s="44"/>
      <c r="K683" s="44"/>
      <c r="L683" s="44"/>
      <c r="M683" s="44"/>
      <c r="N683" s="44"/>
      <c r="O683" s="44"/>
    </row>
    <row r="684" spans="1:15" ht="17.25" customHeight="1">
      <c r="A684" s="44"/>
      <c r="B684" s="44"/>
      <c r="C684" s="44"/>
      <c r="D684" s="44"/>
      <c r="E684" s="44"/>
      <c r="F684" s="44"/>
      <c r="G684" s="44"/>
      <c r="H684" s="44"/>
      <c r="I684" s="44"/>
      <c r="J684" s="44"/>
      <c r="K684" s="44"/>
      <c r="L684" s="44"/>
      <c r="M684" s="44"/>
      <c r="N684" s="44"/>
      <c r="O684" s="44"/>
    </row>
    <row r="685" spans="1:15" ht="17.25" customHeight="1">
      <c r="A685" s="44"/>
      <c r="B685" s="44"/>
      <c r="C685" s="44"/>
      <c r="D685" s="44"/>
      <c r="E685" s="44"/>
      <c r="F685" s="44"/>
      <c r="G685" s="44"/>
      <c r="H685" s="44"/>
      <c r="I685" s="44"/>
      <c r="J685" s="44"/>
      <c r="K685" s="44"/>
      <c r="L685" s="44"/>
      <c r="M685" s="44"/>
      <c r="N685" s="44"/>
      <c r="O685" s="44"/>
    </row>
    <row r="686" spans="1:15" ht="17.25" customHeight="1">
      <c r="A686" s="44"/>
      <c r="B686" s="44"/>
      <c r="C686" s="44"/>
      <c r="D686" s="44"/>
      <c r="E686" s="44"/>
      <c r="F686" s="44"/>
      <c r="G686" s="44"/>
      <c r="H686" s="44"/>
      <c r="I686" s="44"/>
      <c r="J686" s="44"/>
      <c r="K686" s="44"/>
      <c r="L686" s="44"/>
      <c r="M686" s="44"/>
      <c r="N686" s="44"/>
      <c r="O686" s="44"/>
    </row>
    <row r="687" spans="1:15" ht="17.25" customHeight="1">
      <c r="A687" s="44"/>
      <c r="B687" s="44"/>
      <c r="C687" s="44"/>
      <c r="D687" s="44"/>
      <c r="E687" s="44"/>
      <c r="F687" s="44"/>
      <c r="G687" s="44"/>
      <c r="H687" s="44"/>
      <c r="I687" s="44"/>
      <c r="J687" s="44"/>
      <c r="K687" s="44"/>
      <c r="L687" s="44"/>
      <c r="M687" s="44"/>
      <c r="N687" s="44"/>
      <c r="O687" s="44"/>
    </row>
    <row r="688" spans="1:15" ht="17.25" customHeight="1">
      <c r="A688" s="44"/>
      <c r="B688" s="44"/>
      <c r="C688" s="44"/>
      <c r="D688" s="44"/>
      <c r="E688" s="44"/>
      <c r="F688" s="44"/>
      <c r="G688" s="44"/>
      <c r="H688" s="44"/>
      <c r="I688" s="44"/>
      <c r="J688" s="44"/>
      <c r="K688" s="44"/>
      <c r="L688" s="44"/>
      <c r="M688" s="44"/>
      <c r="N688" s="44"/>
      <c r="O688" s="44"/>
    </row>
    <row r="689" spans="1:15" ht="17.25" customHeight="1">
      <c r="A689" s="44"/>
      <c r="B689" s="44"/>
      <c r="C689" s="44"/>
      <c r="D689" s="44"/>
      <c r="E689" s="44"/>
      <c r="F689" s="44"/>
      <c r="G689" s="44"/>
      <c r="H689" s="44"/>
      <c r="I689" s="44"/>
      <c r="J689" s="44"/>
      <c r="K689" s="44"/>
      <c r="L689" s="44"/>
      <c r="M689" s="44"/>
      <c r="N689" s="44"/>
      <c r="O689" s="44"/>
    </row>
    <row r="690" spans="1:15" ht="17.25" customHeight="1">
      <c r="A690" s="44"/>
      <c r="B690" s="44"/>
      <c r="C690" s="44"/>
      <c r="D690" s="44"/>
      <c r="E690" s="44"/>
      <c r="F690" s="44"/>
      <c r="G690" s="44"/>
      <c r="H690" s="44"/>
      <c r="I690" s="44"/>
      <c r="J690" s="44"/>
      <c r="K690" s="44"/>
      <c r="L690" s="44"/>
      <c r="M690" s="44"/>
      <c r="N690" s="44"/>
      <c r="O690" s="44"/>
    </row>
    <row r="691" spans="1:15" ht="17.25" customHeight="1">
      <c r="A691" s="44"/>
      <c r="B691" s="44"/>
      <c r="C691" s="44"/>
      <c r="D691" s="44"/>
      <c r="E691" s="44"/>
      <c r="F691" s="44"/>
      <c r="G691" s="44"/>
      <c r="H691" s="44"/>
      <c r="I691" s="44"/>
      <c r="J691" s="44"/>
      <c r="K691" s="44"/>
      <c r="L691" s="44"/>
      <c r="M691" s="44"/>
      <c r="N691" s="44"/>
      <c r="O691" s="44"/>
    </row>
    <row r="692" spans="1:15" ht="17.25" customHeight="1">
      <c r="A692" s="44"/>
      <c r="B692" s="44"/>
      <c r="C692" s="44"/>
      <c r="D692" s="44"/>
      <c r="E692" s="44"/>
      <c r="F692" s="44"/>
      <c r="G692" s="44"/>
      <c r="H692" s="44"/>
      <c r="I692" s="44"/>
      <c r="J692" s="44"/>
      <c r="K692" s="44"/>
      <c r="L692" s="44"/>
      <c r="M692" s="44"/>
      <c r="N692" s="44"/>
      <c r="O692" s="44"/>
    </row>
    <row r="693" spans="1:15" ht="17.25" customHeight="1">
      <c r="A693" s="44"/>
      <c r="B693" s="44"/>
      <c r="C693" s="44"/>
      <c r="D693" s="44"/>
      <c r="E693" s="44"/>
      <c r="F693" s="44"/>
      <c r="G693" s="44"/>
      <c r="H693" s="44"/>
      <c r="I693" s="44"/>
      <c r="J693" s="44"/>
      <c r="K693" s="44"/>
      <c r="L693" s="44"/>
      <c r="M693" s="44"/>
      <c r="N693" s="44"/>
      <c r="O693" s="44"/>
    </row>
    <row r="694" spans="1:15" ht="17.25" customHeight="1">
      <c r="A694" s="44"/>
      <c r="B694" s="44"/>
      <c r="C694" s="44"/>
      <c r="D694" s="44"/>
      <c r="E694" s="44"/>
      <c r="F694" s="44"/>
      <c r="G694" s="44"/>
      <c r="H694" s="44"/>
      <c r="I694" s="44"/>
      <c r="J694" s="44"/>
      <c r="K694" s="44"/>
      <c r="L694" s="44"/>
      <c r="M694" s="44"/>
      <c r="N694" s="44"/>
      <c r="O694" s="44"/>
    </row>
    <row r="695" spans="1:15" ht="17.25" customHeight="1">
      <c r="A695" s="44"/>
      <c r="B695" s="44"/>
      <c r="C695" s="44"/>
      <c r="D695" s="44"/>
      <c r="E695" s="44"/>
      <c r="F695" s="44"/>
      <c r="G695" s="44"/>
      <c r="H695" s="44"/>
      <c r="I695" s="44"/>
      <c r="J695" s="44"/>
      <c r="K695" s="44"/>
      <c r="L695" s="44"/>
      <c r="M695" s="44"/>
      <c r="N695" s="44"/>
      <c r="O695" s="44"/>
    </row>
    <row r="696" spans="1:15" ht="17.25" customHeight="1">
      <c r="A696" s="44"/>
      <c r="B696" s="44"/>
      <c r="C696" s="44"/>
      <c r="D696" s="44"/>
      <c r="E696" s="44"/>
      <c r="F696" s="44"/>
      <c r="G696" s="44"/>
      <c r="H696" s="44"/>
      <c r="I696" s="44"/>
      <c r="J696" s="44"/>
      <c r="K696" s="44"/>
      <c r="L696" s="44"/>
      <c r="M696" s="44"/>
      <c r="N696" s="44"/>
      <c r="O696" s="44"/>
    </row>
    <row r="697" spans="1:15" ht="17.25" customHeight="1">
      <c r="A697" s="44"/>
      <c r="B697" s="44"/>
      <c r="C697" s="44"/>
      <c r="D697" s="44"/>
      <c r="E697" s="44"/>
      <c r="F697" s="44"/>
      <c r="G697" s="44"/>
      <c r="H697" s="44"/>
      <c r="I697" s="44"/>
      <c r="J697" s="44"/>
      <c r="K697" s="44"/>
      <c r="L697" s="44"/>
      <c r="M697" s="44"/>
      <c r="N697" s="44"/>
      <c r="O697" s="44"/>
    </row>
    <row r="698" spans="1:15" ht="17.25" customHeight="1">
      <c r="A698" s="44"/>
      <c r="B698" s="44"/>
      <c r="C698" s="44"/>
      <c r="D698" s="44"/>
      <c r="E698" s="44"/>
      <c r="F698" s="44"/>
      <c r="G698" s="44"/>
      <c r="H698" s="44"/>
      <c r="I698" s="44"/>
      <c r="J698" s="44"/>
      <c r="K698" s="44"/>
      <c r="L698" s="44"/>
      <c r="M698" s="44"/>
      <c r="N698" s="44"/>
      <c r="O698" s="44"/>
    </row>
    <row r="699" spans="1:15" ht="17.25" customHeight="1">
      <c r="A699" s="44"/>
      <c r="B699" s="44"/>
      <c r="C699" s="44"/>
      <c r="D699" s="44"/>
      <c r="E699" s="44"/>
      <c r="F699" s="44"/>
      <c r="G699" s="44"/>
      <c r="H699" s="44"/>
      <c r="I699" s="44"/>
      <c r="J699" s="44"/>
      <c r="K699" s="44"/>
      <c r="L699" s="44"/>
      <c r="M699" s="44"/>
      <c r="N699" s="44"/>
      <c r="O699" s="44"/>
    </row>
    <row r="700" spans="1:15" ht="17.25" customHeight="1">
      <c r="A700" s="44"/>
      <c r="B700" s="44"/>
      <c r="C700" s="44"/>
      <c r="D700" s="44"/>
      <c r="E700" s="44"/>
      <c r="F700" s="44"/>
      <c r="G700" s="44"/>
      <c r="H700" s="44"/>
      <c r="I700" s="44"/>
      <c r="J700" s="44"/>
      <c r="K700" s="44"/>
      <c r="L700" s="44"/>
      <c r="M700" s="44"/>
      <c r="N700" s="44"/>
      <c r="O700" s="44"/>
    </row>
    <row r="701" spans="1:15" ht="17.25" customHeight="1">
      <c r="A701" s="44"/>
      <c r="B701" s="44"/>
      <c r="C701" s="44"/>
      <c r="D701" s="44"/>
      <c r="E701" s="44"/>
      <c r="F701" s="44"/>
      <c r="G701" s="44"/>
      <c r="H701" s="44"/>
      <c r="I701" s="44"/>
      <c r="J701" s="44"/>
      <c r="K701" s="44"/>
      <c r="L701" s="44"/>
      <c r="M701" s="44"/>
      <c r="N701" s="44"/>
      <c r="O701" s="44"/>
    </row>
    <row r="702" spans="1:15" ht="17.25" customHeight="1">
      <c r="A702" s="44"/>
      <c r="B702" s="44"/>
      <c r="C702" s="44"/>
      <c r="D702" s="44"/>
      <c r="E702" s="44"/>
      <c r="F702" s="44"/>
      <c r="G702" s="44"/>
      <c r="H702" s="44"/>
      <c r="I702" s="44"/>
      <c r="J702" s="44"/>
      <c r="K702" s="44"/>
      <c r="L702" s="44"/>
      <c r="M702" s="44"/>
      <c r="N702" s="44"/>
      <c r="O702" s="44"/>
    </row>
    <row r="703" spans="1:15" ht="17.25" customHeight="1">
      <c r="A703" s="44"/>
      <c r="B703" s="44"/>
      <c r="C703" s="44"/>
      <c r="D703" s="44"/>
      <c r="E703" s="44"/>
      <c r="F703" s="44"/>
      <c r="G703" s="44"/>
      <c r="H703" s="44"/>
      <c r="I703" s="44"/>
      <c r="J703" s="44"/>
      <c r="K703" s="44"/>
      <c r="L703" s="44"/>
      <c r="M703" s="44"/>
      <c r="N703" s="44"/>
      <c r="O703" s="44"/>
    </row>
    <row r="704" spans="1:15" ht="17.25" customHeight="1">
      <c r="A704" s="44"/>
      <c r="B704" s="44"/>
      <c r="C704" s="44"/>
      <c r="D704" s="44"/>
      <c r="E704" s="44"/>
      <c r="F704" s="44"/>
      <c r="G704" s="44"/>
      <c r="H704" s="44"/>
      <c r="I704" s="44"/>
      <c r="J704" s="44"/>
      <c r="K704" s="44"/>
      <c r="L704" s="44"/>
      <c r="M704" s="44"/>
      <c r="N704" s="44"/>
      <c r="O704" s="44"/>
    </row>
    <row r="705" spans="1:15" ht="17.25" customHeight="1">
      <c r="A705" s="44"/>
      <c r="B705" s="44"/>
      <c r="C705" s="44"/>
      <c r="D705" s="44"/>
      <c r="E705" s="44"/>
      <c r="F705" s="44"/>
      <c r="G705" s="44"/>
      <c r="H705" s="44"/>
      <c r="I705" s="44"/>
      <c r="J705" s="44"/>
      <c r="K705" s="44"/>
      <c r="L705" s="44"/>
      <c r="M705" s="44"/>
      <c r="N705" s="44"/>
      <c r="O705" s="44"/>
    </row>
    <row r="706" spans="1:15" ht="17.25" customHeight="1">
      <c r="A706" s="44"/>
      <c r="B706" s="44"/>
      <c r="C706" s="44"/>
      <c r="D706" s="44"/>
      <c r="E706" s="44"/>
      <c r="F706" s="44"/>
      <c r="G706" s="44"/>
      <c r="H706" s="44"/>
      <c r="I706" s="44"/>
      <c r="J706" s="44"/>
      <c r="K706" s="44"/>
      <c r="L706" s="44"/>
      <c r="M706" s="44"/>
      <c r="N706" s="44"/>
      <c r="O706" s="44"/>
    </row>
    <row r="707" spans="1:15" ht="17.25" customHeight="1">
      <c r="A707" s="44"/>
      <c r="B707" s="44"/>
      <c r="C707" s="44"/>
      <c r="D707" s="44"/>
      <c r="E707" s="44"/>
      <c r="F707" s="44"/>
      <c r="G707" s="44"/>
      <c r="H707" s="44"/>
      <c r="I707" s="44"/>
      <c r="J707" s="44"/>
      <c r="K707" s="44"/>
      <c r="L707" s="44"/>
      <c r="M707" s="44"/>
      <c r="N707" s="44"/>
      <c r="O707" s="44"/>
    </row>
    <row r="708" spans="1:15" ht="17.25" customHeight="1">
      <c r="A708" s="44"/>
      <c r="B708" s="44"/>
      <c r="C708" s="44"/>
      <c r="D708" s="44"/>
      <c r="E708" s="44"/>
      <c r="F708" s="44"/>
      <c r="G708" s="44"/>
      <c r="H708" s="44"/>
      <c r="I708" s="44"/>
      <c r="J708" s="44"/>
      <c r="K708" s="44"/>
      <c r="L708" s="44"/>
      <c r="M708" s="44"/>
      <c r="N708" s="44"/>
      <c r="O708" s="44"/>
    </row>
    <row r="709" spans="1:15" ht="17.25" customHeight="1">
      <c r="A709" s="44"/>
      <c r="B709" s="44"/>
      <c r="C709" s="44"/>
      <c r="D709" s="44"/>
      <c r="E709" s="44"/>
      <c r="F709" s="44"/>
      <c r="G709" s="44"/>
      <c r="H709" s="44"/>
      <c r="I709" s="44"/>
      <c r="J709" s="44"/>
      <c r="K709" s="44"/>
      <c r="L709" s="44"/>
      <c r="M709" s="44"/>
      <c r="N709" s="44"/>
      <c r="O709" s="44"/>
    </row>
    <row r="710" spans="1:15" ht="17.25" customHeight="1">
      <c r="A710" s="44"/>
      <c r="B710" s="44"/>
      <c r="C710" s="44"/>
      <c r="D710" s="44"/>
      <c r="E710" s="44"/>
      <c r="F710" s="44"/>
      <c r="G710" s="44"/>
      <c r="H710" s="44"/>
      <c r="I710" s="44"/>
      <c r="J710" s="44"/>
      <c r="K710" s="44"/>
      <c r="L710" s="44"/>
      <c r="M710" s="44"/>
      <c r="N710" s="44"/>
      <c r="O710" s="44"/>
    </row>
    <row r="711" spans="1:15" ht="17.25" customHeight="1">
      <c r="A711" s="44"/>
      <c r="B711" s="44"/>
      <c r="C711" s="44"/>
      <c r="D711" s="44"/>
      <c r="E711" s="44"/>
      <c r="F711" s="44"/>
      <c r="G711" s="44"/>
      <c r="H711" s="44"/>
      <c r="I711" s="44"/>
      <c r="J711" s="44"/>
      <c r="K711" s="44"/>
      <c r="L711" s="44"/>
      <c r="M711" s="44"/>
      <c r="N711" s="44"/>
      <c r="O711" s="44"/>
    </row>
    <row r="712" spans="1:15" ht="17.25" customHeight="1">
      <c r="A712" s="44"/>
      <c r="B712" s="44"/>
      <c r="C712" s="44"/>
      <c r="D712" s="44"/>
      <c r="E712" s="44"/>
      <c r="F712" s="44"/>
      <c r="G712" s="44"/>
      <c r="H712" s="44"/>
      <c r="I712" s="44"/>
      <c r="J712" s="44"/>
      <c r="K712" s="44"/>
      <c r="L712" s="44"/>
      <c r="M712" s="44"/>
      <c r="N712" s="44"/>
      <c r="O712" s="44"/>
    </row>
    <row r="713" spans="1:15" ht="17.25" customHeight="1">
      <c r="A713" s="44"/>
      <c r="B713" s="44"/>
      <c r="C713" s="44"/>
      <c r="D713" s="44"/>
      <c r="E713" s="44"/>
      <c r="F713" s="44"/>
      <c r="G713" s="44"/>
      <c r="H713" s="44"/>
      <c r="I713" s="44"/>
      <c r="J713" s="44"/>
      <c r="K713" s="44"/>
      <c r="L713" s="44"/>
      <c r="M713" s="44"/>
      <c r="N713" s="44"/>
      <c r="O713" s="44"/>
    </row>
    <row r="714" spans="1:15" ht="17.25" customHeight="1">
      <c r="A714" s="44"/>
      <c r="B714" s="44"/>
      <c r="C714" s="44"/>
      <c r="D714" s="44"/>
      <c r="E714" s="44"/>
      <c r="F714" s="44"/>
      <c r="G714" s="44"/>
      <c r="H714" s="44"/>
      <c r="I714" s="44"/>
      <c r="J714" s="44"/>
      <c r="K714" s="44"/>
      <c r="L714" s="44"/>
      <c r="M714" s="44"/>
      <c r="N714" s="44"/>
      <c r="O714" s="44"/>
    </row>
    <row r="715" spans="1:15" ht="17.25" customHeight="1">
      <c r="A715" s="44"/>
      <c r="B715" s="44"/>
      <c r="C715" s="44"/>
      <c r="D715" s="44"/>
      <c r="E715" s="44"/>
      <c r="F715" s="44"/>
      <c r="G715" s="44"/>
      <c r="H715" s="44"/>
      <c r="I715" s="44"/>
      <c r="J715" s="44"/>
      <c r="K715" s="44"/>
      <c r="L715" s="44"/>
      <c r="M715" s="44"/>
      <c r="N715" s="44"/>
      <c r="O715" s="44"/>
    </row>
    <row r="716" spans="1:15" ht="17.25" customHeight="1">
      <c r="A716" s="44"/>
      <c r="B716" s="44"/>
      <c r="C716" s="44"/>
      <c r="D716" s="44"/>
      <c r="E716" s="44"/>
      <c r="F716" s="44"/>
      <c r="G716" s="44"/>
      <c r="H716" s="44"/>
      <c r="I716" s="44"/>
      <c r="J716" s="44"/>
      <c r="K716" s="44"/>
      <c r="L716" s="44"/>
      <c r="M716" s="44"/>
      <c r="N716" s="44"/>
      <c r="O716" s="44"/>
    </row>
    <row r="717" spans="1:15" ht="17.25" customHeight="1">
      <c r="A717" s="44"/>
      <c r="B717" s="44"/>
      <c r="C717" s="44"/>
      <c r="D717" s="44"/>
      <c r="E717" s="44"/>
      <c r="F717" s="44"/>
      <c r="G717" s="44"/>
      <c r="H717" s="44"/>
      <c r="I717" s="44"/>
      <c r="J717" s="44"/>
      <c r="K717" s="44"/>
      <c r="L717" s="44"/>
      <c r="M717" s="44"/>
      <c r="N717" s="44"/>
      <c r="O717" s="44"/>
    </row>
    <row r="718" spans="1:15" ht="17.25" customHeight="1">
      <c r="A718" s="44"/>
      <c r="B718" s="44"/>
      <c r="C718" s="44"/>
      <c r="D718" s="44"/>
      <c r="E718" s="44"/>
      <c r="F718" s="44"/>
      <c r="G718" s="44"/>
      <c r="H718" s="44"/>
      <c r="I718" s="44"/>
      <c r="J718" s="44"/>
      <c r="K718" s="44"/>
      <c r="L718" s="44"/>
      <c r="M718" s="44"/>
      <c r="N718" s="44"/>
      <c r="O718" s="44"/>
    </row>
    <row r="719" spans="1:15" ht="17.25" customHeight="1">
      <c r="A719" s="44"/>
      <c r="B719" s="44"/>
      <c r="C719" s="44"/>
      <c r="D719" s="44"/>
      <c r="E719" s="44"/>
      <c r="F719" s="44"/>
      <c r="G719" s="44"/>
      <c r="H719" s="44"/>
      <c r="I719" s="44"/>
      <c r="J719" s="44"/>
      <c r="K719" s="44"/>
      <c r="L719" s="44"/>
      <c r="M719" s="44"/>
      <c r="N719" s="44"/>
      <c r="O719" s="44"/>
    </row>
    <row r="720" spans="1:15" ht="17.25" customHeight="1">
      <c r="A720" s="44"/>
      <c r="B720" s="44"/>
      <c r="C720" s="44"/>
      <c r="D720" s="44"/>
      <c r="E720" s="44"/>
      <c r="F720" s="44"/>
      <c r="G720" s="44"/>
      <c r="H720" s="44"/>
      <c r="I720" s="44"/>
      <c r="J720" s="44"/>
      <c r="K720" s="44"/>
      <c r="L720" s="44"/>
      <c r="M720" s="44"/>
      <c r="N720" s="44"/>
      <c r="O720" s="44"/>
    </row>
    <row r="721" spans="1:15" ht="17.25" customHeight="1">
      <c r="A721" s="44"/>
      <c r="B721" s="44"/>
      <c r="C721" s="44"/>
      <c r="D721" s="44"/>
      <c r="E721" s="44"/>
      <c r="F721" s="44"/>
      <c r="G721" s="44"/>
      <c r="H721" s="44"/>
      <c r="I721" s="44"/>
      <c r="J721" s="44"/>
      <c r="K721" s="44"/>
      <c r="L721" s="44"/>
      <c r="M721" s="44"/>
      <c r="N721" s="44"/>
      <c r="O721" s="44"/>
    </row>
    <row r="722" spans="1:15" ht="17.25" customHeight="1">
      <c r="A722" s="44"/>
      <c r="B722" s="44"/>
      <c r="C722" s="44"/>
      <c r="D722" s="44"/>
      <c r="E722" s="44"/>
      <c r="F722" s="44"/>
      <c r="G722" s="44"/>
      <c r="H722" s="44"/>
      <c r="I722" s="44"/>
      <c r="J722" s="44"/>
      <c r="K722" s="44"/>
      <c r="L722" s="44"/>
      <c r="M722" s="44"/>
      <c r="N722" s="44"/>
      <c r="O722" s="44"/>
    </row>
    <row r="723" spans="1:15" ht="17.25" customHeight="1">
      <c r="A723" s="44"/>
      <c r="B723" s="44"/>
      <c r="C723" s="44"/>
      <c r="D723" s="44"/>
      <c r="E723" s="44"/>
      <c r="F723" s="44"/>
      <c r="G723" s="44"/>
      <c r="H723" s="44"/>
      <c r="I723" s="44"/>
      <c r="J723" s="44"/>
      <c r="K723" s="44"/>
      <c r="L723" s="44"/>
      <c r="M723" s="44"/>
      <c r="N723" s="44"/>
      <c r="O723" s="44"/>
    </row>
    <row r="724" spans="1:15" ht="17.25" customHeight="1">
      <c r="A724" s="44"/>
      <c r="B724" s="44"/>
      <c r="C724" s="44"/>
      <c r="D724" s="44"/>
      <c r="E724" s="44"/>
      <c r="F724" s="44"/>
      <c r="G724" s="44"/>
      <c r="H724" s="44"/>
      <c r="I724" s="44"/>
      <c r="J724" s="44"/>
      <c r="K724" s="44"/>
      <c r="L724" s="44"/>
      <c r="M724" s="44"/>
      <c r="N724" s="44"/>
      <c r="O724" s="44"/>
    </row>
    <row r="725" spans="1:15" ht="17.25" customHeight="1">
      <c r="A725" s="44"/>
      <c r="B725" s="44"/>
      <c r="C725" s="44"/>
      <c r="D725" s="44"/>
      <c r="E725" s="44"/>
      <c r="F725" s="44"/>
      <c r="G725" s="44"/>
      <c r="H725" s="44"/>
      <c r="I725" s="44"/>
      <c r="J725" s="44"/>
      <c r="K725" s="44"/>
      <c r="L725" s="44"/>
      <c r="M725" s="44"/>
      <c r="N725" s="44"/>
      <c r="O725" s="44"/>
    </row>
    <row r="726" spans="1:15" ht="17.25" customHeight="1">
      <c r="A726" s="44"/>
      <c r="B726" s="44"/>
      <c r="C726" s="44"/>
      <c r="D726" s="44"/>
      <c r="E726" s="44"/>
      <c r="F726" s="44"/>
      <c r="G726" s="44"/>
      <c r="H726" s="44"/>
      <c r="I726" s="44"/>
      <c r="J726" s="44"/>
      <c r="K726" s="44"/>
      <c r="L726" s="44"/>
      <c r="M726" s="44"/>
      <c r="N726" s="44"/>
      <c r="O726" s="44"/>
    </row>
    <row r="727" spans="1:15" ht="17.25" customHeight="1">
      <c r="A727" s="44"/>
      <c r="B727" s="44"/>
      <c r="C727" s="44"/>
      <c r="D727" s="44"/>
      <c r="E727" s="44"/>
      <c r="F727" s="44"/>
      <c r="G727" s="44"/>
      <c r="H727" s="44"/>
      <c r="I727" s="44"/>
      <c r="J727" s="44"/>
      <c r="K727" s="44"/>
      <c r="L727" s="44"/>
      <c r="M727" s="44"/>
      <c r="N727" s="44"/>
      <c r="O727" s="44"/>
    </row>
    <row r="728" spans="1:15" ht="17.25" customHeight="1">
      <c r="A728" s="44"/>
      <c r="B728" s="44"/>
      <c r="C728" s="44"/>
      <c r="D728" s="44"/>
      <c r="E728" s="44"/>
      <c r="F728" s="44"/>
      <c r="G728" s="44"/>
      <c r="H728" s="44"/>
      <c r="I728" s="44"/>
      <c r="J728" s="44"/>
      <c r="K728" s="44"/>
      <c r="L728" s="44"/>
      <c r="M728" s="44"/>
      <c r="N728" s="44"/>
      <c r="O728" s="44"/>
    </row>
    <row r="729" spans="1:15" ht="17.25" customHeight="1">
      <c r="A729" s="44"/>
      <c r="B729" s="44"/>
      <c r="C729" s="44"/>
      <c r="D729" s="44"/>
      <c r="E729" s="44"/>
      <c r="F729" s="44"/>
      <c r="G729" s="44"/>
      <c r="H729" s="44"/>
      <c r="I729" s="44"/>
      <c r="J729" s="44"/>
      <c r="K729" s="44"/>
      <c r="L729" s="44"/>
      <c r="M729" s="44"/>
      <c r="N729" s="44"/>
      <c r="O729" s="44"/>
    </row>
    <row r="730" spans="1:15" ht="17.25" customHeight="1">
      <c r="A730" s="44"/>
      <c r="B730" s="44"/>
      <c r="C730" s="44"/>
      <c r="D730" s="44"/>
      <c r="E730" s="44"/>
      <c r="F730" s="44"/>
      <c r="G730" s="44"/>
      <c r="H730" s="44"/>
      <c r="I730" s="44"/>
      <c r="J730" s="44"/>
      <c r="K730" s="44"/>
      <c r="L730" s="44"/>
      <c r="M730" s="44"/>
      <c r="N730" s="44"/>
      <c r="O730" s="44"/>
    </row>
    <row r="731" spans="1:15" ht="17.25" customHeight="1">
      <c r="A731" s="44"/>
      <c r="B731" s="44"/>
      <c r="C731" s="44"/>
      <c r="D731" s="44"/>
      <c r="E731" s="44"/>
      <c r="F731" s="44"/>
      <c r="G731" s="44"/>
      <c r="H731" s="44"/>
      <c r="I731" s="44"/>
      <c r="J731" s="44"/>
      <c r="K731" s="44"/>
      <c r="L731" s="44"/>
      <c r="M731" s="44"/>
      <c r="N731" s="44"/>
      <c r="O731" s="44"/>
    </row>
    <row r="732" spans="1:15" ht="17.25" customHeight="1">
      <c r="A732" s="44"/>
      <c r="B732" s="44"/>
      <c r="C732" s="44"/>
      <c r="D732" s="44"/>
      <c r="E732" s="44"/>
      <c r="F732" s="44"/>
      <c r="G732" s="44"/>
      <c r="H732" s="44"/>
      <c r="I732" s="44"/>
      <c r="J732" s="44"/>
      <c r="K732" s="44"/>
      <c r="L732" s="44"/>
      <c r="M732" s="44"/>
      <c r="N732" s="44"/>
      <c r="O732" s="44"/>
    </row>
    <row r="733" spans="1:15" ht="17.25" customHeight="1">
      <c r="A733" s="44"/>
      <c r="B733" s="44"/>
      <c r="C733" s="44"/>
      <c r="D733" s="44"/>
      <c r="E733" s="44"/>
      <c r="F733" s="44"/>
      <c r="G733" s="44"/>
      <c r="H733" s="44"/>
      <c r="I733" s="44"/>
      <c r="J733" s="44"/>
      <c r="K733" s="44"/>
      <c r="L733" s="44"/>
      <c r="M733" s="44"/>
      <c r="N733" s="44"/>
      <c r="O733" s="44"/>
    </row>
    <row r="734" spans="1:15" ht="17.25" customHeight="1">
      <c r="A734" s="44"/>
      <c r="B734" s="44"/>
      <c r="C734" s="44"/>
      <c r="D734" s="44"/>
      <c r="E734" s="44"/>
      <c r="F734" s="44"/>
      <c r="G734" s="44"/>
      <c r="H734" s="44"/>
      <c r="I734" s="44"/>
      <c r="J734" s="44"/>
      <c r="K734" s="44"/>
      <c r="L734" s="44"/>
      <c r="M734" s="44"/>
      <c r="N734" s="44"/>
      <c r="O734" s="44"/>
    </row>
    <row r="735" spans="1:15" ht="17.25" customHeight="1">
      <c r="A735" s="44"/>
      <c r="B735" s="44"/>
      <c r="C735" s="44"/>
      <c r="D735" s="44"/>
      <c r="E735" s="44"/>
      <c r="F735" s="44"/>
      <c r="G735" s="44"/>
      <c r="H735" s="44"/>
      <c r="I735" s="44"/>
      <c r="J735" s="44"/>
      <c r="K735" s="44"/>
      <c r="L735" s="44"/>
      <c r="M735" s="44"/>
      <c r="N735" s="44"/>
      <c r="O735" s="44"/>
    </row>
    <row r="736" spans="1:15" ht="17.25" customHeight="1">
      <c r="A736" s="44"/>
      <c r="B736" s="44"/>
      <c r="C736" s="44"/>
      <c r="D736" s="44"/>
      <c r="E736" s="44"/>
      <c r="F736" s="44"/>
      <c r="G736" s="44"/>
      <c r="H736" s="44"/>
      <c r="I736" s="44"/>
      <c r="J736" s="44"/>
      <c r="K736" s="44"/>
      <c r="L736" s="44"/>
      <c r="M736" s="44"/>
      <c r="N736" s="44"/>
      <c r="O736" s="44"/>
    </row>
    <row r="737" spans="1:15" ht="17.25" customHeight="1">
      <c r="A737" s="44"/>
      <c r="B737" s="44"/>
      <c r="C737" s="44"/>
      <c r="D737" s="44"/>
      <c r="E737" s="44"/>
      <c r="F737" s="44"/>
      <c r="G737" s="44"/>
      <c r="H737" s="44"/>
      <c r="I737" s="44"/>
      <c r="J737" s="44"/>
      <c r="K737" s="44"/>
      <c r="L737" s="44"/>
      <c r="M737" s="44"/>
      <c r="N737" s="44"/>
      <c r="O737" s="44"/>
    </row>
    <row r="738" spans="1:15" ht="17.25" customHeight="1">
      <c r="A738" s="44"/>
      <c r="B738" s="44"/>
      <c r="C738" s="44"/>
      <c r="D738" s="44"/>
      <c r="E738" s="44"/>
      <c r="F738" s="44"/>
      <c r="G738" s="44"/>
      <c r="H738" s="44"/>
      <c r="I738" s="44"/>
      <c r="J738" s="44"/>
      <c r="K738" s="44"/>
      <c r="L738" s="44"/>
      <c r="M738" s="44"/>
      <c r="N738" s="44"/>
      <c r="O738" s="44"/>
    </row>
    <row r="739" spans="1:15" ht="17.25" customHeight="1">
      <c r="A739" s="44"/>
      <c r="B739" s="44"/>
      <c r="C739" s="44"/>
      <c r="D739" s="44"/>
      <c r="E739" s="44"/>
      <c r="F739" s="44"/>
      <c r="G739" s="44"/>
      <c r="H739" s="44"/>
      <c r="I739" s="44"/>
      <c r="J739" s="44"/>
      <c r="K739" s="44"/>
      <c r="L739" s="44"/>
      <c r="M739" s="44"/>
      <c r="N739" s="44"/>
      <c r="O739" s="44"/>
    </row>
    <row r="740" spans="1:15" ht="17.25" customHeight="1">
      <c r="A740" s="44"/>
      <c r="B740" s="44"/>
      <c r="C740" s="44"/>
      <c r="D740" s="44"/>
      <c r="E740" s="44"/>
      <c r="F740" s="44"/>
      <c r="G740" s="44"/>
      <c r="H740" s="44"/>
      <c r="I740" s="44"/>
      <c r="J740" s="44"/>
      <c r="K740" s="44"/>
      <c r="L740" s="44"/>
      <c r="M740" s="44"/>
      <c r="N740" s="44"/>
      <c r="O740" s="44"/>
    </row>
    <row r="741" spans="1:15" ht="17.25" customHeight="1">
      <c r="A741" s="44"/>
      <c r="B741" s="44"/>
      <c r="C741" s="44"/>
      <c r="D741" s="44"/>
      <c r="E741" s="44"/>
      <c r="F741" s="44"/>
      <c r="G741" s="44"/>
      <c r="H741" s="44"/>
      <c r="I741" s="44"/>
      <c r="J741" s="44"/>
      <c r="K741" s="44"/>
      <c r="L741" s="44"/>
      <c r="M741" s="44"/>
      <c r="N741" s="44"/>
      <c r="O741" s="44"/>
    </row>
    <row r="742" spans="1:15" ht="17.25" customHeight="1">
      <c r="A742" s="44"/>
      <c r="B742" s="44"/>
      <c r="C742" s="44"/>
      <c r="D742" s="44"/>
      <c r="E742" s="44"/>
      <c r="F742" s="44"/>
      <c r="G742" s="44"/>
      <c r="H742" s="44"/>
      <c r="I742" s="44"/>
      <c r="J742" s="44"/>
      <c r="K742" s="44"/>
      <c r="L742" s="44"/>
      <c r="M742" s="44"/>
      <c r="N742" s="44"/>
      <c r="O742" s="44"/>
    </row>
    <row r="743" spans="1:15" ht="17.25" customHeight="1">
      <c r="A743" s="44"/>
      <c r="B743" s="44"/>
      <c r="C743" s="44"/>
      <c r="D743" s="44"/>
      <c r="E743" s="44"/>
      <c r="F743" s="44"/>
      <c r="G743" s="44"/>
      <c r="H743" s="44"/>
      <c r="I743" s="44"/>
      <c r="J743" s="44"/>
      <c r="K743" s="44"/>
      <c r="L743" s="44"/>
      <c r="M743" s="44"/>
      <c r="N743" s="44"/>
      <c r="O743" s="44"/>
    </row>
    <row r="744" spans="1:15" ht="17.25" customHeight="1">
      <c r="A744" s="44"/>
      <c r="B744" s="44"/>
      <c r="C744" s="44"/>
      <c r="D744" s="44"/>
      <c r="E744" s="44"/>
      <c r="F744" s="44"/>
      <c r="G744" s="44"/>
      <c r="H744" s="44"/>
      <c r="I744" s="44"/>
      <c r="J744" s="44"/>
      <c r="K744" s="44"/>
      <c r="L744" s="44"/>
      <c r="M744" s="44"/>
      <c r="N744" s="44"/>
      <c r="O744" s="44"/>
    </row>
    <row r="745" spans="1:15" ht="17.25" customHeight="1">
      <c r="A745" s="44"/>
      <c r="B745" s="44"/>
      <c r="C745" s="44"/>
      <c r="D745" s="44"/>
      <c r="E745" s="44"/>
      <c r="F745" s="44"/>
      <c r="G745" s="44"/>
      <c r="H745" s="44"/>
      <c r="I745" s="44"/>
      <c r="J745" s="44"/>
      <c r="K745" s="44"/>
      <c r="L745" s="44"/>
      <c r="M745" s="44"/>
      <c r="N745" s="44"/>
      <c r="O745" s="44"/>
    </row>
    <row r="746" spans="1:15" ht="17.25" customHeight="1">
      <c r="A746" s="44"/>
      <c r="B746" s="44"/>
      <c r="C746" s="44"/>
      <c r="D746" s="44"/>
      <c r="E746" s="44"/>
      <c r="F746" s="44"/>
      <c r="G746" s="44"/>
      <c r="H746" s="44"/>
      <c r="I746" s="44"/>
      <c r="J746" s="44"/>
      <c r="K746" s="44"/>
      <c r="L746" s="44"/>
      <c r="M746" s="44"/>
      <c r="N746" s="44"/>
      <c r="O746" s="44"/>
    </row>
    <row r="747" spans="1:15" ht="17.25" customHeight="1">
      <c r="A747" s="44"/>
      <c r="B747" s="44"/>
      <c r="C747" s="44"/>
      <c r="D747" s="44"/>
      <c r="E747" s="44"/>
      <c r="F747" s="44"/>
      <c r="G747" s="44"/>
      <c r="H747" s="44"/>
      <c r="I747" s="44"/>
      <c r="J747" s="44"/>
      <c r="K747" s="44"/>
      <c r="L747" s="44"/>
      <c r="M747" s="44"/>
      <c r="N747" s="44"/>
      <c r="O747" s="44"/>
    </row>
    <row r="748" spans="1:15" ht="17.25" customHeight="1">
      <c r="A748" s="44"/>
      <c r="B748" s="44"/>
      <c r="C748" s="44"/>
      <c r="D748" s="44"/>
      <c r="E748" s="44"/>
      <c r="F748" s="44"/>
      <c r="G748" s="44"/>
      <c r="H748" s="44"/>
      <c r="I748" s="44"/>
      <c r="J748" s="44"/>
      <c r="K748" s="44"/>
      <c r="L748" s="44"/>
      <c r="M748" s="44"/>
      <c r="N748" s="44"/>
      <c r="O748" s="44"/>
    </row>
    <row r="749" spans="1:15" ht="17.25" customHeight="1">
      <c r="A749" s="44"/>
      <c r="B749" s="44"/>
      <c r="C749" s="44"/>
      <c r="D749" s="44"/>
      <c r="E749" s="44"/>
      <c r="F749" s="44"/>
      <c r="G749" s="44"/>
      <c r="H749" s="44"/>
      <c r="I749" s="44"/>
      <c r="J749" s="44"/>
      <c r="K749" s="44"/>
      <c r="L749" s="44"/>
      <c r="M749" s="44"/>
      <c r="N749" s="44"/>
      <c r="O749" s="44"/>
    </row>
    <row r="750" spans="1:15" ht="17.25" customHeight="1">
      <c r="A750" s="44"/>
      <c r="B750" s="44"/>
      <c r="C750" s="44"/>
      <c r="D750" s="44"/>
      <c r="E750" s="44"/>
      <c r="F750" s="44"/>
      <c r="G750" s="44"/>
      <c r="H750" s="44"/>
      <c r="I750" s="44"/>
      <c r="J750" s="44"/>
      <c r="K750" s="44"/>
      <c r="L750" s="44"/>
      <c r="M750" s="44"/>
      <c r="N750" s="44"/>
      <c r="O750" s="44"/>
    </row>
    <row r="751" spans="1:15" ht="17.25" customHeight="1">
      <c r="A751" s="44"/>
      <c r="B751" s="44"/>
      <c r="C751" s="44"/>
      <c r="D751" s="44"/>
      <c r="E751" s="44"/>
      <c r="F751" s="44"/>
      <c r="G751" s="44"/>
      <c r="H751" s="44"/>
      <c r="I751" s="44"/>
      <c r="J751" s="44"/>
      <c r="K751" s="44"/>
      <c r="L751" s="44"/>
      <c r="M751" s="44"/>
      <c r="N751" s="44"/>
      <c r="O751" s="44"/>
    </row>
    <row r="752" spans="1:15" ht="17.25" customHeight="1">
      <c r="A752" s="44"/>
      <c r="B752" s="44"/>
      <c r="C752" s="44"/>
      <c r="D752" s="44"/>
      <c r="E752" s="44"/>
      <c r="F752" s="44"/>
      <c r="G752" s="44"/>
      <c r="H752" s="44"/>
      <c r="I752" s="44"/>
      <c r="J752" s="44"/>
      <c r="K752" s="44"/>
      <c r="L752" s="44"/>
      <c r="M752" s="44"/>
      <c r="N752" s="44"/>
      <c r="O752" s="44"/>
    </row>
    <row r="753" spans="1:15" ht="17.25" customHeight="1">
      <c r="A753" s="44"/>
      <c r="B753" s="44"/>
      <c r="C753" s="44"/>
      <c r="D753" s="44"/>
      <c r="E753" s="44"/>
      <c r="F753" s="44"/>
      <c r="G753" s="44"/>
      <c r="H753" s="44"/>
      <c r="I753" s="44"/>
      <c r="J753" s="44"/>
      <c r="K753" s="44"/>
      <c r="L753" s="44"/>
      <c r="M753" s="44"/>
      <c r="N753" s="44"/>
      <c r="O753" s="44"/>
    </row>
    <row r="754" spans="1:15" ht="17.25" customHeight="1">
      <c r="A754" s="44"/>
      <c r="B754" s="44"/>
      <c r="C754" s="44"/>
      <c r="D754" s="44"/>
      <c r="E754" s="44"/>
      <c r="F754" s="44"/>
      <c r="G754" s="44"/>
      <c r="H754" s="44"/>
      <c r="I754" s="44"/>
      <c r="J754" s="44"/>
      <c r="K754" s="44"/>
      <c r="L754" s="44"/>
      <c r="M754" s="44"/>
      <c r="N754" s="44"/>
      <c r="O754" s="44"/>
    </row>
    <row r="755" spans="1:15" ht="17.25" customHeight="1">
      <c r="A755" s="44"/>
      <c r="B755" s="44"/>
      <c r="C755" s="44"/>
      <c r="D755" s="44"/>
      <c r="E755" s="44"/>
      <c r="F755" s="44"/>
      <c r="G755" s="44"/>
      <c r="H755" s="44"/>
      <c r="I755" s="44"/>
      <c r="J755" s="44"/>
      <c r="K755" s="44"/>
      <c r="L755" s="44"/>
      <c r="M755" s="44"/>
      <c r="N755" s="44"/>
      <c r="O755" s="44"/>
    </row>
    <row r="756" spans="1:15" ht="17.25" customHeight="1">
      <c r="A756" s="44"/>
      <c r="B756" s="44"/>
      <c r="C756" s="44"/>
      <c r="D756" s="44"/>
      <c r="E756" s="44"/>
      <c r="F756" s="44"/>
      <c r="G756" s="44"/>
      <c r="H756" s="44"/>
      <c r="I756" s="44"/>
      <c r="J756" s="44"/>
      <c r="K756" s="44"/>
      <c r="L756" s="44"/>
      <c r="M756" s="44"/>
      <c r="N756" s="44"/>
      <c r="O756" s="44"/>
    </row>
    <row r="757" spans="1:15" ht="17.25" customHeight="1">
      <c r="A757" s="44"/>
      <c r="B757" s="44"/>
      <c r="C757" s="44"/>
      <c r="D757" s="44"/>
      <c r="E757" s="44"/>
      <c r="F757" s="44"/>
      <c r="G757" s="44"/>
      <c r="H757" s="44"/>
      <c r="I757" s="44"/>
      <c r="J757" s="44"/>
      <c r="K757" s="44"/>
      <c r="L757" s="44"/>
      <c r="M757" s="44"/>
      <c r="N757" s="44"/>
      <c r="O757" s="44"/>
    </row>
    <row r="758" spans="1:15" ht="17.25" customHeight="1">
      <c r="A758" s="44"/>
      <c r="B758" s="44"/>
      <c r="C758" s="44"/>
      <c r="D758" s="44"/>
      <c r="E758" s="44"/>
      <c r="F758" s="44"/>
      <c r="G758" s="44"/>
      <c r="H758" s="44"/>
      <c r="I758" s="44"/>
      <c r="J758" s="44"/>
      <c r="K758" s="44"/>
      <c r="L758" s="44"/>
      <c r="M758" s="44"/>
      <c r="N758" s="44"/>
      <c r="O758" s="44"/>
    </row>
    <row r="759" spans="1:15" ht="17.25" customHeight="1">
      <c r="A759" s="44"/>
      <c r="B759" s="44"/>
      <c r="C759" s="44"/>
      <c r="D759" s="44"/>
      <c r="E759" s="44"/>
      <c r="F759" s="44"/>
      <c r="G759" s="44"/>
      <c r="H759" s="44"/>
      <c r="I759" s="44"/>
      <c r="J759" s="44"/>
      <c r="K759" s="44"/>
      <c r="L759" s="44"/>
      <c r="M759" s="44"/>
      <c r="N759" s="44"/>
      <c r="O759" s="44"/>
    </row>
    <row r="760" spans="1:15" ht="17.25" customHeight="1">
      <c r="A760" s="44"/>
      <c r="B760" s="44"/>
      <c r="C760" s="44"/>
      <c r="D760" s="44"/>
      <c r="E760" s="44"/>
      <c r="F760" s="44"/>
      <c r="G760" s="44"/>
      <c r="H760" s="44"/>
      <c r="I760" s="44"/>
      <c r="J760" s="44"/>
      <c r="K760" s="44"/>
      <c r="L760" s="44"/>
      <c r="M760" s="44"/>
      <c r="N760" s="44"/>
      <c r="O760" s="44"/>
    </row>
    <row r="761" spans="1:15" ht="17.25" customHeight="1">
      <c r="A761" s="44"/>
      <c r="B761" s="44"/>
      <c r="C761" s="44"/>
      <c r="D761" s="44"/>
      <c r="E761" s="44"/>
      <c r="F761" s="44"/>
      <c r="G761" s="44"/>
      <c r="H761" s="44"/>
      <c r="I761" s="44"/>
      <c r="J761" s="44"/>
      <c r="K761" s="44"/>
      <c r="L761" s="44"/>
      <c r="M761" s="44"/>
      <c r="N761" s="44"/>
      <c r="O761" s="44"/>
    </row>
    <row r="762" spans="1:15" ht="17.25" customHeight="1">
      <c r="A762" s="44"/>
      <c r="B762" s="44"/>
      <c r="C762" s="44"/>
      <c r="D762" s="44"/>
      <c r="E762" s="44"/>
      <c r="F762" s="44"/>
      <c r="G762" s="44"/>
      <c r="H762" s="44"/>
      <c r="I762" s="44"/>
      <c r="J762" s="44"/>
      <c r="K762" s="44"/>
      <c r="L762" s="44"/>
      <c r="M762" s="44"/>
      <c r="N762" s="44"/>
      <c r="O762" s="44"/>
    </row>
    <row r="763" spans="1:15" ht="17.25" customHeight="1">
      <c r="A763" s="44"/>
      <c r="B763" s="44"/>
      <c r="C763" s="44"/>
      <c r="D763" s="44"/>
      <c r="E763" s="44"/>
      <c r="F763" s="44"/>
      <c r="G763" s="44"/>
      <c r="H763" s="44"/>
      <c r="I763" s="44"/>
      <c r="J763" s="44"/>
      <c r="K763" s="44"/>
      <c r="L763" s="44"/>
      <c r="M763" s="44"/>
      <c r="N763" s="44"/>
      <c r="O763" s="44"/>
    </row>
    <row r="764" spans="1:15" ht="17.25" customHeight="1">
      <c r="A764" s="44"/>
      <c r="B764" s="44"/>
      <c r="C764" s="44"/>
      <c r="D764" s="44"/>
      <c r="E764" s="44"/>
      <c r="F764" s="44"/>
      <c r="G764" s="44"/>
      <c r="H764" s="44"/>
      <c r="I764" s="44"/>
      <c r="J764" s="44"/>
      <c r="K764" s="44"/>
      <c r="L764" s="44"/>
      <c r="M764" s="44"/>
      <c r="N764" s="44"/>
      <c r="O764" s="44"/>
    </row>
    <row r="765" spans="1:15" ht="17.25" customHeight="1">
      <c r="A765" s="44"/>
      <c r="B765" s="44"/>
      <c r="C765" s="44"/>
      <c r="D765" s="44"/>
      <c r="E765" s="44"/>
      <c r="F765" s="44"/>
      <c r="G765" s="44"/>
      <c r="H765" s="44"/>
      <c r="I765" s="44"/>
      <c r="J765" s="44"/>
      <c r="K765" s="44"/>
      <c r="L765" s="44"/>
      <c r="M765" s="44"/>
      <c r="N765" s="44"/>
      <c r="O765" s="44"/>
    </row>
    <row r="766" spans="1:15" ht="17.25" customHeight="1">
      <c r="A766" s="44"/>
      <c r="B766" s="44"/>
      <c r="C766" s="44"/>
      <c r="D766" s="44"/>
      <c r="E766" s="44"/>
      <c r="F766" s="44"/>
      <c r="G766" s="44"/>
      <c r="H766" s="44"/>
      <c r="I766" s="44"/>
      <c r="J766" s="44"/>
      <c r="K766" s="44"/>
      <c r="L766" s="44"/>
      <c r="M766" s="44"/>
      <c r="N766" s="44"/>
      <c r="O766" s="44"/>
    </row>
    <row r="767" spans="1:15" ht="17.25" customHeight="1">
      <c r="A767" s="44"/>
      <c r="B767" s="44"/>
      <c r="C767" s="44"/>
      <c r="D767" s="44"/>
      <c r="E767" s="44"/>
      <c r="F767" s="44"/>
      <c r="G767" s="44"/>
      <c r="H767" s="44"/>
      <c r="I767" s="44"/>
      <c r="J767" s="44"/>
      <c r="K767" s="44"/>
      <c r="L767" s="44"/>
      <c r="M767" s="44"/>
      <c r="N767" s="44"/>
      <c r="O767" s="44"/>
    </row>
    <row r="768" spans="1:15" ht="17.25" customHeight="1">
      <c r="A768" s="44"/>
      <c r="B768" s="44"/>
      <c r="C768" s="44"/>
      <c r="D768" s="44"/>
      <c r="E768" s="44"/>
      <c r="F768" s="44"/>
      <c r="G768" s="44"/>
      <c r="H768" s="44"/>
      <c r="I768" s="44"/>
      <c r="J768" s="44"/>
      <c r="K768" s="44"/>
      <c r="L768" s="44"/>
      <c r="M768" s="44"/>
      <c r="N768" s="44"/>
      <c r="O768" s="44"/>
    </row>
    <row r="769" spans="1:15" ht="17.25" customHeight="1">
      <c r="A769" s="44"/>
      <c r="B769" s="44"/>
      <c r="C769" s="44"/>
      <c r="D769" s="44"/>
      <c r="E769" s="44"/>
      <c r="F769" s="44"/>
      <c r="G769" s="44"/>
      <c r="H769" s="44"/>
      <c r="I769" s="44"/>
      <c r="J769" s="44"/>
      <c r="K769" s="44"/>
      <c r="L769" s="44"/>
      <c r="M769" s="44"/>
      <c r="N769" s="44"/>
      <c r="O769" s="44"/>
    </row>
    <row r="770" spans="1:15" ht="17.25" customHeight="1">
      <c r="A770" s="44"/>
      <c r="B770" s="44"/>
      <c r="C770" s="44"/>
      <c r="D770" s="44"/>
      <c r="E770" s="44"/>
      <c r="F770" s="44"/>
      <c r="G770" s="44"/>
      <c r="H770" s="44"/>
      <c r="I770" s="44"/>
      <c r="J770" s="44"/>
      <c r="K770" s="44"/>
      <c r="L770" s="44"/>
      <c r="M770" s="44"/>
      <c r="N770" s="44"/>
      <c r="O770" s="44"/>
    </row>
    <row r="771" spans="1:15" ht="17.25" customHeight="1">
      <c r="A771" s="44"/>
      <c r="B771" s="44"/>
      <c r="C771" s="44"/>
      <c r="D771" s="44"/>
      <c r="E771" s="44"/>
      <c r="F771" s="44"/>
      <c r="G771" s="44"/>
      <c r="H771" s="44"/>
      <c r="I771" s="44"/>
      <c r="J771" s="44"/>
      <c r="K771" s="44"/>
      <c r="L771" s="44"/>
      <c r="M771" s="44"/>
      <c r="N771" s="44"/>
      <c r="O771" s="44"/>
    </row>
    <row r="772" spans="1:15" ht="17.25" customHeight="1">
      <c r="A772" s="44"/>
      <c r="B772" s="44"/>
      <c r="C772" s="44"/>
      <c r="D772" s="44"/>
      <c r="E772" s="44"/>
      <c r="F772" s="44"/>
      <c r="G772" s="44"/>
      <c r="H772" s="44"/>
      <c r="I772" s="44"/>
      <c r="J772" s="44"/>
      <c r="K772" s="44"/>
      <c r="L772" s="44"/>
      <c r="M772" s="44"/>
      <c r="N772" s="44"/>
      <c r="O772" s="44"/>
    </row>
    <row r="773" spans="1:15" ht="17.25" customHeight="1">
      <c r="A773" s="44"/>
      <c r="B773" s="44"/>
      <c r="C773" s="44"/>
      <c r="D773" s="44"/>
      <c r="E773" s="44"/>
      <c r="F773" s="44"/>
      <c r="G773" s="44"/>
      <c r="H773" s="44"/>
      <c r="I773" s="44"/>
      <c r="J773" s="44"/>
      <c r="K773" s="44"/>
      <c r="L773" s="44"/>
      <c r="M773" s="44"/>
      <c r="N773" s="44"/>
      <c r="O773" s="44"/>
    </row>
    <row r="774" spans="1:15" ht="17.25" customHeight="1">
      <c r="A774" s="44"/>
      <c r="B774" s="44"/>
      <c r="C774" s="44"/>
      <c r="D774" s="44"/>
      <c r="E774" s="44"/>
      <c r="F774" s="44"/>
      <c r="G774" s="44"/>
      <c r="H774" s="44"/>
      <c r="I774" s="44"/>
      <c r="J774" s="44"/>
      <c r="K774" s="44"/>
      <c r="L774" s="44"/>
      <c r="M774" s="44"/>
      <c r="N774" s="44"/>
      <c r="O774" s="44"/>
    </row>
    <row r="775" spans="1:15" ht="17.25" customHeight="1">
      <c r="A775" s="44"/>
      <c r="B775" s="44"/>
      <c r="C775" s="44"/>
      <c r="D775" s="44"/>
      <c r="E775" s="44"/>
      <c r="F775" s="44"/>
      <c r="G775" s="44"/>
      <c r="H775" s="44"/>
      <c r="I775" s="44"/>
      <c r="J775" s="44"/>
      <c r="K775" s="44"/>
      <c r="L775" s="44"/>
      <c r="M775" s="44"/>
      <c r="N775" s="44"/>
      <c r="O775" s="44"/>
    </row>
    <row r="776" spans="1:15" ht="17.25" customHeight="1">
      <c r="A776" s="44"/>
      <c r="B776" s="44"/>
      <c r="C776" s="44"/>
      <c r="D776" s="44"/>
      <c r="E776" s="44"/>
      <c r="F776" s="44"/>
      <c r="G776" s="44"/>
      <c r="H776" s="44"/>
      <c r="I776" s="44"/>
      <c r="J776" s="44"/>
      <c r="K776" s="44"/>
      <c r="L776" s="44"/>
      <c r="M776" s="44"/>
      <c r="N776" s="44"/>
      <c r="O776" s="44"/>
    </row>
    <row r="777" spans="1:15" ht="17.25" customHeight="1">
      <c r="A777" s="44"/>
      <c r="B777" s="44"/>
      <c r="C777" s="44"/>
      <c r="D777" s="44"/>
      <c r="E777" s="44"/>
      <c r="F777" s="44"/>
      <c r="G777" s="44"/>
      <c r="H777" s="44"/>
      <c r="I777" s="44"/>
      <c r="J777" s="44"/>
      <c r="K777" s="44"/>
      <c r="L777" s="44"/>
      <c r="M777" s="44"/>
      <c r="N777" s="44"/>
      <c r="O777" s="44"/>
    </row>
    <row r="778" spans="1:15" ht="17.25" customHeight="1">
      <c r="A778" s="44"/>
      <c r="B778" s="44"/>
      <c r="C778" s="44"/>
      <c r="D778" s="44"/>
      <c r="E778" s="44"/>
      <c r="F778" s="44"/>
      <c r="G778" s="44"/>
      <c r="H778" s="44"/>
      <c r="I778" s="44"/>
      <c r="J778" s="44"/>
      <c r="K778" s="44"/>
      <c r="L778" s="44"/>
      <c r="M778" s="44"/>
      <c r="N778" s="44"/>
      <c r="O778" s="44"/>
    </row>
    <row r="779" spans="1:15" ht="17.25" customHeight="1">
      <c r="A779" s="44"/>
      <c r="B779" s="44"/>
      <c r="C779" s="44"/>
      <c r="D779" s="44"/>
      <c r="E779" s="44"/>
      <c r="F779" s="44"/>
      <c r="G779" s="44"/>
      <c r="H779" s="44"/>
      <c r="I779" s="44"/>
      <c r="J779" s="44"/>
      <c r="K779" s="44"/>
      <c r="L779" s="44"/>
      <c r="M779" s="44"/>
      <c r="N779" s="44"/>
      <c r="O779" s="44"/>
    </row>
    <row r="780" spans="1:15" ht="17.25" customHeight="1">
      <c r="A780" s="44"/>
      <c r="B780" s="44"/>
      <c r="C780" s="44"/>
      <c r="D780" s="44"/>
      <c r="E780" s="44"/>
      <c r="F780" s="44"/>
      <c r="G780" s="44"/>
      <c r="H780" s="44"/>
      <c r="I780" s="44"/>
      <c r="J780" s="44"/>
      <c r="K780" s="44"/>
      <c r="L780" s="44"/>
      <c r="M780" s="44"/>
      <c r="N780" s="44"/>
      <c r="O780" s="44"/>
    </row>
    <row r="781" spans="1:15" ht="17.25" customHeight="1">
      <c r="A781" s="44"/>
      <c r="B781" s="44"/>
      <c r="C781" s="44"/>
      <c r="D781" s="44"/>
      <c r="E781" s="44"/>
      <c r="F781" s="44"/>
      <c r="G781" s="44"/>
      <c r="H781" s="44"/>
      <c r="I781" s="44"/>
      <c r="J781" s="44"/>
      <c r="K781" s="44"/>
      <c r="L781" s="44"/>
      <c r="M781" s="44"/>
      <c r="N781" s="44"/>
      <c r="O781" s="44"/>
    </row>
    <row r="782" spans="1:15" ht="17.25" customHeight="1">
      <c r="A782" s="44"/>
      <c r="B782" s="44"/>
      <c r="C782" s="44"/>
      <c r="D782" s="44"/>
      <c r="E782" s="44"/>
      <c r="F782" s="44"/>
      <c r="G782" s="44"/>
      <c r="H782" s="44"/>
      <c r="I782" s="44"/>
      <c r="J782" s="44"/>
      <c r="K782" s="44"/>
      <c r="L782" s="44"/>
      <c r="M782" s="44"/>
      <c r="N782" s="44"/>
      <c r="O782" s="44"/>
    </row>
    <row r="783" spans="1:15" ht="17.25" customHeight="1">
      <c r="A783" s="44"/>
      <c r="B783" s="44"/>
      <c r="C783" s="44"/>
      <c r="D783" s="44"/>
      <c r="E783" s="44"/>
      <c r="F783" s="44"/>
      <c r="G783" s="44"/>
      <c r="H783" s="44"/>
      <c r="I783" s="44"/>
      <c r="J783" s="44"/>
      <c r="K783" s="44"/>
      <c r="L783" s="44"/>
      <c r="M783" s="44"/>
      <c r="N783" s="44"/>
      <c r="O783" s="44"/>
    </row>
    <row r="784" spans="1:15" ht="17.25" customHeight="1">
      <c r="A784" s="44"/>
      <c r="B784" s="44"/>
      <c r="C784" s="44"/>
      <c r="D784" s="44"/>
      <c r="E784" s="44"/>
      <c r="F784" s="44"/>
      <c r="G784" s="44"/>
      <c r="H784" s="44"/>
      <c r="I784" s="44"/>
      <c r="J784" s="44"/>
      <c r="K784" s="44"/>
      <c r="L784" s="44"/>
      <c r="M784" s="44"/>
      <c r="N784" s="44"/>
      <c r="O784" s="44"/>
    </row>
    <row r="785" spans="1:15" ht="17.25" customHeight="1">
      <c r="A785" s="44"/>
      <c r="B785" s="44"/>
      <c r="C785" s="44"/>
      <c r="D785" s="44"/>
      <c r="E785" s="44"/>
      <c r="F785" s="44"/>
      <c r="G785" s="44"/>
      <c r="H785" s="44"/>
      <c r="I785" s="44"/>
      <c r="J785" s="44"/>
      <c r="K785" s="44"/>
      <c r="L785" s="44"/>
      <c r="M785" s="44"/>
      <c r="N785" s="44"/>
      <c r="O785" s="44"/>
    </row>
    <row r="786" spans="1:15" ht="17.25" customHeight="1">
      <c r="A786" s="44"/>
      <c r="B786" s="44"/>
      <c r="C786" s="44"/>
      <c r="D786" s="44"/>
      <c r="E786" s="44"/>
      <c r="F786" s="44"/>
      <c r="G786" s="44"/>
      <c r="H786" s="44"/>
      <c r="I786" s="44"/>
      <c r="J786" s="44"/>
      <c r="K786" s="44"/>
      <c r="L786" s="44"/>
      <c r="M786" s="44"/>
      <c r="N786" s="44"/>
      <c r="O786" s="44"/>
    </row>
    <row r="787" spans="1:15" ht="17.25" customHeight="1">
      <c r="A787" s="44"/>
      <c r="B787" s="44"/>
      <c r="C787" s="44"/>
      <c r="D787" s="44"/>
      <c r="E787" s="44"/>
      <c r="F787" s="44"/>
      <c r="G787" s="44"/>
      <c r="H787" s="44"/>
      <c r="I787" s="44"/>
      <c r="J787" s="44"/>
      <c r="K787" s="44"/>
      <c r="L787" s="44"/>
      <c r="M787" s="44"/>
      <c r="N787" s="44"/>
      <c r="O787" s="44"/>
    </row>
    <row r="788" spans="1:15" ht="17.25" customHeight="1">
      <c r="A788" s="44"/>
      <c r="B788" s="44"/>
      <c r="C788" s="44"/>
      <c r="D788" s="44"/>
      <c r="E788" s="44"/>
      <c r="F788" s="44"/>
      <c r="G788" s="44"/>
      <c r="H788" s="44"/>
      <c r="I788" s="44"/>
      <c r="J788" s="44"/>
      <c r="K788" s="44"/>
      <c r="L788" s="44"/>
      <c r="M788" s="44"/>
      <c r="N788" s="44"/>
      <c r="O788" s="44"/>
    </row>
    <row r="789" spans="1:15" ht="17.25" customHeight="1">
      <c r="A789" s="44"/>
      <c r="B789" s="44"/>
      <c r="C789" s="44"/>
      <c r="D789" s="44"/>
      <c r="E789" s="44"/>
      <c r="F789" s="44"/>
      <c r="G789" s="44"/>
      <c r="H789" s="44"/>
      <c r="I789" s="44"/>
      <c r="J789" s="44"/>
      <c r="K789" s="44"/>
      <c r="L789" s="44"/>
      <c r="M789" s="44"/>
      <c r="N789" s="44"/>
      <c r="O789" s="44"/>
    </row>
    <row r="790" spans="1:15" ht="17.25" customHeight="1">
      <c r="A790" s="44"/>
      <c r="B790" s="44"/>
      <c r="C790" s="44"/>
      <c r="D790" s="44"/>
      <c r="E790" s="44"/>
      <c r="F790" s="44"/>
      <c r="G790" s="44"/>
      <c r="H790" s="44"/>
      <c r="I790" s="44"/>
      <c r="J790" s="44"/>
      <c r="K790" s="44"/>
      <c r="L790" s="44"/>
      <c r="M790" s="44"/>
      <c r="N790" s="44"/>
      <c r="O790" s="44"/>
    </row>
    <row r="791" spans="1:15" ht="17.25" customHeight="1">
      <c r="A791" s="44"/>
      <c r="B791" s="44"/>
      <c r="C791" s="44"/>
      <c r="D791" s="44"/>
      <c r="E791" s="44"/>
      <c r="F791" s="44"/>
      <c r="G791" s="44"/>
      <c r="H791" s="44"/>
      <c r="I791" s="44"/>
      <c r="J791" s="44"/>
      <c r="K791" s="44"/>
      <c r="L791" s="44"/>
      <c r="M791" s="44"/>
      <c r="N791" s="44"/>
      <c r="O791" s="44"/>
    </row>
    <row r="792" spans="1:15" ht="17.25" customHeight="1">
      <c r="A792" s="44"/>
      <c r="B792" s="44"/>
      <c r="C792" s="44"/>
      <c r="D792" s="44"/>
      <c r="E792" s="44"/>
      <c r="F792" s="44"/>
      <c r="G792" s="44"/>
      <c r="H792" s="44"/>
      <c r="I792" s="44"/>
      <c r="J792" s="44"/>
      <c r="K792" s="44"/>
      <c r="L792" s="44"/>
      <c r="M792" s="44"/>
      <c r="N792" s="44"/>
      <c r="O792" s="44"/>
    </row>
    <row r="793" spans="1:15" ht="17.25" customHeight="1">
      <c r="A793" s="44"/>
      <c r="B793" s="44"/>
      <c r="C793" s="44"/>
      <c r="D793" s="44"/>
      <c r="E793" s="44"/>
      <c r="F793" s="44"/>
      <c r="G793" s="44"/>
      <c r="H793" s="44"/>
      <c r="I793" s="44"/>
      <c r="J793" s="44"/>
      <c r="K793" s="44"/>
      <c r="L793" s="44"/>
      <c r="M793" s="44"/>
      <c r="N793" s="44"/>
      <c r="O793" s="44"/>
    </row>
    <row r="794" spans="1:15" ht="17.25" customHeight="1">
      <c r="A794" s="44"/>
      <c r="B794" s="44"/>
      <c r="C794" s="44"/>
      <c r="D794" s="44"/>
      <c r="E794" s="44"/>
      <c r="F794" s="44"/>
      <c r="G794" s="44"/>
      <c r="H794" s="44"/>
      <c r="I794" s="44"/>
      <c r="J794" s="44"/>
      <c r="K794" s="44"/>
      <c r="L794" s="44"/>
      <c r="M794" s="44"/>
      <c r="N794" s="44"/>
      <c r="O794" s="44"/>
    </row>
    <row r="795" spans="1:15" ht="17.25" customHeight="1">
      <c r="A795" s="44"/>
      <c r="B795" s="44"/>
      <c r="C795" s="44"/>
      <c r="D795" s="44"/>
      <c r="E795" s="44"/>
      <c r="F795" s="44"/>
      <c r="G795" s="44"/>
      <c r="H795" s="44"/>
      <c r="I795" s="44"/>
      <c r="J795" s="44"/>
      <c r="K795" s="44"/>
      <c r="L795" s="44"/>
      <c r="M795" s="44"/>
      <c r="N795" s="44"/>
      <c r="O795" s="44"/>
    </row>
    <row r="796" spans="1:15" ht="17.25" customHeight="1">
      <c r="A796" s="44"/>
      <c r="B796" s="44"/>
      <c r="C796" s="44"/>
      <c r="D796" s="44"/>
      <c r="E796" s="44"/>
      <c r="F796" s="44"/>
      <c r="G796" s="44"/>
      <c r="H796" s="44"/>
      <c r="I796" s="44"/>
      <c r="J796" s="44"/>
      <c r="K796" s="44"/>
      <c r="L796" s="44"/>
      <c r="M796" s="44"/>
      <c r="N796" s="44"/>
      <c r="O796" s="44"/>
    </row>
    <row r="797" spans="1:15" ht="17.25" customHeight="1">
      <c r="A797" s="44"/>
      <c r="B797" s="44"/>
      <c r="C797" s="44"/>
      <c r="D797" s="44"/>
      <c r="E797" s="44"/>
      <c r="F797" s="44"/>
      <c r="G797" s="44"/>
      <c r="H797" s="44"/>
      <c r="I797" s="44"/>
      <c r="J797" s="44"/>
      <c r="K797" s="44"/>
      <c r="L797" s="44"/>
      <c r="M797" s="44"/>
      <c r="N797" s="44"/>
      <c r="O797" s="44"/>
    </row>
    <row r="798" spans="1:15" ht="17.25" customHeight="1">
      <c r="A798" s="44"/>
      <c r="B798" s="44"/>
      <c r="C798" s="44"/>
      <c r="D798" s="44"/>
      <c r="E798" s="44"/>
      <c r="F798" s="44"/>
      <c r="G798" s="44"/>
      <c r="H798" s="44"/>
      <c r="I798" s="44"/>
      <c r="J798" s="44"/>
      <c r="K798" s="44"/>
      <c r="L798" s="44"/>
      <c r="M798" s="44"/>
      <c r="N798" s="44"/>
      <c r="O798" s="44"/>
    </row>
    <row r="799" spans="1:15" ht="17.25" customHeight="1">
      <c r="A799" s="44"/>
      <c r="B799" s="44"/>
      <c r="C799" s="44"/>
      <c r="D799" s="44"/>
      <c r="E799" s="44"/>
      <c r="F799" s="44"/>
      <c r="G799" s="44"/>
      <c r="H799" s="44"/>
      <c r="I799" s="44"/>
      <c r="J799" s="44"/>
      <c r="K799" s="44"/>
      <c r="L799" s="44"/>
      <c r="M799" s="44"/>
      <c r="N799" s="44"/>
      <c r="O799" s="44"/>
    </row>
    <row r="800" spans="1:15" ht="17.25" customHeight="1">
      <c r="A800" s="44"/>
      <c r="B800" s="44"/>
      <c r="C800" s="44"/>
      <c r="D800" s="44"/>
      <c r="E800" s="44"/>
      <c r="F800" s="44"/>
      <c r="G800" s="44"/>
      <c r="H800" s="44"/>
      <c r="I800" s="44"/>
      <c r="J800" s="44"/>
      <c r="K800" s="44"/>
      <c r="L800" s="44"/>
      <c r="M800" s="44"/>
      <c r="N800" s="44"/>
      <c r="O800" s="44"/>
    </row>
    <row r="801" spans="1:15" ht="17.25" customHeight="1">
      <c r="A801" s="44"/>
      <c r="B801" s="44"/>
      <c r="C801" s="44"/>
      <c r="D801" s="44"/>
      <c r="E801" s="44"/>
      <c r="F801" s="44"/>
      <c r="G801" s="44"/>
      <c r="H801" s="44"/>
      <c r="I801" s="44"/>
      <c r="J801" s="44"/>
      <c r="K801" s="44"/>
      <c r="L801" s="44"/>
      <c r="M801" s="44"/>
      <c r="N801" s="44"/>
      <c r="O801" s="44"/>
    </row>
    <row r="802" spans="1:15" ht="17.25" customHeight="1">
      <c r="A802" s="44"/>
      <c r="B802" s="44"/>
      <c r="C802" s="44"/>
      <c r="D802" s="44"/>
      <c r="E802" s="44"/>
      <c r="F802" s="44"/>
      <c r="G802" s="44"/>
      <c r="H802" s="44"/>
      <c r="I802" s="44"/>
      <c r="J802" s="44"/>
      <c r="K802" s="44"/>
      <c r="L802" s="44"/>
      <c r="M802" s="44"/>
      <c r="N802" s="44"/>
      <c r="O802" s="44"/>
    </row>
    <row r="803" spans="1:15" ht="17.25" customHeight="1">
      <c r="A803" s="44"/>
      <c r="B803" s="44"/>
      <c r="C803" s="44"/>
      <c r="D803" s="44"/>
      <c r="E803" s="44"/>
      <c r="F803" s="44"/>
      <c r="G803" s="44"/>
      <c r="H803" s="44"/>
      <c r="I803" s="44"/>
      <c r="J803" s="44"/>
      <c r="K803" s="44"/>
      <c r="L803" s="44"/>
      <c r="M803" s="44"/>
      <c r="N803" s="44"/>
      <c r="O803" s="44"/>
    </row>
    <row r="804" spans="1:15" ht="17.25" customHeight="1">
      <c r="A804" s="44"/>
      <c r="B804" s="44"/>
      <c r="C804" s="44"/>
      <c r="D804" s="44"/>
      <c r="E804" s="44"/>
      <c r="F804" s="44"/>
      <c r="G804" s="44"/>
      <c r="H804" s="44"/>
      <c r="I804" s="44"/>
      <c r="J804" s="44"/>
      <c r="K804" s="44"/>
      <c r="L804" s="44"/>
      <c r="M804" s="44"/>
      <c r="N804" s="44"/>
      <c r="O804" s="44"/>
    </row>
    <row r="805" spans="1:15" ht="17.25" customHeight="1">
      <c r="A805" s="44"/>
      <c r="B805" s="44"/>
      <c r="C805" s="44"/>
      <c r="D805" s="44"/>
      <c r="E805" s="44"/>
      <c r="F805" s="44"/>
      <c r="G805" s="44"/>
      <c r="H805" s="44"/>
      <c r="I805" s="44"/>
      <c r="J805" s="44"/>
      <c r="K805" s="44"/>
      <c r="L805" s="44"/>
      <c r="M805" s="44"/>
      <c r="N805" s="44"/>
      <c r="O805" s="44"/>
    </row>
    <row r="806" spans="1:15" ht="17.25" customHeight="1">
      <c r="A806" s="44"/>
      <c r="B806" s="44"/>
      <c r="C806" s="44"/>
      <c r="D806" s="44"/>
      <c r="E806" s="44"/>
      <c r="F806" s="44"/>
      <c r="G806" s="44"/>
      <c r="H806" s="44"/>
      <c r="I806" s="44"/>
      <c r="J806" s="44"/>
      <c r="K806" s="44"/>
      <c r="L806" s="44"/>
      <c r="M806" s="44"/>
      <c r="N806" s="44"/>
      <c r="O806" s="44"/>
    </row>
    <row r="807" spans="1:15" ht="17.25" customHeight="1">
      <c r="A807" s="44"/>
      <c r="B807" s="44"/>
      <c r="C807" s="44"/>
      <c r="D807" s="44"/>
      <c r="E807" s="44"/>
      <c r="F807" s="44"/>
      <c r="G807" s="44"/>
      <c r="H807" s="44"/>
      <c r="I807" s="44"/>
      <c r="J807" s="44"/>
      <c r="K807" s="44"/>
      <c r="L807" s="44"/>
      <c r="M807" s="44"/>
      <c r="N807" s="44"/>
      <c r="O807" s="44"/>
    </row>
    <row r="808" spans="1:15" ht="17.25" customHeight="1">
      <c r="A808" s="44"/>
      <c r="B808" s="44"/>
      <c r="C808" s="44"/>
      <c r="D808" s="44"/>
      <c r="E808" s="44"/>
      <c r="F808" s="44"/>
      <c r="G808" s="44"/>
      <c r="H808" s="44"/>
      <c r="I808" s="44"/>
      <c r="J808" s="44"/>
      <c r="K808" s="44"/>
      <c r="L808" s="44"/>
      <c r="M808" s="44"/>
      <c r="N808" s="44"/>
      <c r="O808" s="44"/>
    </row>
    <row r="809" spans="1:15" ht="17.25" customHeight="1">
      <c r="A809" s="44"/>
      <c r="B809" s="44"/>
      <c r="C809" s="44"/>
      <c r="D809" s="44"/>
      <c r="E809" s="44"/>
      <c r="F809" s="44"/>
      <c r="G809" s="44"/>
      <c r="H809" s="44"/>
      <c r="I809" s="44"/>
      <c r="J809" s="44"/>
      <c r="K809" s="44"/>
      <c r="L809" s="44"/>
      <c r="M809" s="44"/>
      <c r="N809" s="44"/>
      <c r="O809" s="44"/>
    </row>
    <row r="810" spans="1:15" ht="17.25" customHeight="1">
      <c r="A810" s="44"/>
      <c r="B810" s="44"/>
      <c r="C810" s="44"/>
      <c r="D810" s="44"/>
      <c r="E810" s="44"/>
      <c r="F810" s="44"/>
      <c r="G810" s="44"/>
      <c r="H810" s="44"/>
      <c r="I810" s="44"/>
      <c r="J810" s="44"/>
      <c r="K810" s="44"/>
      <c r="L810" s="44"/>
      <c r="M810" s="44"/>
      <c r="N810" s="44"/>
      <c r="O810" s="44"/>
    </row>
    <row r="811" spans="1:15" ht="17.25" customHeight="1">
      <c r="A811" s="44"/>
      <c r="B811" s="44"/>
      <c r="C811" s="44"/>
      <c r="D811" s="44"/>
      <c r="E811" s="44"/>
      <c r="F811" s="44"/>
      <c r="G811" s="44"/>
      <c r="H811" s="44"/>
      <c r="I811" s="44"/>
      <c r="J811" s="44"/>
      <c r="K811" s="44"/>
      <c r="L811" s="44"/>
      <c r="M811" s="44"/>
      <c r="N811" s="44"/>
      <c r="O811" s="44"/>
    </row>
    <row r="812" spans="1:15" ht="17.25" customHeight="1">
      <c r="A812" s="44"/>
      <c r="B812" s="44"/>
      <c r="C812" s="44"/>
      <c r="D812" s="44"/>
      <c r="E812" s="44"/>
      <c r="F812" s="44"/>
      <c r="G812" s="44"/>
      <c r="H812" s="44"/>
      <c r="I812" s="44"/>
      <c r="J812" s="44"/>
      <c r="K812" s="44"/>
      <c r="L812" s="44"/>
      <c r="M812" s="44"/>
      <c r="N812" s="44"/>
      <c r="O812" s="44"/>
    </row>
    <row r="813" spans="1:15" ht="17.25" customHeight="1">
      <c r="A813" s="44"/>
      <c r="B813" s="44"/>
      <c r="C813" s="44"/>
      <c r="D813" s="44"/>
      <c r="E813" s="44"/>
      <c r="F813" s="44"/>
      <c r="G813" s="44"/>
      <c r="H813" s="44"/>
      <c r="I813" s="44"/>
      <c r="J813" s="44"/>
      <c r="K813" s="44"/>
      <c r="L813" s="44"/>
      <c r="M813" s="44"/>
      <c r="N813" s="44"/>
      <c r="O813" s="44"/>
    </row>
    <row r="814" spans="1:15" ht="17.25" customHeight="1">
      <c r="A814" s="44"/>
      <c r="B814" s="44"/>
      <c r="C814" s="44"/>
      <c r="D814" s="44"/>
      <c r="E814" s="44"/>
      <c r="F814" s="44"/>
      <c r="G814" s="44"/>
      <c r="H814" s="44"/>
      <c r="I814" s="44"/>
      <c r="J814" s="44"/>
      <c r="K814" s="44"/>
      <c r="L814" s="44"/>
      <c r="M814" s="44"/>
      <c r="N814" s="44"/>
      <c r="O814" s="44"/>
    </row>
    <row r="815" spans="1:15" ht="17.25" customHeight="1">
      <c r="A815" s="44"/>
      <c r="B815" s="44"/>
      <c r="C815" s="44"/>
      <c r="D815" s="44"/>
      <c r="E815" s="44"/>
      <c r="F815" s="44"/>
      <c r="G815" s="44"/>
      <c r="H815" s="44"/>
      <c r="I815" s="44"/>
      <c r="J815" s="44"/>
      <c r="K815" s="44"/>
      <c r="L815" s="44"/>
      <c r="M815" s="44"/>
      <c r="N815" s="44"/>
      <c r="O815" s="44"/>
    </row>
    <row r="816" spans="1:15" ht="17.25" customHeight="1">
      <c r="A816" s="44"/>
      <c r="B816" s="44"/>
      <c r="C816" s="44"/>
      <c r="D816" s="44"/>
      <c r="E816" s="44"/>
      <c r="F816" s="44"/>
      <c r="G816" s="44"/>
      <c r="H816" s="44"/>
      <c r="I816" s="44"/>
      <c r="J816" s="44"/>
      <c r="K816" s="44"/>
      <c r="L816" s="44"/>
      <c r="M816" s="44"/>
      <c r="N816" s="44"/>
      <c r="O816" s="44"/>
    </row>
    <row r="817" spans="1:15" ht="17.25" customHeight="1">
      <c r="A817" s="44"/>
      <c r="B817" s="44"/>
      <c r="C817" s="44"/>
      <c r="D817" s="44"/>
      <c r="E817" s="44"/>
      <c r="F817" s="44"/>
      <c r="G817" s="44"/>
      <c r="H817" s="44"/>
      <c r="I817" s="44"/>
      <c r="J817" s="44"/>
      <c r="K817" s="44"/>
      <c r="L817" s="44"/>
      <c r="M817" s="44"/>
      <c r="N817" s="44"/>
      <c r="O817" s="44"/>
    </row>
    <row r="818" spans="1:15" ht="17.25" customHeight="1">
      <c r="A818" s="44"/>
      <c r="B818" s="44"/>
      <c r="C818" s="44"/>
      <c r="D818" s="44"/>
      <c r="E818" s="44"/>
      <c r="F818" s="44"/>
      <c r="G818" s="44"/>
      <c r="H818" s="44"/>
      <c r="I818" s="44"/>
      <c r="J818" s="44"/>
      <c r="K818" s="44"/>
      <c r="L818" s="44"/>
      <c r="M818" s="44"/>
      <c r="N818" s="44"/>
      <c r="O818" s="44"/>
    </row>
    <row r="819" spans="1:15" ht="17.25" customHeight="1">
      <c r="A819" s="44"/>
      <c r="B819" s="44"/>
      <c r="C819" s="44"/>
      <c r="D819" s="44"/>
      <c r="E819" s="44"/>
      <c r="F819" s="44"/>
      <c r="G819" s="44"/>
      <c r="H819" s="44"/>
      <c r="I819" s="44"/>
      <c r="J819" s="44"/>
      <c r="K819" s="44"/>
      <c r="L819" s="44"/>
      <c r="M819" s="44"/>
      <c r="N819" s="44"/>
      <c r="O819" s="44"/>
    </row>
    <row r="820" spans="1:15" ht="17.25" customHeight="1">
      <c r="A820" s="44"/>
      <c r="B820" s="44"/>
      <c r="C820" s="44"/>
      <c r="D820" s="44"/>
      <c r="E820" s="44"/>
      <c r="F820" s="44"/>
      <c r="G820" s="44"/>
      <c r="H820" s="44"/>
      <c r="I820" s="44"/>
      <c r="J820" s="44"/>
      <c r="K820" s="44"/>
      <c r="L820" s="44"/>
      <c r="M820" s="44"/>
      <c r="N820" s="44"/>
      <c r="O820" s="44"/>
    </row>
    <row r="821" spans="1:15" ht="17.25" customHeight="1">
      <c r="A821" s="44"/>
      <c r="B821" s="44"/>
      <c r="C821" s="44"/>
      <c r="D821" s="44"/>
      <c r="E821" s="44"/>
      <c r="F821" s="44"/>
      <c r="G821" s="44"/>
      <c r="H821" s="44"/>
      <c r="I821" s="44"/>
      <c r="J821" s="44"/>
      <c r="K821" s="44"/>
      <c r="L821" s="44"/>
      <c r="M821" s="44"/>
      <c r="N821" s="44"/>
      <c r="O821" s="44"/>
    </row>
    <row r="822" spans="1:15" ht="17.25" customHeight="1">
      <c r="A822" s="44"/>
      <c r="B822" s="44"/>
      <c r="C822" s="44"/>
      <c r="D822" s="44"/>
      <c r="E822" s="44"/>
      <c r="F822" s="44"/>
      <c r="G822" s="44"/>
      <c r="H822" s="44"/>
      <c r="I822" s="44"/>
      <c r="J822" s="44"/>
      <c r="K822" s="44"/>
      <c r="L822" s="44"/>
      <c r="M822" s="44"/>
      <c r="N822" s="44"/>
      <c r="O822" s="44"/>
    </row>
    <row r="823" spans="1:15" ht="17.25" customHeight="1">
      <c r="A823" s="44"/>
      <c r="B823" s="44"/>
      <c r="C823" s="44"/>
      <c r="D823" s="44"/>
      <c r="E823" s="44"/>
      <c r="F823" s="44"/>
      <c r="G823" s="44"/>
      <c r="H823" s="44"/>
      <c r="I823" s="44"/>
      <c r="J823" s="44"/>
      <c r="K823" s="44"/>
      <c r="L823" s="44"/>
      <c r="M823" s="44"/>
      <c r="N823" s="44"/>
      <c r="O823" s="44"/>
    </row>
    <row r="824" spans="1:15" ht="17.25" customHeight="1">
      <c r="A824" s="44"/>
      <c r="B824" s="44"/>
      <c r="C824" s="44"/>
      <c r="D824" s="44"/>
      <c r="E824" s="44"/>
      <c r="F824" s="44"/>
      <c r="G824" s="44"/>
      <c r="H824" s="44"/>
      <c r="I824" s="44"/>
      <c r="J824" s="44"/>
      <c r="K824" s="44"/>
      <c r="L824" s="44"/>
      <c r="M824" s="44"/>
      <c r="N824" s="44"/>
      <c r="O824" s="44"/>
    </row>
    <row r="825" spans="1:15" ht="17.25" customHeight="1">
      <c r="A825" s="44"/>
      <c r="B825" s="44"/>
      <c r="C825" s="44"/>
      <c r="D825" s="44"/>
      <c r="E825" s="44"/>
      <c r="F825" s="44"/>
      <c r="G825" s="44"/>
      <c r="H825" s="44"/>
      <c r="I825" s="44"/>
      <c r="J825" s="44"/>
      <c r="K825" s="44"/>
      <c r="L825" s="44"/>
      <c r="M825" s="44"/>
      <c r="N825" s="44"/>
      <c r="O825" s="44"/>
    </row>
    <row r="826" spans="1:15" ht="17.25" customHeight="1">
      <c r="A826" s="44"/>
      <c r="B826" s="44"/>
      <c r="C826" s="44"/>
      <c r="D826" s="44"/>
      <c r="E826" s="44"/>
      <c r="F826" s="44"/>
      <c r="G826" s="44"/>
      <c r="H826" s="44"/>
      <c r="I826" s="44"/>
      <c r="J826" s="44"/>
      <c r="K826" s="44"/>
      <c r="L826" s="44"/>
      <c r="M826" s="44"/>
      <c r="N826" s="44"/>
      <c r="O826" s="44"/>
    </row>
    <row r="827" spans="1:15" ht="17.25" customHeight="1">
      <c r="A827" s="44"/>
      <c r="B827" s="44"/>
      <c r="C827" s="44"/>
      <c r="D827" s="44"/>
      <c r="E827" s="44"/>
      <c r="F827" s="44"/>
      <c r="G827" s="44"/>
      <c r="H827" s="44"/>
      <c r="I827" s="44"/>
      <c r="J827" s="44"/>
      <c r="K827" s="44"/>
      <c r="L827" s="44"/>
      <c r="M827" s="44"/>
      <c r="N827" s="44"/>
      <c r="O827" s="44"/>
    </row>
    <row r="828" spans="1:15" ht="17.25" customHeight="1">
      <c r="A828" s="44"/>
      <c r="B828" s="44"/>
      <c r="C828" s="44"/>
      <c r="D828" s="44"/>
      <c r="E828" s="44"/>
      <c r="F828" s="44"/>
      <c r="G828" s="44"/>
      <c r="H828" s="44"/>
      <c r="I828" s="44"/>
      <c r="J828" s="44"/>
      <c r="K828" s="44"/>
      <c r="L828" s="44"/>
      <c r="M828" s="44"/>
      <c r="N828" s="44"/>
      <c r="O828" s="44"/>
    </row>
    <row r="829" spans="1:15" ht="17.25" customHeight="1">
      <c r="A829" s="44"/>
      <c r="B829" s="44"/>
      <c r="C829" s="44"/>
      <c r="D829" s="44"/>
      <c r="E829" s="44"/>
      <c r="F829" s="44"/>
      <c r="G829" s="44"/>
      <c r="H829" s="44"/>
      <c r="I829" s="44"/>
      <c r="J829" s="44"/>
      <c r="K829" s="44"/>
      <c r="L829" s="44"/>
      <c r="M829" s="44"/>
      <c r="N829" s="44"/>
      <c r="O829" s="44"/>
    </row>
    <row r="830" spans="1:15" ht="17.25" customHeight="1">
      <c r="A830" s="44"/>
      <c r="B830" s="44"/>
      <c r="C830" s="44"/>
      <c r="D830" s="44"/>
      <c r="E830" s="44"/>
      <c r="F830" s="44"/>
      <c r="G830" s="44"/>
      <c r="H830" s="44"/>
      <c r="I830" s="44"/>
      <c r="J830" s="44"/>
      <c r="K830" s="44"/>
      <c r="L830" s="44"/>
      <c r="M830" s="44"/>
      <c r="N830" s="44"/>
      <c r="O830" s="44"/>
    </row>
    <row r="831" spans="1:15" ht="17.25" customHeight="1">
      <c r="A831" s="44"/>
      <c r="B831" s="44"/>
      <c r="C831" s="44"/>
      <c r="D831" s="44"/>
      <c r="E831" s="44"/>
      <c r="F831" s="44"/>
      <c r="G831" s="44"/>
      <c r="H831" s="44"/>
      <c r="I831" s="44"/>
      <c r="J831" s="44"/>
      <c r="K831" s="44"/>
      <c r="L831" s="44"/>
      <c r="M831" s="44"/>
      <c r="N831" s="44"/>
      <c r="O831" s="44"/>
    </row>
    <row r="832" spans="1:15" ht="17.25" customHeight="1">
      <c r="A832" s="44"/>
      <c r="B832" s="44"/>
      <c r="C832" s="44"/>
      <c r="D832" s="44"/>
      <c r="E832" s="44"/>
      <c r="F832" s="44"/>
      <c r="G832" s="44"/>
      <c r="H832" s="44"/>
      <c r="I832" s="44"/>
      <c r="J832" s="44"/>
      <c r="K832" s="44"/>
      <c r="L832" s="44"/>
      <c r="M832" s="44"/>
      <c r="N832" s="44"/>
      <c r="O832" s="44"/>
    </row>
    <row r="833" spans="1:15" ht="17.25" customHeight="1">
      <c r="A833" s="44"/>
      <c r="B833" s="44"/>
      <c r="C833" s="44"/>
      <c r="D833" s="44"/>
      <c r="E833" s="44"/>
      <c r="F833" s="44"/>
      <c r="G833" s="44"/>
      <c r="H833" s="44"/>
      <c r="I833" s="44"/>
      <c r="J833" s="44"/>
      <c r="K833" s="44"/>
      <c r="L833" s="44"/>
      <c r="M833" s="44"/>
      <c r="N833" s="44"/>
      <c r="O833" s="44"/>
    </row>
    <row r="834" spans="1:15" ht="17.25" customHeight="1">
      <c r="A834" s="44"/>
      <c r="B834" s="44"/>
      <c r="C834" s="44"/>
      <c r="D834" s="44"/>
      <c r="E834" s="44"/>
      <c r="F834" s="44"/>
      <c r="G834" s="44"/>
      <c r="H834" s="44"/>
      <c r="I834" s="44"/>
      <c r="J834" s="44"/>
      <c r="K834" s="44"/>
      <c r="L834" s="44"/>
      <c r="M834" s="44"/>
      <c r="N834" s="44"/>
      <c r="O834" s="44"/>
    </row>
    <row r="835" spans="1:15" ht="17.25" customHeight="1">
      <c r="A835" s="44"/>
      <c r="B835" s="44"/>
      <c r="C835" s="44"/>
      <c r="D835" s="44"/>
      <c r="E835" s="44"/>
      <c r="F835" s="44"/>
      <c r="G835" s="44"/>
      <c r="H835" s="44"/>
      <c r="I835" s="44"/>
      <c r="J835" s="44"/>
      <c r="K835" s="44"/>
      <c r="L835" s="44"/>
      <c r="M835" s="44"/>
      <c r="N835" s="44"/>
      <c r="O835" s="44"/>
    </row>
    <row r="836" spans="1:15" ht="17.25" customHeight="1">
      <c r="A836" s="44"/>
      <c r="B836" s="44"/>
      <c r="C836" s="44"/>
      <c r="D836" s="44"/>
      <c r="E836" s="44"/>
      <c r="F836" s="44"/>
      <c r="G836" s="44"/>
      <c r="H836" s="44"/>
      <c r="I836" s="44"/>
      <c r="J836" s="44"/>
      <c r="K836" s="44"/>
      <c r="L836" s="44"/>
      <c r="M836" s="44"/>
      <c r="N836" s="44"/>
      <c r="O836" s="44"/>
    </row>
    <row r="837" spans="1:15" ht="17.25" customHeight="1">
      <c r="A837" s="44"/>
      <c r="B837" s="44"/>
      <c r="C837" s="44"/>
      <c r="D837" s="44"/>
      <c r="E837" s="44"/>
      <c r="F837" s="44"/>
      <c r="G837" s="44"/>
      <c r="H837" s="44"/>
      <c r="I837" s="44"/>
      <c r="J837" s="44"/>
      <c r="K837" s="44"/>
      <c r="L837" s="44"/>
      <c r="M837" s="44"/>
      <c r="N837" s="44"/>
      <c r="O837" s="44"/>
    </row>
    <row r="838" spans="1:15" ht="17.25" customHeight="1">
      <c r="A838" s="44"/>
      <c r="B838" s="44"/>
      <c r="C838" s="44"/>
      <c r="D838" s="44"/>
      <c r="E838" s="44"/>
      <c r="F838" s="44"/>
      <c r="G838" s="44"/>
      <c r="H838" s="44"/>
      <c r="I838" s="44"/>
      <c r="J838" s="44"/>
      <c r="K838" s="44"/>
      <c r="L838" s="44"/>
      <c r="M838" s="44"/>
      <c r="N838" s="44"/>
      <c r="O838" s="44"/>
    </row>
    <row r="839" spans="1:15" ht="17.25" customHeight="1">
      <c r="A839" s="44"/>
      <c r="B839" s="44"/>
      <c r="C839" s="44"/>
      <c r="D839" s="44"/>
      <c r="E839" s="44"/>
      <c r="F839" s="44"/>
      <c r="G839" s="44"/>
      <c r="H839" s="44"/>
      <c r="I839" s="44"/>
      <c r="J839" s="44"/>
      <c r="K839" s="44"/>
      <c r="L839" s="44"/>
      <c r="M839" s="44"/>
      <c r="N839" s="44"/>
      <c r="O839" s="44"/>
    </row>
    <row r="840" spans="1:15" ht="17.25" customHeight="1">
      <c r="A840" s="44"/>
      <c r="B840" s="44"/>
      <c r="C840" s="44"/>
      <c r="D840" s="44"/>
      <c r="E840" s="44"/>
      <c r="F840" s="44"/>
      <c r="G840" s="44"/>
      <c r="H840" s="44"/>
      <c r="I840" s="44"/>
      <c r="J840" s="44"/>
      <c r="K840" s="44"/>
      <c r="L840" s="44"/>
      <c r="M840" s="44"/>
      <c r="N840" s="44"/>
      <c r="O840" s="44"/>
    </row>
    <row r="841" spans="1:15" ht="17.25" customHeight="1">
      <c r="A841" s="44"/>
      <c r="B841" s="44"/>
      <c r="C841" s="44"/>
      <c r="D841" s="44"/>
      <c r="E841" s="44"/>
      <c r="F841" s="44"/>
      <c r="G841" s="44"/>
      <c r="H841" s="44"/>
      <c r="I841" s="44"/>
      <c r="J841" s="44"/>
      <c r="K841" s="44"/>
      <c r="L841" s="44"/>
      <c r="M841" s="44"/>
      <c r="N841" s="44"/>
      <c r="O841" s="44"/>
    </row>
    <row r="842" spans="1:15" ht="17.25" customHeight="1">
      <c r="A842" s="44"/>
      <c r="B842" s="44"/>
      <c r="C842" s="44"/>
      <c r="D842" s="44"/>
      <c r="E842" s="44"/>
      <c r="F842" s="44"/>
      <c r="G842" s="44"/>
      <c r="H842" s="44"/>
      <c r="I842" s="44"/>
      <c r="J842" s="44"/>
      <c r="K842" s="44"/>
      <c r="L842" s="44"/>
      <c r="M842" s="44"/>
      <c r="N842" s="44"/>
      <c r="O842" s="44"/>
    </row>
    <row r="843" spans="1:15" ht="17.25" customHeight="1">
      <c r="A843" s="44"/>
      <c r="B843" s="44"/>
      <c r="C843" s="44"/>
      <c r="D843" s="44"/>
      <c r="E843" s="44"/>
      <c r="F843" s="44"/>
      <c r="G843" s="44"/>
      <c r="H843" s="44"/>
      <c r="I843" s="44"/>
      <c r="J843" s="44"/>
      <c r="K843" s="44"/>
      <c r="L843" s="44"/>
      <c r="M843" s="44"/>
      <c r="N843" s="44"/>
      <c r="O843" s="44"/>
    </row>
    <row r="844" spans="1:15" ht="17.25" customHeight="1">
      <c r="A844" s="44"/>
      <c r="B844" s="44"/>
      <c r="C844" s="44"/>
      <c r="D844" s="44"/>
      <c r="E844" s="44"/>
      <c r="F844" s="44"/>
      <c r="G844" s="44"/>
      <c r="H844" s="44"/>
      <c r="I844" s="44"/>
      <c r="J844" s="44"/>
      <c r="K844" s="44"/>
      <c r="L844" s="44"/>
      <c r="M844" s="44"/>
      <c r="N844" s="44"/>
      <c r="O844" s="44"/>
    </row>
    <row r="845" spans="1:15" ht="17.25" customHeight="1">
      <c r="A845" s="44"/>
      <c r="B845" s="44"/>
      <c r="C845" s="44"/>
      <c r="D845" s="44"/>
      <c r="E845" s="44"/>
      <c r="F845" s="44"/>
      <c r="G845" s="44"/>
      <c r="H845" s="44"/>
      <c r="I845" s="44"/>
      <c r="J845" s="44"/>
      <c r="K845" s="44"/>
      <c r="L845" s="44"/>
      <c r="M845" s="44"/>
      <c r="N845" s="44"/>
      <c r="O845" s="44"/>
    </row>
    <row r="846" spans="1:15" ht="17.25" customHeight="1">
      <c r="A846" s="44"/>
      <c r="B846" s="44"/>
      <c r="C846" s="44"/>
      <c r="D846" s="44"/>
      <c r="E846" s="44"/>
      <c r="F846" s="44"/>
      <c r="G846" s="44"/>
      <c r="H846" s="44"/>
      <c r="I846" s="44"/>
      <c r="J846" s="44"/>
      <c r="K846" s="44"/>
      <c r="L846" s="44"/>
      <c r="M846" s="44"/>
      <c r="N846" s="44"/>
      <c r="O846" s="44"/>
    </row>
    <row r="847" spans="1:15" ht="17.25" customHeight="1">
      <c r="A847" s="44"/>
      <c r="B847" s="44"/>
      <c r="C847" s="44"/>
      <c r="D847" s="44"/>
      <c r="E847" s="44"/>
      <c r="F847" s="44"/>
      <c r="G847" s="44"/>
      <c r="H847" s="44"/>
      <c r="I847" s="44"/>
      <c r="J847" s="44"/>
      <c r="K847" s="44"/>
      <c r="L847" s="44"/>
      <c r="M847" s="44"/>
      <c r="N847" s="44"/>
      <c r="O847" s="44"/>
    </row>
    <row r="848" spans="1:15" ht="17.25" customHeight="1">
      <c r="A848" s="44"/>
      <c r="B848" s="44"/>
      <c r="C848" s="44"/>
      <c r="D848" s="44"/>
      <c r="E848" s="44"/>
      <c r="F848" s="44"/>
      <c r="G848" s="44"/>
      <c r="H848" s="44"/>
      <c r="I848" s="44"/>
      <c r="J848" s="44"/>
      <c r="K848" s="44"/>
      <c r="L848" s="44"/>
      <c r="M848" s="44"/>
      <c r="N848" s="44"/>
      <c r="O848" s="44"/>
    </row>
    <row r="849" spans="1:15" ht="17.25" customHeight="1">
      <c r="A849" s="44"/>
      <c r="B849" s="44"/>
      <c r="C849" s="44"/>
      <c r="D849" s="44"/>
      <c r="E849" s="44"/>
      <c r="F849" s="44"/>
      <c r="G849" s="44"/>
      <c r="H849" s="44"/>
      <c r="I849" s="44"/>
      <c r="J849" s="44"/>
      <c r="K849" s="44"/>
      <c r="L849" s="44"/>
      <c r="M849" s="44"/>
      <c r="N849" s="44"/>
      <c r="O849" s="44"/>
    </row>
    <row r="850" spans="1:15" ht="17.25" customHeight="1">
      <c r="A850" s="44"/>
      <c r="B850" s="44"/>
      <c r="C850" s="44"/>
      <c r="D850" s="44"/>
      <c r="E850" s="44"/>
      <c r="F850" s="44"/>
      <c r="G850" s="44"/>
      <c r="H850" s="44"/>
      <c r="I850" s="44"/>
      <c r="J850" s="44"/>
      <c r="K850" s="44"/>
      <c r="L850" s="44"/>
      <c r="M850" s="44"/>
      <c r="N850" s="44"/>
      <c r="O850" s="44"/>
    </row>
    <row r="851" spans="1:15" ht="17.25" customHeight="1">
      <c r="A851" s="44"/>
      <c r="B851" s="44"/>
      <c r="C851" s="44"/>
      <c r="D851" s="44"/>
      <c r="E851" s="44"/>
      <c r="F851" s="44"/>
      <c r="G851" s="44"/>
      <c r="H851" s="44"/>
      <c r="I851" s="44"/>
      <c r="J851" s="44"/>
      <c r="K851" s="44"/>
      <c r="L851" s="44"/>
      <c r="M851" s="44"/>
      <c r="N851" s="44"/>
      <c r="O851" s="44"/>
    </row>
    <row r="852" spans="1:15" ht="17.25" customHeight="1">
      <c r="A852" s="44"/>
      <c r="B852" s="44"/>
      <c r="C852" s="44"/>
      <c r="D852" s="44"/>
      <c r="E852" s="44"/>
      <c r="F852" s="44"/>
      <c r="G852" s="44"/>
      <c r="H852" s="44"/>
      <c r="I852" s="44"/>
      <c r="J852" s="44"/>
      <c r="K852" s="44"/>
      <c r="L852" s="44"/>
      <c r="M852" s="44"/>
      <c r="N852" s="44"/>
      <c r="O852" s="44"/>
    </row>
    <row r="853" spans="1:15" ht="17.25" customHeight="1">
      <c r="A853" s="44"/>
      <c r="B853" s="44"/>
      <c r="C853" s="44"/>
      <c r="D853" s="44"/>
      <c r="E853" s="44"/>
      <c r="F853" s="44"/>
      <c r="G853" s="44"/>
      <c r="H853" s="44"/>
      <c r="I853" s="44"/>
      <c r="J853" s="44"/>
      <c r="K853" s="44"/>
      <c r="L853" s="44"/>
      <c r="M853" s="44"/>
      <c r="N853" s="44"/>
      <c r="O853" s="44"/>
    </row>
    <row r="854" spans="1:15" ht="17.25" customHeight="1">
      <c r="A854" s="44"/>
      <c r="B854" s="44"/>
      <c r="C854" s="44"/>
      <c r="D854" s="44"/>
      <c r="E854" s="44"/>
      <c r="F854" s="44"/>
      <c r="G854" s="44"/>
      <c r="H854" s="44"/>
      <c r="I854" s="44"/>
      <c r="J854" s="44"/>
      <c r="K854" s="44"/>
      <c r="L854" s="44"/>
      <c r="M854" s="44"/>
      <c r="N854" s="44"/>
      <c r="O854" s="44"/>
    </row>
    <row r="855" spans="1:15" ht="17.25" customHeight="1">
      <c r="A855" s="44"/>
      <c r="B855" s="44"/>
      <c r="C855" s="44"/>
      <c r="D855" s="44"/>
      <c r="E855" s="44"/>
      <c r="F855" s="44"/>
      <c r="G855" s="44"/>
      <c r="H855" s="44"/>
      <c r="I855" s="44"/>
      <c r="J855" s="44"/>
      <c r="K855" s="44"/>
      <c r="L855" s="44"/>
      <c r="M855" s="44"/>
      <c r="N855" s="44"/>
      <c r="O855" s="44"/>
    </row>
    <row r="856" spans="1:15" ht="17.25" customHeight="1">
      <c r="A856" s="44"/>
      <c r="B856" s="44"/>
      <c r="C856" s="44"/>
      <c r="D856" s="44"/>
      <c r="E856" s="44"/>
      <c r="F856" s="44"/>
      <c r="G856" s="44"/>
      <c r="H856" s="44"/>
      <c r="I856" s="44"/>
      <c r="J856" s="44"/>
      <c r="K856" s="44"/>
      <c r="L856" s="44"/>
      <c r="M856" s="44"/>
      <c r="N856" s="44"/>
      <c r="O856" s="44"/>
    </row>
    <row r="857" spans="1:15" ht="17.25" customHeight="1">
      <c r="A857" s="44"/>
      <c r="B857" s="44"/>
      <c r="C857" s="44"/>
      <c r="D857" s="44"/>
      <c r="E857" s="44"/>
      <c r="F857" s="44"/>
      <c r="G857" s="44"/>
      <c r="H857" s="44"/>
      <c r="I857" s="44"/>
      <c r="J857" s="44"/>
      <c r="K857" s="44"/>
      <c r="L857" s="44"/>
      <c r="M857" s="44"/>
      <c r="N857" s="44"/>
      <c r="O857" s="44"/>
    </row>
    <row r="858" spans="1:15" ht="17.25" customHeight="1">
      <c r="A858" s="44"/>
      <c r="B858" s="44"/>
      <c r="C858" s="44"/>
      <c r="D858" s="44"/>
      <c r="E858" s="44"/>
      <c r="F858" s="44"/>
      <c r="G858" s="44"/>
      <c r="H858" s="44"/>
      <c r="I858" s="44"/>
      <c r="J858" s="44"/>
      <c r="K858" s="44"/>
      <c r="L858" s="44"/>
      <c r="M858" s="44"/>
      <c r="N858" s="44"/>
      <c r="O858" s="44"/>
    </row>
    <row r="859" spans="1:15" ht="17.25" customHeight="1">
      <c r="A859" s="44"/>
      <c r="B859" s="44"/>
      <c r="C859" s="44"/>
      <c r="D859" s="44"/>
      <c r="E859" s="44"/>
      <c r="F859" s="44"/>
      <c r="G859" s="44"/>
      <c r="H859" s="44"/>
      <c r="I859" s="44"/>
      <c r="J859" s="44"/>
      <c r="K859" s="44"/>
      <c r="L859" s="44"/>
      <c r="M859" s="44"/>
      <c r="N859" s="44"/>
      <c r="O859" s="44"/>
    </row>
    <row r="860" spans="1:15" ht="17.25" customHeight="1">
      <c r="A860" s="44"/>
      <c r="B860" s="44"/>
      <c r="C860" s="44"/>
      <c r="D860" s="44"/>
      <c r="E860" s="44"/>
      <c r="F860" s="44"/>
      <c r="G860" s="44"/>
      <c r="H860" s="44"/>
      <c r="I860" s="44"/>
      <c r="J860" s="44"/>
      <c r="K860" s="44"/>
      <c r="L860" s="44"/>
      <c r="M860" s="44"/>
      <c r="N860" s="44"/>
      <c r="O860" s="44"/>
    </row>
    <row r="861" spans="1:15" ht="17.25" customHeight="1">
      <c r="A861" s="44"/>
      <c r="B861" s="44"/>
      <c r="C861" s="44"/>
      <c r="D861" s="44"/>
      <c r="E861" s="44"/>
      <c r="F861" s="44"/>
      <c r="G861" s="44"/>
      <c r="H861" s="44"/>
      <c r="I861" s="44"/>
      <c r="J861" s="44"/>
      <c r="K861" s="44"/>
      <c r="L861" s="44"/>
      <c r="M861" s="44"/>
      <c r="N861" s="44"/>
      <c r="O861" s="44"/>
    </row>
    <row r="862" spans="1:15" ht="17.25" customHeight="1">
      <c r="A862" s="44"/>
      <c r="B862" s="44"/>
      <c r="C862" s="44"/>
      <c r="D862" s="44"/>
      <c r="E862" s="44"/>
      <c r="F862" s="44"/>
      <c r="G862" s="44"/>
      <c r="H862" s="44"/>
      <c r="I862" s="44"/>
      <c r="J862" s="44"/>
      <c r="K862" s="44"/>
      <c r="L862" s="44"/>
      <c r="M862" s="44"/>
      <c r="N862" s="44"/>
      <c r="O862" s="44"/>
    </row>
    <row r="863" spans="1:15" ht="17.25" customHeight="1">
      <c r="A863" s="44"/>
      <c r="B863" s="44"/>
      <c r="C863" s="44"/>
      <c r="D863" s="44"/>
      <c r="E863" s="44"/>
      <c r="F863" s="44"/>
      <c r="G863" s="44"/>
      <c r="H863" s="44"/>
      <c r="I863" s="44"/>
      <c r="J863" s="44"/>
      <c r="K863" s="44"/>
      <c r="L863" s="44"/>
      <c r="M863" s="44"/>
      <c r="N863" s="44"/>
      <c r="O863" s="44"/>
    </row>
    <row r="864" spans="1:15" ht="17.25" customHeight="1">
      <c r="A864" s="44"/>
      <c r="B864" s="44"/>
      <c r="C864" s="44"/>
      <c r="D864" s="44"/>
      <c r="E864" s="44"/>
      <c r="F864" s="44"/>
      <c r="G864" s="44"/>
      <c r="H864" s="44"/>
      <c r="I864" s="44"/>
      <c r="J864" s="44"/>
      <c r="K864" s="44"/>
      <c r="L864" s="44"/>
      <c r="M864" s="44"/>
      <c r="N864" s="44"/>
      <c r="O864" s="44"/>
    </row>
    <row r="865" spans="1:15" ht="17.25" customHeight="1">
      <c r="A865" s="44"/>
      <c r="B865" s="44"/>
      <c r="C865" s="44"/>
      <c r="D865" s="44"/>
      <c r="E865" s="44"/>
      <c r="F865" s="44"/>
      <c r="G865" s="44"/>
      <c r="H865" s="44"/>
      <c r="I865" s="44"/>
      <c r="J865" s="44"/>
      <c r="K865" s="44"/>
      <c r="L865" s="44"/>
      <c r="M865" s="44"/>
      <c r="N865" s="44"/>
      <c r="O865" s="44"/>
    </row>
    <row r="866" spans="1:15" ht="17.25" customHeight="1">
      <c r="A866" s="44"/>
      <c r="B866" s="44"/>
      <c r="C866" s="44"/>
      <c r="D866" s="44"/>
      <c r="E866" s="44"/>
      <c r="F866" s="44"/>
      <c r="G866" s="44"/>
      <c r="H866" s="44"/>
      <c r="I866" s="44"/>
      <c r="J866" s="44"/>
      <c r="K866" s="44"/>
      <c r="L866" s="44"/>
      <c r="M866" s="44"/>
      <c r="N866" s="44"/>
      <c r="O866" s="44"/>
    </row>
    <row r="867" spans="1:15" ht="17.25" customHeight="1">
      <c r="A867" s="44"/>
      <c r="B867" s="44"/>
      <c r="C867" s="44"/>
      <c r="D867" s="44"/>
      <c r="E867" s="44"/>
      <c r="F867" s="44"/>
      <c r="G867" s="44"/>
      <c r="H867" s="44"/>
      <c r="I867" s="44"/>
      <c r="J867" s="44"/>
      <c r="K867" s="44"/>
      <c r="L867" s="44"/>
      <c r="M867" s="44"/>
      <c r="N867" s="44"/>
      <c r="O867" s="44"/>
    </row>
    <row r="868" spans="1:15" ht="17.25" customHeight="1">
      <c r="A868" s="44"/>
      <c r="B868" s="44"/>
      <c r="C868" s="44"/>
      <c r="D868" s="44"/>
      <c r="E868" s="44"/>
      <c r="F868" s="44"/>
      <c r="G868" s="44"/>
      <c r="H868" s="44"/>
      <c r="I868" s="44"/>
      <c r="J868" s="44"/>
      <c r="K868" s="44"/>
      <c r="L868" s="44"/>
      <c r="M868" s="44"/>
      <c r="N868" s="44"/>
      <c r="O868" s="44"/>
    </row>
    <row r="869" spans="1:15" ht="17.25" customHeight="1">
      <c r="A869" s="44"/>
      <c r="B869" s="44"/>
      <c r="C869" s="44"/>
      <c r="D869" s="44"/>
      <c r="E869" s="44"/>
      <c r="F869" s="44"/>
      <c r="G869" s="44"/>
      <c r="H869" s="44"/>
      <c r="I869" s="44"/>
      <c r="J869" s="44"/>
      <c r="K869" s="44"/>
      <c r="L869" s="44"/>
      <c r="M869" s="44"/>
      <c r="N869" s="44"/>
      <c r="O869" s="44"/>
    </row>
    <row r="870" spans="1:15" ht="17.25" customHeight="1">
      <c r="A870" s="44"/>
      <c r="B870" s="44"/>
      <c r="C870" s="44"/>
      <c r="D870" s="44"/>
      <c r="E870" s="44"/>
      <c r="F870" s="44"/>
      <c r="G870" s="44"/>
      <c r="H870" s="44"/>
      <c r="I870" s="44"/>
      <c r="J870" s="44"/>
      <c r="K870" s="44"/>
      <c r="L870" s="44"/>
      <c r="M870" s="44"/>
      <c r="N870" s="44"/>
      <c r="O870" s="44"/>
    </row>
    <row r="871" spans="1:15" ht="17.25" customHeight="1">
      <c r="A871" s="44"/>
      <c r="B871" s="44"/>
      <c r="C871" s="44"/>
      <c r="D871" s="44"/>
      <c r="E871" s="44"/>
      <c r="F871" s="44"/>
      <c r="G871" s="44"/>
      <c r="H871" s="44"/>
      <c r="I871" s="44"/>
      <c r="J871" s="44"/>
      <c r="K871" s="44"/>
      <c r="L871" s="44"/>
      <c r="M871" s="44"/>
      <c r="N871" s="44"/>
      <c r="O871" s="44"/>
    </row>
    <row r="872" spans="1:15" ht="17.25" customHeight="1">
      <c r="A872" s="44"/>
      <c r="B872" s="44"/>
      <c r="C872" s="44"/>
      <c r="D872" s="44"/>
      <c r="E872" s="44"/>
      <c r="F872" s="44"/>
      <c r="G872" s="44"/>
      <c r="H872" s="44"/>
      <c r="I872" s="44"/>
      <c r="J872" s="44"/>
      <c r="K872" s="44"/>
      <c r="L872" s="44"/>
      <c r="M872" s="44"/>
      <c r="N872" s="44"/>
      <c r="O872" s="44"/>
    </row>
    <row r="873" spans="1:15" ht="17.25" customHeight="1">
      <c r="A873" s="44"/>
      <c r="B873" s="44"/>
      <c r="C873" s="44"/>
      <c r="D873" s="44"/>
      <c r="E873" s="44"/>
      <c r="F873" s="44"/>
      <c r="G873" s="44"/>
      <c r="H873" s="44"/>
      <c r="I873" s="44"/>
      <c r="J873" s="44"/>
      <c r="K873" s="44"/>
      <c r="L873" s="44"/>
      <c r="M873" s="44"/>
      <c r="N873" s="44"/>
      <c r="O873" s="44"/>
    </row>
    <row r="874" spans="1:15" ht="17.25" customHeight="1">
      <c r="A874" s="44"/>
      <c r="B874" s="44"/>
      <c r="C874" s="44"/>
      <c r="D874" s="44"/>
      <c r="E874" s="44"/>
      <c r="F874" s="44"/>
      <c r="G874" s="44"/>
      <c r="H874" s="44"/>
      <c r="I874" s="44"/>
      <c r="J874" s="44"/>
      <c r="K874" s="44"/>
      <c r="L874" s="44"/>
      <c r="M874" s="44"/>
      <c r="N874" s="44"/>
      <c r="O874" s="44"/>
    </row>
    <row r="875" spans="1:15" ht="17.25" customHeight="1">
      <c r="A875" s="44"/>
      <c r="B875" s="44"/>
      <c r="C875" s="44"/>
      <c r="D875" s="44"/>
      <c r="E875" s="44"/>
      <c r="F875" s="44"/>
      <c r="G875" s="44"/>
      <c r="H875" s="44"/>
      <c r="I875" s="44"/>
      <c r="J875" s="44"/>
      <c r="K875" s="44"/>
      <c r="L875" s="44"/>
      <c r="M875" s="44"/>
      <c r="N875" s="44"/>
      <c r="O875" s="44"/>
    </row>
    <row r="876" spans="1:15" ht="17.25" customHeight="1">
      <c r="A876" s="44"/>
      <c r="B876" s="44"/>
      <c r="C876" s="44"/>
      <c r="D876" s="44"/>
      <c r="E876" s="44"/>
      <c r="F876" s="44"/>
      <c r="G876" s="44"/>
      <c r="H876" s="44"/>
      <c r="I876" s="44"/>
      <c r="J876" s="44"/>
      <c r="K876" s="44"/>
      <c r="L876" s="44"/>
      <c r="M876" s="44"/>
      <c r="N876" s="44"/>
      <c r="O876" s="44"/>
    </row>
    <row r="877" spans="1:15" ht="17.25" customHeight="1">
      <c r="A877" s="44"/>
      <c r="B877" s="44"/>
      <c r="C877" s="44"/>
      <c r="D877" s="44"/>
      <c r="E877" s="44"/>
      <c r="F877" s="44"/>
      <c r="G877" s="44"/>
      <c r="H877" s="44"/>
      <c r="I877" s="44"/>
      <c r="J877" s="44"/>
      <c r="K877" s="44"/>
      <c r="L877" s="44"/>
      <c r="M877" s="44"/>
      <c r="N877" s="44"/>
      <c r="O877" s="44"/>
    </row>
    <row r="878" spans="1:15" ht="17.25" customHeight="1">
      <c r="A878" s="44"/>
      <c r="B878" s="44"/>
      <c r="C878" s="44"/>
      <c r="D878" s="44"/>
      <c r="E878" s="44"/>
      <c r="F878" s="44"/>
      <c r="G878" s="44"/>
      <c r="H878" s="44"/>
      <c r="I878" s="44"/>
      <c r="J878" s="44"/>
      <c r="K878" s="44"/>
      <c r="L878" s="44"/>
      <c r="M878" s="44"/>
      <c r="N878" s="44"/>
      <c r="O878" s="44"/>
    </row>
    <row r="879" spans="1:15" ht="17.25" customHeight="1">
      <c r="A879" s="44"/>
      <c r="B879" s="44"/>
      <c r="C879" s="44"/>
      <c r="D879" s="44"/>
      <c r="E879" s="44"/>
      <c r="F879" s="44"/>
      <c r="G879" s="44"/>
      <c r="H879" s="44"/>
      <c r="I879" s="44"/>
      <c r="J879" s="44"/>
      <c r="K879" s="44"/>
      <c r="L879" s="44"/>
      <c r="M879" s="44"/>
      <c r="N879" s="44"/>
      <c r="O879" s="44"/>
    </row>
    <row r="880" spans="1:15" ht="17.25" customHeight="1">
      <c r="A880" s="44"/>
      <c r="B880" s="44"/>
      <c r="C880" s="44"/>
      <c r="D880" s="44"/>
      <c r="E880" s="44"/>
      <c r="F880" s="44"/>
      <c r="G880" s="44"/>
      <c r="H880" s="44"/>
      <c r="I880" s="44"/>
      <c r="J880" s="44"/>
      <c r="K880" s="44"/>
      <c r="L880" s="44"/>
      <c r="M880" s="44"/>
      <c r="N880" s="44"/>
      <c r="O880" s="44"/>
    </row>
    <row r="881" spans="1:15" ht="17.25" customHeight="1">
      <c r="A881" s="44"/>
      <c r="B881" s="44"/>
      <c r="C881" s="44"/>
      <c r="D881" s="44"/>
      <c r="E881" s="44"/>
      <c r="F881" s="44"/>
      <c r="G881" s="44"/>
      <c r="H881" s="44"/>
      <c r="I881" s="44"/>
      <c r="J881" s="44"/>
      <c r="K881" s="44"/>
      <c r="L881" s="44"/>
      <c r="M881" s="44"/>
      <c r="N881" s="44"/>
      <c r="O881" s="44"/>
    </row>
    <row r="882" spans="1:15" ht="17.25" customHeight="1">
      <c r="A882" s="44"/>
      <c r="B882" s="44"/>
      <c r="C882" s="44"/>
      <c r="D882" s="44"/>
      <c r="E882" s="44"/>
      <c r="F882" s="44"/>
      <c r="G882" s="44"/>
      <c r="H882" s="44"/>
      <c r="I882" s="44"/>
      <c r="J882" s="44"/>
      <c r="K882" s="44"/>
      <c r="L882" s="44"/>
      <c r="M882" s="44"/>
      <c r="N882" s="44"/>
      <c r="O882" s="44"/>
    </row>
    <row r="883" spans="1:15" ht="17.25" customHeight="1">
      <c r="A883" s="44"/>
      <c r="B883" s="44"/>
      <c r="C883" s="44"/>
      <c r="D883" s="44"/>
      <c r="E883" s="44"/>
      <c r="F883" s="44"/>
      <c r="G883" s="44"/>
      <c r="H883" s="44"/>
      <c r="I883" s="44"/>
      <c r="J883" s="44"/>
      <c r="K883" s="44"/>
      <c r="L883" s="44"/>
      <c r="M883" s="44"/>
      <c r="N883" s="44"/>
      <c r="O883" s="44"/>
    </row>
    <row r="884" spans="1:15" ht="17.25" customHeight="1">
      <c r="A884" s="44"/>
      <c r="B884" s="44"/>
      <c r="C884" s="44"/>
      <c r="D884" s="44"/>
      <c r="E884" s="44"/>
      <c r="F884" s="44"/>
      <c r="G884" s="44"/>
      <c r="H884" s="44"/>
      <c r="I884" s="44"/>
      <c r="J884" s="44"/>
      <c r="K884" s="44"/>
      <c r="L884" s="44"/>
      <c r="M884" s="44"/>
      <c r="N884" s="44"/>
      <c r="O884" s="44"/>
    </row>
    <row r="885" spans="1:15" ht="17.25" customHeight="1">
      <c r="A885" s="44"/>
      <c r="B885" s="44"/>
      <c r="C885" s="44"/>
      <c r="D885" s="44"/>
      <c r="E885" s="44"/>
      <c r="F885" s="44"/>
      <c r="G885" s="44"/>
      <c r="H885" s="44"/>
      <c r="I885" s="44"/>
      <c r="J885" s="44"/>
      <c r="K885" s="44"/>
      <c r="L885" s="44"/>
      <c r="M885" s="44"/>
      <c r="N885" s="44"/>
      <c r="O885" s="44"/>
    </row>
    <row r="886" spans="1:15" ht="17.25" customHeight="1">
      <c r="A886" s="44"/>
      <c r="B886" s="44"/>
      <c r="C886" s="44"/>
      <c r="D886" s="44"/>
      <c r="E886" s="44"/>
      <c r="F886" s="44"/>
      <c r="G886" s="44"/>
      <c r="H886" s="44"/>
      <c r="I886" s="44"/>
      <c r="J886" s="44"/>
      <c r="K886" s="44"/>
      <c r="L886" s="44"/>
      <c r="M886" s="44"/>
      <c r="N886" s="44"/>
      <c r="O886" s="44"/>
    </row>
    <row r="887" spans="1:15" ht="17.25" customHeight="1">
      <c r="A887" s="44"/>
      <c r="B887" s="44"/>
      <c r="C887" s="44"/>
      <c r="D887" s="44"/>
      <c r="E887" s="44"/>
      <c r="F887" s="44"/>
      <c r="G887" s="44"/>
      <c r="H887" s="44"/>
      <c r="I887" s="44"/>
      <c r="J887" s="44"/>
      <c r="K887" s="44"/>
      <c r="L887" s="44"/>
      <c r="M887" s="44"/>
      <c r="N887" s="44"/>
      <c r="O887" s="44"/>
    </row>
    <row r="888" spans="1:15" ht="17.25" customHeight="1">
      <c r="A888" s="44"/>
      <c r="B888" s="44"/>
      <c r="C888" s="44"/>
      <c r="D888" s="44"/>
      <c r="E888" s="44"/>
      <c r="F888" s="44"/>
      <c r="G888" s="44"/>
      <c r="H888" s="44"/>
      <c r="I888" s="44"/>
      <c r="J888" s="44"/>
      <c r="K888" s="44"/>
      <c r="L888" s="44"/>
      <c r="M888" s="44"/>
      <c r="N888" s="44"/>
      <c r="O888" s="44"/>
    </row>
    <row r="889" spans="1:15" ht="17.25" customHeight="1">
      <c r="A889" s="44"/>
      <c r="B889" s="44"/>
      <c r="C889" s="44"/>
      <c r="D889" s="44"/>
      <c r="E889" s="44"/>
      <c r="F889" s="44"/>
      <c r="G889" s="44"/>
      <c r="H889" s="44"/>
      <c r="I889" s="44"/>
      <c r="J889" s="44"/>
      <c r="K889" s="44"/>
      <c r="L889" s="44"/>
      <c r="M889" s="44"/>
      <c r="N889" s="44"/>
      <c r="O889" s="44"/>
    </row>
    <row r="890" spans="1:15" ht="17.25" customHeight="1">
      <c r="A890" s="44"/>
      <c r="B890" s="44"/>
      <c r="C890" s="44"/>
      <c r="D890" s="44"/>
      <c r="E890" s="44"/>
      <c r="F890" s="44"/>
      <c r="G890" s="44"/>
      <c r="H890" s="44"/>
      <c r="I890" s="44"/>
      <c r="J890" s="44"/>
      <c r="K890" s="44"/>
      <c r="L890" s="44"/>
      <c r="M890" s="44"/>
      <c r="N890" s="44"/>
      <c r="O890" s="44"/>
    </row>
    <row r="891" spans="1:15" ht="17.25" customHeight="1">
      <c r="A891" s="44"/>
      <c r="B891" s="44"/>
      <c r="C891" s="44"/>
      <c r="D891" s="44"/>
      <c r="E891" s="44"/>
      <c r="F891" s="44"/>
      <c r="G891" s="44"/>
      <c r="H891" s="44"/>
      <c r="I891" s="44"/>
      <c r="J891" s="44"/>
      <c r="K891" s="44"/>
      <c r="L891" s="44"/>
      <c r="M891" s="44"/>
      <c r="N891" s="44"/>
      <c r="O891" s="44"/>
    </row>
    <row r="892" spans="1:15" ht="17.25" customHeight="1">
      <c r="A892" s="44"/>
      <c r="B892" s="44"/>
      <c r="C892" s="44"/>
      <c r="D892" s="44"/>
      <c r="E892" s="44"/>
      <c r="F892" s="44"/>
      <c r="G892" s="44"/>
      <c r="H892" s="44"/>
      <c r="I892" s="44"/>
      <c r="J892" s="44"/>
      <c r="K892" s="44"/>
      <c r="L892" s="44"/>
      <c r="M892" s="44"/>
      <c r="N892" s="44"/>
      <c r="O892" s="44"/>
    </row>
    <row r="893" spans="1:15" ht="17.25" customHeight="1">
      <c r="A893" s="44"/>
      <c r="B893" s="44"/>
      <c r="C893" s="44"/>
      <c r="D893" s="44"/>
      <c r="E893" s="44"/>
      <c r="F893" s="44"/>
      <c r="G893" s="44"/>
      <c r="H893" s="44"/>
      <c r="I893" s="44"/>
      <c r="J893" s="44"/>
      <c r="K893" s="44"/>
      <c r="L893" s="44"/>
      <c r="M893" s="44"/>
      <c r="N893" s="44"/>
      <c r="O893" s="44"/>
    </row>
    <row r="894" spans="1:15" ht="17.25" customHeight="1">
      <c r="A894" s="44"/>
      <c r="B894" s="44"/>
      <c r="C894" s="44"/>
      <c r="D894" s="44"/>
      <c r="E894" s="44"/>
      <c r="F894" s="44"/>
      <c r="G894" s="44"/>
      <c r="H894" s="44"/>
      <c r="I894" s="44"/>
      <c r="J894" s="44"/>
      <c r="K894" s="44"/>
      <c r="L894" s="44"/>
      <c r="M894" s="44"/>
      <c r="N894" s="44"/>
      <c r="O894" s="44"/>
    </row>
    <row r="895" spans="1:15" ht="17.25" customHeight="1">
      <c r="A895" s="44"/>
      <c r="B895" s="44"/>
      <c r="C895" s="44"/>
      <c r="D895" s="44"/>
      <c r="E895" s="44"/>
      <c r="F895" s="44"/>
      <c r="G895" s="44"/>
      <c r="H895" s="44"/>
      <c r="I895" s="44"/>
      <c r="J895" s="44"/>
      <c r="K895" s="44"/>
      <c r="L895" s="44"/>
      <c r="M895" s="44"/>
      <c r="N895" s="44"/>
      <c r="O895" s="44"/>
    </row>
    <row r="896" spans="1:15" ht="17.25" customHeight="1">
      <c r="A896" s="44"/>
      <c r="B896" s="44"/>
      <c r="C896" s="44"/>
      <c r="D896" s="44"/>
      <c r="E896" s="44"/>
      <c r="F896" s="44"/>
      <c r="G896" s="44"/>
      <c r="H896" s="44"/>
      <c r="I896" s="44"/>
      <c r="J896" s="44"/>
      <c r="K896" s="44"/>
      <c r="L896" s="44"/>
      <c r="M896" s="44"/>
      <c r="N896" s="44"/>
      <c r="O896" s="44"/>
    </row>
    <row r="897" spans="1:15" ht="17.25" customHeight="1">
      <c r="A897" s="44"/>
      <c r="B897" s="44"/>
      <c r="C897" s="44"/>
      <c r="D897" s="44"/>
      <c r="E897" s="44"/>
      <c r="F897" s="44"/>
      <c r="G897" s="44"/>
      <c r="H897" s="44"/>
      <c r="I897" s="44"/>
      <c r="J897" s="44"/>
      <c r="K897" s="44"/>
      <c r="L897" s="44"/>
      <c r="M897" s="44"/>
      <c r="N897" s="44"/>
      <c r="O897" s="44"/>
    </row>
    <row r="898" spans="1:15" ht="17.25" customHeight="1">
      <c r="A898" s="44"/>
      <c r="B898" s="44"/>
      <c r="C898" s="44"/>
      <c r="D898" s="44"/>
      <c r="E898" s="44"/>
      <c r="F898" s="44"/>
      <c r="G898" s="44"/>
      <c r="H898" s="44"/>
      <c r="I898" s="44"/>
      <c r="J898" s="44"/>
      <c r="K898" s="44"/>
      <c r="L898" s="44"/>
      <c r="M898" s="44"/>
      <c r="N898" s="44"/>
      <c r="O898" s="44"/>
    </row>
    <row r="899" spans="1:15" ht="17.25" customHeight="1">
      <c r="A899" s="44"/>
      <c r="B899" s="44"/>
      <c r="C899" s="44"/>
      <c r="D899" s="44"/>
      <c r="E899" s="44"/>
      <c r="F899" s="44"/>
      <c r="G899" s="44"/>
      <c r="H899" s="44"/>
      <c r="I899" s="44"/>
      <c r="J899" s="44"/>
      <c r="K899" s="44"/>
      <c r="L899" s="44"/>
      <c r="M899" s="44"/>
      <c r="N899" s="44"/>
      <c r="O899" s="44"/>
    </row>
    <row r="900" spans="1:15" ht="17.25" customHeight="1">
      <c r="A900" s="44"/>
      <c r="B900" s="44"/>
      <c r="C900" s="44"/>
      <c r="D900" s="44"/>
      <c r="E900" s="44"/>
      <c r="F900" s="44"/>
      <c r="G900" s="44"/>
      <c r="H900" s="44"/>
      <c r="I900" s="44"/>
      <c r="J900" s="44"/>
      <c r="K900" s="44"/>
      <c r="L900" s="44"/>
      <c r="M900" s="44"/>
      <c r="N900" s="44"/>
      <c r="O900" s="44"/>
    </row>
    <row r="901" spans="1:15" ht="17.25" customHeight="1">
      <c r="A901" s="44"/>
      <c r="B901" s="44"/>
      <c r="C901" s="44"/>
      <c r="D901" s="44"/>
      <c r="E901" s="44"/>
      <c r="F901" s="44"/>
      <c r="G901" s="44"/>
      <c r="H901" s="44"/>
      <c r="I901" s="44"/>
      <c r="J901" s="44"/>
      <c r="K901" s="44"/>
      <c r="L901" s="44"/>
      <c r="M901" s="44"/>
      <c r="N901" s="44"/>
      <c r="O901" s="44"/>
    </row>
    <row r="902" spans="1:15" ht="17.25" customHeight="1">
      <c r="A902" s="44"/>
      <c r="B902" s="44"/>
      <c r="C902" s="44"/>
      <c r="D902" s="44"/>
      <c r="E902" s="44"/>
      <c r="F902" s="44"/>
      <c r="G902" s="44"/>
      <c r="H902" s="44"/>
      <c r="I902" s="44"/>
      <c r="J902" s="44"/>
      <c r="K902" s="44"/>
      <c r="L902" s="44"/>
      <c r="M902" s="44"/>
      <c r="N902" s="44"/>
      <c r="O902" s="44"/>
    </row>
    <row r="903" spans="1:15" ht="17.25" customHeight="1">
      <c r="A903" s="44"/>
      <c r="B903" s="44"/>
      <c r="C903" s="44"/>
      <c r="D903" s="44"/>
      <c r="E903" s="44"/>
      <c r="F903" s="44"/>
      <c r="G903" s="44"/>
      <c r="H903" s="44"/>
      <c r="I903" s="44"/>
      <c r="J903" s="44"/>
      <c r="K903" s="44"/>
      <c r="L903" s="44"/>
      <c r="M903" s="44"/>
      <c r="N903" s="44"/>
      <c r="O903" s="44"/>
    </row>
    <row r="904" spans="1:15" ht="17.25" customHeight="1">
      <c r="A904" s="44"/>
      <c r="B904" s="44"/>
      <c r="C904" s="44"/>
      <c r="D904" s="44"/>
      <c r="E904" s="44"/>
      <c r="F904" s="44"/>
      <c r="G904" s="44"/>
      <c r="H904" s="44"/>
      <c r="I904" s="44"/>
      <c r="J904" s="44"/>
      <c r="K904" s="44"/>
      <c r="L904" s="44"/>
      <c r="M904" s="44"/>
      <c r="N904" s="44"/>
      <c r="O904" s="44"/>
    </row>
    <row r="905" spans="1:15" ht="17.25" customHeight="1">
      <c r="A905" s="44"/>
      <c r="B905" s="44"/>
      <c r="C905" s="44"/>
      <c r="D905" s="44"/>
      <c r="E905" s="44"/>
      <c r="F905" s="44"/>
      <c r="G905" s="44"/>
      <c r="H905" s="44"/>
      <c r="I905" s="44"/>
      <c r="J905" s="44"/>
      <c r="K905" s="44"/>
      <c r="L905" s="44"/>
      <c r="M905" s="44"/>
      <c r="N905" s="44"/>
      <c r="O905" s="44"/>
    </row>
    <row r="906" spans="1:15" ht="17.25" customHeight="1">
      <c r="A906" s="44"/>
      <c r="B906" s="44"/>
      <c r="C906" s="44"/>
      <c r="D906" s="44"/>
      <c r="E906" s="44"/>
      <c r="F906" s="44"/>
      <c r="G906" s="44"/>
      <c r="H906" s="44"/>
      <c r="I906" s="44"/>
      <c r="J906" s="44"/>
      <c r="K906" s="44"/>
      <c r="L906" s="44"/>
      <c r="M906" s="44"/>
      <c r="N906" s="44"/>
      <c r="O906" s="44"/>
    </row>
    <row r="907" spans="1:15" ht="17.25" customHeight="1">
      <c r="A907" s="44"/>
      <c r="B907" s="44"/>
      <c r="C907" s="44"/>
      <c r="D907" s="44"/>
      <c r="E907" s="44"/>
      <c r="F907" s="44"/>
      <c r="G907" s="44"/>
      <c r="H907" s="44"/>
      <c r="I907" s="44"/>
      <c r="J907" s="44"/>
      <c r="K907" s="44"/>
      <c r="L907" s="44"/>
      <c r="M907" s="44"/>
      <c r="N907" s="44"/>
      <c r="O907" s="44"/>
    </row>
    <row r="908" spans="1:15" ht="17.25" customHeight="1">
      <c r="A908" s="44"/>
      <c r="B908" s="44"/>
      <c r="C908" s="44"/>
      <c r="D908" s="44"/>
      <c r="E908" s="44"/>
      <c r="F908" s="44"/>
      <c r="G908" s="44"/>
      <c r="H908" s="44"/>
      <c r="I908" s="44"/>
      <c r="J908" s="44"/>
      <c r="K908" s="44"/>
      <c r="L908" s="44"/>
      <c r="M908" s="44"/>
      <c r="N908" s="44"/>
      <c r="O908" s="44"/>
    </row>
    <row r="909" spans="1:15" ht="17.25" customHeight="1">
      <c r="A909" s="44"/>
      <c r="B909" s="44"/>
      <c r="C909" s="44"/>
      <c r="D909" s="44"/>
      <c r="E909" s="44"/>
      <c r="F909" s="44"/>
      <c r="G909" s="44"/>
      <c r="H909" s="44"/>
      <c r="I909" s="44"/>
      <c r="J909" s="44"/>
      <c r="K909" s="44"/>
      <c r="L909" s="44"/>
      <c r="M909" s="44"/>
      <c r="N909" s="44"/>
      <c r="O909" s="44"/>
    </row>
    <row r="910" spans="1:15" ht="17.25" customHeight="1">
      <c r="A910" s="44"/>
      <c r="B910" s="44"/>
      <c r="C910" s="44"/>
      <c r="D910" s="44"/>
      <c r="E910" s="44"/>
      <c r="F910" s="44"/>
      <c r="G910" s="44"/>
      <c r="H910" s="44"/>
      <c r="I910" s="44"/>
      <c r="J910" s="44"/>
      <c r="K910" s="44"/>
      <c r="L910" s="44"/>
      <c r="M910" s="44"/>
      <c r="N910" s="44"/>
      <c r="O910" s="44"/>
    </row>
    <row r="911" spans="1:15" ht="17.25" customHeight="1">
      <c r="A911" s="44"/>
      <c r="B911" s="44"/>
      <c r="C911" s="44"/>
      <c r="D911" s="44"/>
      <c r="E911" s="44"/>
      <c r="F911" s="44"/>
      <c r="G911" s="44"/>
      <c r="H911" s="44"/>
      <c r="I911" s="44"/>
      <c r="J911" s="44"/>
      <c r="K911" s="44"/>
      <c r="L911" s="44"/>
      <c r="M911" s="44"/>
      <c r="N911" s="44"/>
      <c r="O911" s="44"/>
    </row>
    <row r="912" spans="1:15" ht="17.25" customHeight="1">
      <c r="A912" s="44"/>
      <c r="B912" s="44"/>
      <c r="C912" s="44"/>
      <c r="D912" s="44"/>
      <c r="E912" s="44"/>
      <c r="F912" s="44"/>
      <c r="G912" s="44"/>
      <c r="H912" s="44"/>
      <c r="I912" s="44"/>
      <c r="J912" s="44"/>
      <c r="K912" s="44"/>
      <c r="L912" s="44"/>
      <c r="M912" s="44"/>
      <c r="N912" s="44"/>
      <c r="O912" s="44"/>
    </row>
    <row r="913" spans="1:15" ht="17.25" customHeight="1">
      <c r="A913" s="44"/>
      <c r="B913" s="44"/>
      <c r="C913" s="44"/>
      <c r="D913" s="44"/>
      <c r="E913" s="44"/>
      <c r="F913" s="44"/>
      <c r="G913" s="44"/>
      <c r="H913" s="44"/>
      <c r="I913" s="44"/>
      <c r="J913" s="44"/>
      <c r="K913" s="44"/>
      <c r="L913" s="44"/>
      <c r="M913" s="44"/>
      <c r="N913" s="44"/>
      <c r="O913" s="44"/>
    </row>
    <row r="914" spans="1:15" ht="17.25" customHeight="1">
      <c r="A914" s="44"/>
      <c r="B914" s="44"/>
      <c r="C914" s="44"/>
      <c r="D914" s="44"/>
      <c r="E914" s="44"/>
      <c r="F914" s="44"/>
      <c r="G914" s="44"/>
      <c r="H914" s="44"/>
      <c r="I914" s="44"/>
      <c r="J914" s="44"/>
      <c r="K914" s="44"/>
      <c r="L914" s="44"/>
      <c r="M914" s="44"/>
      <c r="N914" s="44"/>
      <c r="O914" s="44"/>
    </row>
    <row r="915" spans="1:15" ht="17.25" customHeight="1">
      <c r="A915" s="44"/>
      <c r="B915" s="44"/>
      <c r="C915" s="44"/>
      <c r="D915" s="44"/>
      <c r="E915" s="44"/>
      <c r="F915" s="44"/>
      <c r="G915" s="44"/>
      <c r="H915" s="44"/>
      <c r="I915" s="44"/>
      <c r="J915" s="44"/>
      <c r="K915" s="44"/>
      <c r="L915" s="44"/>
      <c r="M915" s="44"/>
      <c r="N915" s="44"/>
      <c r="O915" s="44"/>
    </row>
    <row r="916" spans="1:15" ht="17.25" customHeight="1">
      <c r="A916" s="44"/>
      <c r="B916" s="44"/>
      <c r="C916" s="44"/>
      <c r="D916" s="44"/>
      <c r="E916" s="44"/>
      <c r="F916" s="44"/>
      <c r="G916" s="44"/>
      <c r="H916" s="44"/>
      <c r="I916" s="44"/>
      <c r="J916" s="44"/>
      <c r="K916" s="44"/>
      <c r="L916" s="44"/>
      <c r="M916" s="44"/>
      <c r="N916" s="44"/>
      <c r="O916" s="44"/>
    </row>
    <row r="917" spans="1:15" ht="17.25" customHeight="1">
      <c r="A917" s="44"/>
      <c r="B917" s="44"/>
      <c r="C917" s="44"/>
      <c r="D917" s="44"/>
      <c r="E917" s="44"/>
      <c r="F917" s="44"/>
      <c r="G917" s="44"/>
      <c r="H917" s="44"/>
      <c r="I917" s="44"/>
      <c r="J917" s="44"/>
      <c r="K917" s="44"/>
      <c r="L917" s="44"/>
      <c r="M917" s="44"/>
      <c r="N917" s="44"/>
      <c r="O917" s="44"/>
    </row>
    <row r="918" spans="1:15" ht="17.25" customHeight="1">
      <c r="A918" s="44"/>
      <c r="B918" s="44"/>
      <c r="C918" s="44"/>
      <c r="D918" s="44"/>
      <c r="E918" s="44"/>
      <c r="F918" s="44"/>
      <c r="G918" s="44"/>
      <c r="H918" s="44"/>
      <c r="I918" s="44"/>
      <c r="J918" s="44"/>
      <c r="K918" s="44"/>
      <c r="L918" s="44"/>
      <c r="M918" s="44"/>
      <c r="N918" s="44"/>
      <c r="O918" s="44"/>
    </row>
    <row r="919" spans="1:15" ht="17.25" customHeight="1">
      <c r="A919" s="44"/>
      <c r="B919" s="44"/>
      <c r="C919" s="44"/>
      <c r="D919" s="44"/>
      <c r="E919" s="44"/>
      <c r="F919" s="44"/>
      <c r="G919" s="44"/>
      <c r="H919" s="44"/>
      <c r="I919" s="44"/>
      <c r="J919" s="44"/>
      <c r="K919" s="44"/>
      <c r="L919" s="44"/>
      <c r="M919" s="44"/>
      <c r="N919" s="44"/>
      <c r="O919" s="44"/>
    </row>
    <row r="920" spans="1:15" ht="17.25" customHeight="1">
      <c r="A920" s="44"/>
      <c r="B920" s="44"/>
      <c r="C920" s="44"/>
      <c r="D920" s="44"/>
      <c r="E920" s="44"/>
      <c r="F920" s="44"/>
      <c r="G920" s="44"/>
      <c r="H920" s="44"/>
      <c r="I920" s="44"/>
      <c r="J920" s="44"/>
      <c r="K920" s="44"/>
      <c r="L920" s="44"/>
      <c r="M920" s="44"/>
      <c r="N920" s="44"/>
      <c r="O920" s="44"/>
    </row>
    <row r="921" spans="1:15" ht="17.25" customHeight="1">
      <c r="A921" s="44"/>
      <c r="B921" s="44"/>
      <c r="C921" s="44"/>
      <c r="D921" s="44"/>
      <c r="E921" s="44"/>
      <c r="F921" s="44"/>
      <c r="G921" s="44"/>
      <c r="H921" s="44"/>
      <c r="I921" s="44"/>
      <c r="J921" s="44"/>
      <c r="K921" s="44"/>
      <c r="L921" s="44"/>
      <c r="M921" s="44"/>
      <c r="N921" s="44"/>
      <c r="O921" s="44"/>
    </row>
    <row r="922" spans="1:15" ht="17.25" customHeight="1">
      <c r="A922" s="44"/>
      <c r="B922" s="44"/>
      <c r="C922" s="44"/>
      <c r="D922" s="44"/>
      <c r="E922" s="44"/>
      <c r="F922" s="44"/>
      <c r="G922" s="44"/>
      <c r="H922" s="44"/>
      <c r="I922" s="44"/>
      <c r="J922" s="44"/>
      <c r="K922" s="44"/>
      <c r="L922" s="44"/>
      <c r="M922" s="44"/>
      <c r="N922" s="44"/>
      <c r="O922" s="44"/>
    </row>
    <row r="923" spans="1:15" ht="17.25" customHeight="1">
      <c r="A923" s="44"/>
      <c r="B923" s="44"/>
      <c r="C923" s="44"/>
      <c r="D923" s="44"/>
      <c r="E923" s="44"/>
      <c r="F923" s="44"/>
      <c r="G923" s="44"/>
      <c r="H923" s="44"/>
      <c r="I923" s="44"/>
      <c r="J923" s="44"/>
      <c r="K923" s="44"/>
      <c r="L923" s="44"/>
      <c r="M923" s="44"/>
      <c r="N923" s="44"/>
      <c r="O923" s="44"/>
    </row>
    <row r="924" spans="1:15" ht="17.25" customHeight="1">
      <c r="A924" s="44"/>
      <c r="B924" s="44"/>
      <c r="C924" s="44"/>
      <c r="D924" s="44"/>
      <c r="E924" s="44"/>
      <c r="F924" s="44"/>
      <c r="G924" s="44"/>
      <c r="H924" s="44"/>
      <c r="I924" s="44"/>
      <c r="J924" s="44"/>
      <c r="K924" s="44"/>
      <c r="L924" s="44"/>
      <c r="M924" s="44"/>
      <c r="N924" s="44"/>
      <c r="O924" s="44"/>
    </row>
    <row r="925" spans="1:15" ht="17.25" customHeight="1">
      <c r="A925" s="44"/>
      <c r="B925" s="44"/>
      <c r="C925" s="44"/>
      <c r="D925" s="44"/>
      <c r="E925" s="44"/>
      <c r="F925" s="44"/>
      <c r="G925" s="44"/>
      <c r="H925" s="44"/>
      <c r="I925" s="44"/>
      <c r="J925" s="44"/>
      <c r="K925" s="44"/>
      <c r="L925" s="44"/>
      <c r="M925" s="44"/>
      <c r="N925" s="44"/>
      <c r="O925" s="44"/>
    </row>
    <row r="926" spans="1:15" ht="17.25" customHeight="1">
      <c r="A926" s="44"/>
      <c r="B926" s="44"/>
      <c r="C926" s="44"/>
      <c r="D926" s="44"/>
      <c r="E926" s="44"/>
      <c r="F926" s="44"/>
      <c r="G926" s="44"/>
      <c r="H926" s="44"/>
      <c r="I926" s="44"/>
      <c r="J926" s="44"/>
      <c r="K926" s="44"/>
      <c r="L926" s="44"/>
      <c r="M926" s="44"/>
      <c r="N926" s="44"/>
      <c r="O926" s="44"/>
    </row>
    <row r="927" spans="1:15" ht="17.25" customHeight="1">
      <c r="A927" s="44"/>
      <c r="B927" s="44"/>
      <c r="C927" s="44"/>
      <c r="D927" s="44"/>
      <c r="E927" s="44"/>
      <c r="F927" s="44"/>
      <c r="G927" s="44"/>
      <c r="H927" s="44"/>
      <c r="I927" s="44"/>
      <c r="J927" s="44"/>
      <c r="K927" s="44"/>
      <c r="L927" s="44"/>
      <c r="M927" s="44"/>
      <c r="N927" s="44"/>
      <c r="O927" s="44"/>
    </row>
    <row r="928" spans="1:15" ht="17.25" customHeight="1">
      <c r="A928" s="44"/>
      <c r="B928" s="44"/>
      <c r="C928" s="44"/>
      <c r="D928" s="44"/>
      <c r="E928" s="44"/>
      <c r="F928" s="44"/>
      <c r="G928" s="44"/>
      <c r="H928" s="44"/>
      <c r="I928" s="44"/>
      <c r="J928" s="44"/>
      <c r="K928" s="44"/>
      <c r="L928" s="44"/>
      <c r="M928" s="44"/>
      <c r="N928" s="44"/>
      <c r="O928" s="44"/>
    </row>
    <row r="929" spans="1:15" ht="17.25" customHeight="1">
      <c r="A929" s="44"/>
      <c r="B929" s="44"/>
      <c r="C929" s="44"/>
      <c r="D929" s="44"/>
      <c r="E929" s="44"/>
      <c r="F929" s="44"/>
      <c r="G929" s="44"/>
      <c r="H929" s="44"/>
      <c r="I929" s="44"/>
      <c r="J929" s="44"/>
      <c r="K929" s="44"/>
      <c r="L929" s="44"/>
      <c r="M929" s="44"/>
      <c r="N929" s="44"/>
      <c r="O929" s="44"/>
    </row>
    <row r="930" spans="1:15" ht="17.25" customHeight="1">
      <c r="A930" s="44"/>
      <c r="B930" s="44"/>
      <c r="C930" s="44"/>
      <c r="D930" s="44"/>
      <c r="E930" s="44"/>
      <c r="F930" s="44"/>
      <c r="G930" s="44"/>
      <c r="H930" s="44"/>
      <c r="I930" s="44"/>
      <c r="J930" s="44"/>
      <c r="K930" s="44"/>
      <c r="L930" s="44"/>
      <c r="M930" s="44"/>
      <c r="N930" s="44"/>
      <c r="O930" s="44"/>
    </row>
    <row r="931" spans="1:15" ht="17.25" customHeight="1">
      <c r="A931" s="44"/>
      <c r="B931" s="44"/>
      <c r="C931" s="44"/>
      <c r="D931" s="44"/>
      <c r="E931" s="44"/>
      <c r="F931" s="44"/>
      <c r="G931" s="44"/>
      <c r="H931" s="44"/>
      <c r="I931" s="44"/>
      <c r="J931" s="44"/>
      <c r="K931" s="44"/>
      <c r="L931" s="44"/>
      <c r="M931" s="44"/>
      <c r="N931" s="44"/>
      <c r="O931" s="44"/>
    </row>
    <row r="932" spans="1:15" ht="17.25" customHeight="1">
      <c r="A932" s="44"/>
      <c r="B932" s="44"/>
      <c r="C932" s="44"/>
      <c r="D932" s="44"/>
      <c r="E932" s="44"/>
      <c r="F932" s="44"/>
      <c r="G932" s="44"/>
      <c r="H932" s="44"/>
      <c r="I932" s="44"/>
      <c r="J932" s="44"/>
      <c r="K932" s="44"/>
      <c r="L932" s="44"/>
      <c r="M932" s="44"/>
      <c r="N932" s="44"/>
      <c r="O932" s="44"/>
    </row>
    <row r="933" spans="1:15" ht="17.25" customHeight="1">
      <c r="A933" s="44"/>
      <c r="B933" s="44"/>
      <c r="C933" s="44"/>
      <c r="D933" s="44"/>
      <c r="E933" s="44"/>
      <c r="F933" s="44"/>
      <c r="G933" s="44"/>
      <c r="H933" s="44"/>
      <c r="I933" s="44"/>
      <c r="J933" s="44"/>
      <c r="K933" s="44"/>
      <c r="L933" s="44"/>
      <c r="M933" s="44"/>
      <c r="N933" s="44"/>
      <c r="O933" s="44"/>
    </row>
    <row r="934" spans="1:15" ht="17.25" customHeight="1">
      <c r="A934" s="44"/>
      <c r="B934" s="44"/>
      <c r="C934" s="44"/>
      <c r="D934" s="44"/>
      <c r="E934" s="44"/>
      <c r="F934" s="44"/>
      <c r="G934" s="44"/>
      <c r="H934" s="44"/>
      <c r="I934" s="44"/>
      <c r="J934" s="44"/>
      <c r="K934" s="44"/>
      <c r="L934" s="44"/>
      <c r="M934" s="44"/>
      <c r="N934" s="44"/>
      <c r="O934" s="44"/>
    </row>
    <row r="935" spans="1:15" ht="17.25" customHeight="1">
      <c r="A935" s="44"/>
      <c r="B935" s="44"/>
      <c r="C935" s="44"/>
      <c r="D935" s="44"/>
      <c r="E935" s="44"/>
      <c r="F935" s="44"/>
      <c r="G935" s="44"/>
      <c r="H935" s="44"/>
      <c r="I935" s="44"/>
      <c r="J935" s="44"/>
      <c r="K935" s="44"/>
      <c r="L935" s="44"/>
      <c r="M935" s="44"/>
      <c r="N935" s="44"/>
      <c r="O935" s="44"/>
    </row>
    <row r="936" spans="1:15" ht="17.25" customHeight="1">
      <c r="A936" s="44"/>
      <c r="B936" s="44"/>
      <c r="C936" s="44"/>
      <c r="D936" s="44"/>
      <c r="E936" s="44"/>
      <c r="F936" s="44"/>
      <c r="G936" s="44"/>
      <c r="H936" s="44"/>
      <c r="I936" s="44"/>
      <c r="J936" s="44"/>
      <c r="K936" s="44"/>
      <c r="L936" s="44"/>
      <c r="M936" s="44"/>
      <c r="N936" s="44"/>
      <c r="O936" s="44"/>
    </row>
    <row r="937" spans="1:15" ht="17.25" customHeight="1">
      <c r="A937" s="44"/>
      <c r="B937" s="44"/>
      <c r="C937" s="44"/>
      <c r="D937" s="44"/>
      <c r="E937" s="44"/>
      <c r="F937" s="44"/>
      <c r="G937" s="44"/>
      <c r="H937" s="44"/>
      <c r="I937" s="44"/>
      <c r="J937" s="44"/>
      <c r="K937" s="44"/>
      <c r="L937" s="44"/>
      <c r="M937" s="44"/>
      <c r="N937" s="44"/>
      <c r="O937" s="44"/>
    </row>
    <row r="938" spans="1:15" ht="17.25" customHeight="1">
      <c r="A938" s="44"/>
      <c r="B938" s="44"/>
      <c r="C938" s="44"/>
      <c r="D938" s="44"/>
      <c r="E938" s="44"/>
      <c r="F938" s="44"/>
      <c r="G938" s="44"/>
      <c r="H938" s="44"/>
      <c r="I938" s="44"/>
      <c r="J938" s="44"/>
      <c r="K938" s="44"/>
      <c r="L938" s="44"/>
      <c r="M938" s="44"/>
      <c r="N938" s="44"/>
      <c r="O938" s="44"/>
    </row>
    <row r="939" spans="1:15" ht="17.25" customHeight="1">
      <c r="A939" s="44"/>
      <c r="B939" s="44"/>
      <c r="C939" s="44"/>
      <c r="D939" s="44"/>
      <c r="E939" s="44"/>
      <c r="F939" s="44"/>
      <c r="G939" s="44"/>
      <c r="H939" s="44"/>
      <c r="I939" s="44"/>
      <c r="J939" s="44"/>
      <c r="K939" s="44"/>
      <c r="L939" s="44"/>
      <c r="M939" s="44"/>
      <c r="N939" s="44"/>
      <c r="O939" s="44"/>
    </row>
    <row r="940" spans="1:15" ht="17.25" customHeight="1">
      <c r="A940" s="44"/>
      <c r="B940" s="44"/>
      <c r="C940" s="44"/>
      <c r="D940" s="44"/>
      <c r="E940" s="44"/>
      <c r="F940" s="44"/>
      <c r="G940" s="44"/>
      <c r="H940" s="44"/>
      <c r="I940" s="44"/>
      <c r="J940" s="44"/>
      <c r="K940" s="44"/>
      <c r="L940" s="44"/>
      <c r="M940" s="44"/>
      <c r="N940" s="44"/>
      <c r="O940" s="44"/>
    </row>
    <row r="941" spans="1:15" ht="17.25" customHeight="1">
      <c r="A941" s="44"/>
      <c r="B941" s="44"/>
      <c r="C941" s="44"/>
      <c r="D941" s="44"/>
      <c r="E941" s="44"/>
      <c r="F941" s="44"/>
      <c r="G941" s="44"/>
      <c r="H941" s="44"/>
      <c r="I941" s="44"/>
      <c r="J941" s="44"/>
      <c r="K941" s="44"/>
      <c r="L941" s="44"/>
      <c r="M941" s="44"/>
      <c r="N941" s="44"/>
      <c r="O941" s="44"/>
    </row>
    <row r="942" spans="1:15" ht="17.25" customHeight="1">
      <c r="A942" s="44"/>
      <c r="B942" s="44"/>
      <c r="C942" s="44"/>
      <c r="D942" s="44"/>
      <c r="E942" s="44"/>
      <c r="F942" s="44"/>
      <c r="G942" s="44"/>
      <c r="H942" s="44"/>
      <c r="I942" s="44"/>
      <c r="J942" s="44"/>
      <c r="K942" s="44"/>
      <c r="L942" s="44"/>
      <c r="M942" s="44"/>
      <c r="N942" s="44"/>
      <c r="O942" s="44"/>
    </row>
    <row r="943" spans="1:15" ht="17.25" customHeight="1">
      <c r="A943" s="44"/>
      <c r="B943" s="44"/>
      <c r="C943" s="44"/>
      <c r="D943" s="44"/>
      <c r="E943" s="44"/>
      <c r="F943" s="44"/>
      <c r="G943" s="44"/>
      <c r="H943" s="44"/>
      <c r="I943" s="44"/>
      <c r="J943" s="44"/>
      <c r="K943" s="44"/>
      <c r="L943" s="44"/>
      <c r="M943" s="44"/>
      <c r="N943" s="44"/>
      <c r="O943" s="44"/>
    </row>
    <row r="944" spans="1:15" ht="17.25" customHeight="1">
      <c r="A944" s="44"/>
      <c r="B944" s="44"/>
      <c r="C944" s="44"/>
      <c r="D944" s="44"/>
      <c r="E944" s="44"/>
      <c r="F944" s="44"/>
      <c r="G944" s="44"/>
      <c r="H944" s="44"/>
      <c r="I944" s="44"/>
      <c r="J944" s="44"/>
      <c r="K944" s="44"/>
      <c r="L944" s="44"/>
      <c r="M944" s="44"/>
      <c r="N944" s="44"/>
      <c r="O944" s="44"/>
    </row>
    <row r="945" spans="1:15" ht="17.25" customHeight="1">
      <c r="A945" s="44"/>
      <c r="B945" s="44"/>
      <c r="C945" s="44"/>
      <c r="D945" s="44"/>
      <c r="E945" s="44"/>
      <c r="F945" s="44"/>
      <c r="G945" s="44"/>
      <c r="H945" s="44"/>
      <c r="I945" s="44"/>
      <c r="J945" s="44"/>
      <c r="K945" s="44"/>
      <c r="L945" s="44"/>
      <c r="M945" s="44"/>
      <c r="N945" s="44"/>
      <c r="O945" s="44"/>
    </row>
    <row r="946" spans="1:15" ht="17.25" customHeight="1">
      <c r="A946" s="44"/>
      <c r="B946" s="44"/>
      <c r="C946" s="44"/>
      <c r="D946" s="44"/>
      <c r="E946" s="44"/>
      <c r="F946" s="44"/>
      <c r="G946" s="44"/>
      <c r="H946" s="44"/>
      <c r="I946" s="44"/>
      <c r="J946" s="44"/>
      <c r="K946" s="44"/>
      <c r="L946" s="44"/>
      <c r="M946" s="44"/>
      <c r="N946" s="44"/>
      <c r="O946" s="44"/>
    </row>
    <row r="947" spans="1:15" ht="17.25" customHeight="1">
      <c r="A947" s="44"/>
      <c r="B947" s="44"/>
      <c r="C947" s="44"/>
      <c r="D947" s="44"/>
      <c r="E947" s="44"/>
      <c r="F947" s="44"/>
      <c r="G947" s="44"/>
      <c r="H947" s="44"/>
      <c r="I947" s="44"/>
      <c r="J947" s="44"/>
      <c r="K947" s="44"/>
      <c r="L947" s="44"/>
      <c r="M947" s="44"/>
      <c r="N947" s="44"/>
      <c r="O947" s="44"/>
    </row>
    <row r="948" spans="1:15" ht="17.25" customHeight="1">
      <c r="A948" s="44"/>
      <c r="B948" s="44"/>
      <c r="C948" s="44"/>
      <c r="D948" s="44"/>
      <c r="E948" s="44"/>
      <c r="F948" s="44"/>
      <c r="G948" s="44"/>
      <c r="H948" s="44"/>
      <c r="I948" s="44"/>
      <c r="J948" s="44"/>
      <c r="K948" s="44"/>
      <c r="L948" s="44"/>
      <c r="M948" s="44"/>
      <c r="N948" s="44"/>
      <c r="O948" s="44"/>
    </row>
    <row r="949" spans="1:15" ht="17.25" customHeight="1">
      <c r="A949" s="44"/>
      <c r="B949" s="44"/>
      <c r="C949" s="44"/>
      <c r="D949" s="44"/>
      <c r="E949" s="44"/>
      <c r="F949" s="44"/>
      <c r="G949" s="44"/>
      <c r="H949" s="44"/>
      <c r="I949" s="44"/>
      <c r="J949" s="44"/>
      <c r="K949" s="44"/>
      <c r="L949" s="44"/>
      <c r="M949" s="44"/>
      <c r="N949" s="44"/>
      <c r="O949" s="44"/>
    </row>
    <row r="950" spans="1:15" ht="17.25" customHeight="1">
      <c r="A950" s="44"/>
      <c r="B950" s="44"/>
      <c r="C950" s="44"/>
      <c r="D950" s="44"/>
      <c r="E950" s="44"/>
      <c r="F950" s="44"/>
      <c r="G950" s="44"/>
      <c r="H950" s="44"/>
      <c r="I950" s="44"/>
      <c r="J950" s="44"/>
      <c r="K950" s="44"/>
      <c r="L950" s="44"/>
      <c r="M950" s="44"/>
      <c r="N950" s="44"/>
      <c r="O950" s="44"/>
    </row>
    <row r="951" spans="1:15" ht="17.25" customHeight="1">
      <c r="A951" s="44"/>
      <c r="B951" s="44"/>
      <c r="C951" s="44"/>
      <c r="D951" s="44"/>
      <c r="E951" s="44"/>
      <c r="F951" s="44"/>
      <c r="G951" s="44"/>
      <c r="H951" s="44"/>
      <c r="I951" s="44"/>
      <c r="J951" s="44"/>
      <c r="K951" s="44"/>
      <c r="L951" s="44"/>
      <c r="M951" s="44"/>
      <c r="N951" s="44"/>
      <c r="O951" s="44"/>
    </row>
    <row r="952" spans="1:15" ht="17.25" customHeight="1">
      <c r="A952" s="44"/>
      <c r="B952" s="44"/>
      <c r="C952" s="44"/>
      <c r="D952" s="44"/>
      <c r="E952" s="44"/>
      <c r="F952" s="44"/>
      <c r="G952" s="44"/>
      <c r="H952" s="44"/>
      <c r="I952" s="44"/>
      <c r="J952" s="44"/>
      <c r="K952" s="44"/>
      <c r="L952" s="44"/>
      <c r="M952" s="44"/>
      <c r="N952" s="44"/>
      <c r="O952" s="44"/>
    </row>
    <row r="953" spans="1:15" ht="17.25" customHeight="1">
      <c r="A953" s="44"/>
      <c r="B953" s="44"/>
      <c r="C953" s="44"/>
      <c r="D953" s="44"/>
      <c r="E953" s="44"/>
      <c r="F953" s="44"/>
      <c r="G953" s="44"/>
      <c r="H953" s="44"/>
      <c r="I953" s="44"/>
      <c r="J953" s="44"/>
      <c r="K953" s="44"/>
      <c r="L953" s="44"/>
      <c r="M953" s="44"/>
      <c r="N953" s="44"/>
      <c r="O953" s="44"/>
    </row>
    <row r="954" spans="1:15" ht="17.25" customHeight="1">
      <c r="A954" s="44"/>
      <c r="B954" s="44"/>
      <c r="C954" s="44"/>
      <c r="D954" s="44"/>
      <c r="E954" s="44"/>
      <c r="F954" s="44"/>
      <c r="G954" s="44"/>
      <c r="H954" s="44"/>
      <c r="I954" s="44"/>
      <c r="J954" s="44"/>
      <c r="K954" s="44"/>
      <c r="L954" s="44"/>
      <c r="M954" s="44"/>
      <c r="N954" s="44"/>
      <c r="O954" s="44"/>
    </row>
    <row r="955" spans="1:15" ht="17.25" customHeight="1">
      <c r="A955" s="44"/>
      <c r="B955" s="44"/>
      <c r="C955" s="44"/>
      <c r="D955" s="44"/>
      <c r="E955" s="44"/>
      <c r="F955" s="44"/>
      <c r="G955" s="44"/>
      <c r="H955" s="44"/>
      <c r="I955" s="44"/>
      <c r="J955" s="44"/>
      <c r="K955" s="44"/>
      <c r="L955" s="44"/>
      <c r="M955" s="44"/>
      <c r="N955" s="44"/>
      <c r="O955" s="44"/>
    </row>
    <row r="956" spans="1:15" ht="17.25" customHeight="1">
      <c r="A956" s="44"/>
      <c r="B956" s="44"/>
      <c r="C956" s="44"/>
      <c r="D956" s="44"/>
      <c r="E956" s="44"/>
      <c r="F956" s="44"/>
      <c r="G956" s="44"/>
      <c r="H956" s="44"/>
      <c r="I956" s="44"/>
      <c r="J956" s="44"/>
      <c r="K956" s="44"/>
      <c r="L956" s="44"/>
      <c r="M956" s="44"/>
      <c r="N956" s="44"/>
      <c r="O956" s="44"/>
    </row>
    <row r="957" spans="1:15" ht="17.25" customHeight="1">
      <c r="A957" s="44"/>
      <c r="B957" s="44"/>
      <c r="C957" s="44"/>
      <c r="D957" s="44"/>
      <c r="E957" s="44"/>
      <c r="F957" s="44"/>
      <c r="G957" s="44"/>
      <c r="H957" s="44"/>
      <c r="I957" s="44"/>
      <c r="J957" s="44"/>
      <c r="K957" s="44"/>
      <c r="L957" s="44"/>
      <c r="M957" s="44"/>
      <c r="N957" s="44"/>
      <c r="O957" s="44"/>
    </row>
    <row r="958" spans="1:15" ht="17.25" customHeight="1">
      <c r="A958" s="44"/>
      <c r="B958" s="44"/>
      <c r="C958" s="44"/>
      <c r="D958" s="44"/>
      <c r="E958" s="44"/>
      <c r="F958" s="44"/>
      <c r="G958" s="44"/>
      <c r="H958" s="44"/>
      <c r="I958" s="44"/>
      <c r="J958" s="44"/>
      <c r="K958" s="44"/>
      <c r="L958" s="44"/>
      <c r="M958" s="44"/>
      <c r="N958" s="44"/>
      <c r="O958" s="44"/>
    </row>
    <row r="959" spans="1:15" ht="17.25" customHeight="1">
      <c r="A959" s="44"/>
      <c r="B959" s="44"/>
      <c r="C959" s="44"/>
      <c r="D959" s="44"/>
      <c r="E959" s="44"/>
      <c r="F959" s="44"/>
      <c r="G959" s="44"/>
      <c r="H959" s="44"/>
      <c r="I959" s="44"/>
      <c r="J959" s="44"/>
      <c r="K959" s="44"/>
      <c r="L959" s="44"/>
      <c r="M959" s="44"/>
      <c r="N959" s="44"/>
      <c r="O959" s="44"/>
    </row>
    <row r="960" spans="1:15" ht="17.25" customHeight="1">
      <c r="A960" s="44"/>
      <c r="B960" s="44"/>
      <c r="C960" s="44"/>
      <c r="D960" s="44"/>
      <c r="E960" s="44"/>
      <c r="F960" s="44"/>
      <c r="G960" s="44"/>
      <c r="H960" s="44"/>
      <c r="I960" s="44"/>
      <c r="J960" s="44"/>
      <c r="K960" s="44"/>
      <c r="L960" s="44"/>
      <c r="M960" s="44"/>
      <c r="N960" s="44"/>
      <c r="O960" s="44"/>
    </row>
    <row r="961" spans="1:15" ht="17.25" customHeight="1">
      <c r="A961" s="44"/>
      <c r="B961" s="44"/>
      <c r="C961" s="44"/>
      <c r="D961" s="44"/>
      <c r="E961" s="44"/>
      <c r="F961" s="44"/>
      <c r="G961" s="44"/>
      <c r="H961" s="44"/>
      <c r="I961" s="44"/>
      <c r="J961" s="44"/>
      <c r="K961" s="44"/>
      <c r="L961" s="44"/>
      <c r="M961" s="44"/>
      <c r="N961" s="44"/>
      <c r="O961" s="44"/>
    </row>
    <row r="962" spans="1:15" ht="17.25" customHeight="1">
      <c r="A962" s="44"/>
      <c r="B962" s="44"/>
      <c r="C962" s="44"/>
      <c r="D962" s="44"/>
      <c r="E962" s="44"/>
      <c r="F962" s="44"/>
      <c r="G962" s="44"/>
      <c r="H962" s="44"/>
      <c r="I962" s="44"/>
      <c r="J962" s="44"/>
      <c r="K962" s="44"/>
      <c r="L962" s="44"/>
      <c r="M962" s="44"/>
      <c r="N962" s="44"/>
      <c r="O962" s="44"/>
    </row>
    <row r="963" spans="1:15" ht="17.25" customHeight="1">
      <c r="A963" s="44"/>
      <c r="B963" s="44"/>
      <c r="C963" s="44"/>
      <c r="D963" s="44"/>
      <c r="E963" s="44"/>
      <c r="F963" s="44"/>
      <c r="G963" s="44"/>
      <c r="H963" s="44"/>
      <c r="I963" s="44"/>
      <c r="J963" s="44"/>
      <c r="K963" s="44"/>
      <c r="L963" s="44"/>
      <c r="M963" s="44"/>
      <c r="N963" s="44"/>
      <c r="O963" s="44"/>
    </row>
    <row r="964" spans="1:15" ht="17.25" customHeight="1">
      <c r="A964" s="44"/>
      <c r="B964" s="44"/>
      <c r="C964" s="44"/>
      <c r="D964" s="44"/>
      <c r="E964" s="44"/>
      <c r="F964" s="44"/>
      <c r="G964" s="44"/>
      <c r="H964" s="44"/>
      <c r="I964" s="44"/>
      <c r="J964" s="44"/>
      <c r="K964" s="44"/>
      <c r="L964" s="44"/>
      <c r="M964" s="44"/>
      <c r="N964" s="44"/>
      <c r="O964" s="44"/>
    </row>
    <row r="965" spans="1:15" ht="17.25" customHeight="1">
      <c r="A965" s="44"/>
      <c r="B965" s="44"/>
      <c r="C965" s="44"/>
      <c r="D965" s="44"/>
      <c r="E965" s="44"/>
      <c r="F965" s="44"/>
      <c r="G965" s="44"/>
      <c r="H965" s="44"/>
      <c r="I965" s="44"/>
      <c r="J965" s="44"/>
      <c r="K965" s="44"/>
      <c r="L965" s="44"/>
      <c r="M965" s="44"/>
      <c r="N965" s="44"/>
      <c r="O965" s="44"/>
    </row>
    <row r="966" spans="1:15" ht="17.25" customHeight="1">
      <c r="A966" s="44"/>
      <c r="B966" s="44"/>
      <c r="C966" s="44"/>
      <c r="D966" s="44"/>
      <c r="E966" s="44"/>
      <c r="F966" s="44"/>
      <c r="G966" s="44"/>
      <c r="H966" s="44"/>
      <c r="I966" s="44"/>
      <c r="J966" s="44"/>
      <c r="K966" s="44"/>
      <c r="L966" s="44"/>
      <c r="M966" s="44"/>
      <c r="N966" s="44"/>
      <c r="O966" s="44"/>
    </row>
    <row r="967" spans="1:15" ht="17.25" customHeight="1">
      <c r="A967" s="44"/>
      <c r="B967" s="44"/>
      <c r="C967" s="44"/>
      <c r="D967" s="44"/>
      <c r="E967" s="44"/>
      <c r="F967" s="44"/>
      <c r="G967" s="44"/>
      <c r="H967" s="44"/>
      <c r="I967" s="44"/>
      <c r="J967" s="44"/>
      <c r="K967" s="44"/>
      <c r="L967" s="44"/>
      <c r="M967" s="44"/>
      <c r="N967" s="44"/>
      <c r="O967" s="44"/>
    </row>
    <row r="968" spans="1:15" ht="17.25" customHeight="1">
      <c r="A968" s="44"/>
      <c r="B968" s="44"/>
      <c r="C968" s="44"/>
      <c r="D968" s="44"/>
      <c r="E968" s="44"/>
      <c r="F968" s="44"/>
      <c r="G968" s="44"/>
      <c r="H968" s="44"/>
      <c r="I968" s="44"/>
      <c r="J968" s="44"/>
      <c r="K968" s="44"/>
      <c r="L968" s="44"/>
      <c r="M968" s="44"/>
      <c r="N968" s="44"/>
      <c r="O968" s="44"/>
    </row>
    <row r="969" spans="1:15" ht="17.25" customHeight="1">
      <c r="A969" s="44"/>
      <c r="B969" s="44"/>
      <c r="C969" s="44"/>
      <c r="D969" s="44"/>
      <c r="E969" s="44"/>
      <c r="F969" s="44"/>
      <c r="G969" s="44"/>
      <c r="H969" s="44"/>
      <c r="I969" s="44"/>
      <c r="J969" s="44"/>
      <c r="K969" s="44"/>
      <c r="L969" s="44"/>
      <c r="M969" s="44"/>
      <c r="N969" s="44"/>
      <c r="O969" s="44"/>
    </row>
    <row r="970" spans="1:15" ht="17.25" customHeight="1">
      <c r="A970" s="44"/>
      <c r="B970" s="44"/>
      <c r="C970" s="44"/>
      <c r="D970" s="44"/>
      <c r="E970" s="44"/>
      <c r="F970" s="44"/>
      <c r="G970" s="44"/>
      <c r="H970" s="44"/>
      <c r="I970" s="44"/>
      <c r="J970" s="44"/>
      <c r="K970" s="44"/>
      <c r="L970" s="44"/>
      <c r="M970" s="44"/>
      <c r="N970" s="44"/>
      <c r="O970" s="44"/>
    </row>
    <row r="971" spans="1:15" ht="17.25" customHeight="1">
      <c r="A971" s="44"/>
      <c r="B971" s="44"/>
      <c r="C971" s="44"/>
      <c r="D971" s="44"/>
      <c r="E971" s="44"/>
      <c r="F971" s="44"/>
      <c r="G971" s="44"/>
      <c r="H971" s="44"/>
      <c r="I971" s="44"/>
      <c r="J971" s="44"/>
      <c r="K971" s="44"/>
      <c r="L971" s="44"/>
      <c r="M971" s="44"/>
      <c r="N971" s="44"/>
      <c r="O971" s="44"/>
    </row>
    <row r="972" spans="1:15" ht="17.25" customHeight="1">
      <c r="A972" s="44"/>
      <c r="B972" s="44"/>
      <c r="C972" s="44"/>
      <c r="D972" s="44"/>
      <c r="E972" s="44"/>
      <c r="F972" s="44"/>
      <c r="G972" s="44"/>
      <c r="H972" s="44"/>
      <c r="I972" s="44"/>
      <c r="J972" s="44"/>
      <c r="K972" s="44"/>
      <c r="L972" s="44"/>
      <c r="M972" s="44"/>
      <c r="N972" s="44"/>
      <c r="O972" s="44"/>
    </row>
    <row r="973" spans="1:15" ht="17.25" customHeight="1">
      <c r="A973" s="44"/>
      <c r="B973" s="44"/>
      <c r="C973" s="44"/>
      <c r="D973" s="44"/>
      <c r="E973" s="44"/>
      <c r="F973" s="44"/>
      <c r="G973" s="44"/>
      <c r="H973" s="44"/>
      <c r="I973" s="44"/>
      <c r="J973" s="44"/>
      <c r="K973" s="44"/>
      <c r="L973" s="44"/>
      <c r="M973" s="44"/>
      <c r="N973" s="44"/>
      <c r="O973" s="44"/>
    </row>
    <row r="974" spans="1:15" ht="17.25" customHeight="1">
      <c r="A974" s="44"/>
      <c r="B974" s="44"/>
      <c r="C974" s="44"/>
      <c r="D974" s="44"/>
      <c r="E974" s="44"/>
      <c r="F974" s="44"/>
      <c r="G974" s="44"/>
      <c r="H974" s="44"/>
      <c r="I974" s="44"/>
      <c r="J974" s="44"/>
      <c r="K974" s="44"/>
      <c r="L974" s="44"/>
      <c r="M974" s="44"/>
      <c r="N974" s="44"/>
      <c r="O974" s="44"/>
    </row>
    <row r="975" spans="1:15" ht="17.25" customHeight="1">
      <c r="A975" s="44"/>
      <c r="B975" s="44"/>
      <c r="C975" s="44"/>
      <c r="D975" s="44"/>
      <c r="E975" s="44"/>
      <c r="F975" s="44"/>
      <c r="G975" s="44"/>
      <c r="H975" s="44"/>
      <c r="I975" s="44"/>
      <c r="J975" s="44"/>
      <c r="K975" s="44"/>
      <c r="L975" s="44"/>
      <c r="M975" s="44"/>
      <c r="N975" s="44"/>
      <c r="O975" s="44"/>
    </row>
    <row r="976" spans="1:15" ht="17.25" customHeight="1">
      <c r="A976" s="44"/>
      <c r="B976" s="44"/>
      <c r="C976" s="44"/>
      <c r="D976" s="44"/>
      <c r="E976" s="44"/>
      <c r="F976" s="44"/>
      <c r="G976" s="44"/>
      <c r="H976" s="44"/>
      <c r="I976" s="44"/>
      <c r="J976" s="44"/>
      <c r="K976" s="44"/>
      <c r="L976" s="44"/>
      <c r="M976" s="44"/>
      <c r="N976" s="44"/>
      <c r="O976" s="44"/>
    </row>
    <row r="977" spans="1:15" ht="17.25" customHeight="1">
      <c r="A977" s="44"/>
      <c r="B977" s="44"/>
      <c r="C977" s="44"/>
      <c r="D977" s="44"/>
      <c r="E977" s="44"/>
      <c r="F977" s="44"/>
      <c r="G977" s="44"/>
      <c r="H977" s="44"/>
      <c r="I977" s="44"/>
      <c r="J977" s="44"/>
      <c r="K977" s="44"/>
      <c r="L977" s="44"/>
      <c r="M977" s="44"/>
      <c r="N977" s="44"/>
      <c r="O977" s="44"/>
    </row>
    <row r="978" spans="1:15" ht="17.25" customHeight="1">
      <c r="A978" s="44"/>
      <c r="B978" s="44"/>
      <c r="C978" s="44"/>
      <c r="D978" s="44"/>
      <c r="E978" s="44"/>
      <c r="F978" s="44"/>
      <c r="G978" s="44"/>
      <c r="H978" s="44"/>
      <c r="I978" s="44"/>
      <c r="J978" s="44"/>
      <c r="K978" s="44"/>
      <c r="L978" s="44"/>
      <c r="M978" s="44"/>
      <c r="N978" s="44"/>
      <c r="O978" s="44"/>
    </row>
    <row r="979" spans="1:15" ht="17.25" customHeight="1">
      <c r="A979" s="44"/>
      <c r="B979" s="44"/>
      <c r="C979" s="44"/>
      <c r="D979" s="44"/>
      <c r="E979" s="44"/>
      <c r="F979" s="44"/>
      <c r="G979" s="44"/>
      <c r="H979" s="44"/>
      <c r="I979" s="44"/>
      <c r="J979" s="44"/>
      <c r="K979" s="44"/>
      <c r="L979" s="44"/>
      <c r="M979" s="44"/>
      <c r="N979" s="44"/>
      <c r="O979" s="44"/>
    </row>
    <row r="980" spans="1:15" ht="17.25" customHeight="1">
      <c r="A980" s="44"/>
      <c r="B980" s="44"/>
      <c r="C980" s="44"/>
      <c r="D980" s="44"/>
      <c r="E980" s="44"/>
      <c r="F980" s="44"/>
      <c r="G980" s="44"/>
      <c r="H980" s="44"/>
      <c r="I980" s="44"/>
      <c r="J980" s="44"/>
      <c r="K980" s="44"/>
      <c r="L980" s="44"/>
      <c r="M980" s="44"/>
      <c r="N980" s="44"/>
      <c r="O980" s="44"/>
    </row>
    <row r="981" spans="1:15" ht="17.25" customHeight="1">
      <c r="A981" s="44"/>
      <c r="B981" s="44"/>
      <c r="C981" s="44"/>
      <c r="D981" s="44"/>
      <c r="E981" s="44"/>
      <c r="F981" s="44"/>
      <c r="G981" s="44"/>
      <c r="H981" s="44"/>
      <c r="I981" s="44"/>
      <c r="J981" s="44"/>
      <c r="K981" s="44"/>
      <c r="L981" s="44"/>
      <c r="M981" s="44"/>
      <c r="N981" s="44"/>
      <c r="O981" s="44"/>
    </row>
    <row r="982" spans="1:15" ht="17.25" customHeight="1">
      <c r="A982" s="44"/>
      <c r="B982" s="44"/>
      <c r="C982" s="44"/>
      <c r="D982" s="44"/>
      <c r="E982" s="44"/>
      <c r="F982" s="44"/>
      <c r="G982" s="44"/>
      <c r="H982" s="44"/>
      <c r="I982" s="44"/>
      <c r="J982" s="44"/>
      <c r="K982" s="44"/>
      <c r="L982" s="44"/>
      <c r="M982" s="44"/>
      <c r="N982" s="44"/>
      <c r="O982" s="44"/>
    </row>
    <row r="983" spans="1:15" ht="17.25" customHeight="1">
      <c r="A983" s="44"/>
      <c r="B983" s="44"/>
      <c r="C983" s="44"/>
      <c r="D983" s="44"/>
      <c r="E983" s="44"/>
      <c r="F983" s="44"/>
      <c r="G983" s="44"/>
      <c r="H983" s="44"/>
      <c r="I983" s="44"/>
      <c r="J983" s="44"/>
      <c r="K983" s="44"/>
      <c r="L983" s="44"/>
      <c r="M983" s="44"/>
      <c r="N983" s="44"/>
      <c r="O983" s="44"/>
    </row>
    <row r="984" spans="1:15" ht="17.25" customHeight="1">
      <c r="A984" s="44"/>
      <c r="B984" s="44"/>
      <c r="C984" s="44"/>
      <c r="D984" s="44"/>
      <c r="E984" s="44"/>
      <c r="F984" s="44"/>
      <c r="G984" s="44"/>
      <c r="H984" s="44"/>
      <c r="I984" s="44"/>
      <c r="J984" s="44"/>
      <c r="K984" s="44"/>
      <c r="L984" s="44"/>
      <c r="M984" s="44"/>
      <c r="N984" s="44"/>
      <c r="O984" s="44"/>
    </row>
    <row r="985" spans="1:15" ht="17.25" customHeight="1">
      <c r="A985" s="44"/>
      <c r="B985" s="44"/>
      <c r="C985" s="44"/>
      <c r="D985" s="44"/>
      <c r="E985" s="44"/>
      <c r="F985" s="44"/>
      <c r="G985" s="44"/>
      <c r="H985" s="44"/>
      <c r="I985" s="44"/>
      <c r="J985" s="44"/>
      <c r="K985" s="44"/>
      <c r="L985" s="44"/>
      <c r="M985" s="44"/>
      <c r="N985" s="44"/>
      <c r="O985" s="44"/>
    </row>
    <row r="986" spans="1:15" ht="17.25" customHeight="1">
      <c r="A986" s="44"/>
      <c r="B986" s="44"/>
      <c r="C986" s="44"/>
      <c r="D986" s="44"/>
      <c r="E986" s="44"/>
      <c r="F986" s="44"/>
      <c r="G986" s="44"/>
      <c r="H986" s="44"/>
      <c r="I986" s="44"/>
      <c r="J986" s="44"/>
      <c r="K986" s="44"/>
      <c r="L986" s="44"/>
      <c r="M986" s="44"/>
      <c r="N986" s="44"/>
      <c r="O986" s="44"/>
    </row>
    <row r="987" spans="1:15" ht="15" customHeight="1"/>
    <row r="988" spans="1:15" ht="15" customHeight="1"/>
    <row r="989" spans="1:15" ht="15" customHeight="1"/>
    <row r="990" spans="1:15" ht="15" customHeight="1"/>
    <row r="991" spans="1:15" ht="15" customHeight="1"/>
    <row r="992" spans="1:15" ht="15" customHeight="1"/>
    <row r="993" ht="15" customHeight="1"/>
    <row r="994" ht="15" customHeight="1"/>
    <row r="995" ht="15" customHeight="1"/>
    <row r="996" ht="15" customHeight="1"/>
    <row r="997" ht="15" customHeight="1"/>
    <row r="998" ht="15" customHeight="1"/>
  </sheetData>
  <mergeCells count="2">
    <mergeCell ref="G1:J2"/>
    <mergeCell ref="B4:C4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98"/>
  <sheetViews>
    <sheetView showGridLines="0" workbookViewId="0">
      <selection activeCell="J15" sqref="J15"/>
    </sheetView>
  </sheetViews>
  <sheetFormatPr baseColWidth="10" defaultColWidth="14.42578125" defaultRowHeight="15"/>
  <cols>
    <col min="1" max="1" width="5.28515625" style="46" customWidth="1"/>
    <col min="2" max="3" width="12.42578125" style="46" customWidth="1"/>
    <col min="4" max="4" width="6.140625" style="46" customWidth="1"/>
    <col min="5" max="5" width="4.85546875" style="46" customWidth="1"/>
    <col min="6" max="6" width="3.28515625" style="46" customWidth="1"/>
    <col min="7" max="10" width="11.42578125" style="46" customWidth="1"/>
    <col min="11" max="11" width="8.42578125" style="46" customWidth="1"/>
    <col min="12" max="12" width="11.42578125" style="46" customWidth="1"/>
    <col min="13" max="13" width="7" style="46" customWidth="1"/>
    <col min="14" max="14" width="13.85546875" style="46" customWidth="1"/>
    <col min="15" max="15" width="3.140625" style="46" customWidth="1"/>
    <col min="16" max="16" width="30.85546875" style="46" customWidth="1"/>
    <col min="17" max="16384" width="14.42578125" style="46"/>
  </cols>
  <sheetData>
    <row r="1" spans="1:18" ht="21.75" customHeight="1">
      <c r="A1" s="44"/>
      <c r="B1" s="44"/>
      <c r="C1" s="44"/>
      <c r="D1" s="45"/>
      <c r="E1" s="45"/>
      <c r="F1" s="45"/>
      <c r="G1" s="156" t="s">
        <v>68</v>
      </c>
      <c r="H1" s="157"/>
      <c r="I1" s="157"/>
      <c r="J1" s="157"/>
      <c r="K1" s="44"/>
      <c r="L1" s="44"/>
      <c r="M1" s="44"/>
      <c r="N1" s="44"/>
      <c r="O1" s="44"/>
    </row>
    <row r="2" spans="1:18" ht="25.5" customHeight="1">
      <c r="A2" s="44"/>
      <c r="B2" s="44"/>
      <c r="C2" s="44"/>
      <c r="D2" s="47"/>
      <c r="E2" s="47"/>
      <c r="F2" s="47"/>
      <c r="G2" s="157"/>
      <c r="H2" s="157"/>
      <c r="I2" s="157"/>
      <c r="J2" s="157"/>
      <c r="K2" s="44"/>
      <c r="L2" s="44"/>
      <c r="M2" s="44"/>
      <c r="N2" s="44"/>
      <c r="O2" s="44"/>
      <c r="P2" s="46" t="s">
        <v>56</v>
      </c>
    </row>
    <row r="3" spans="1:18" ht="17.25" customHeight="1" thickBot="1">
      <c r="A3" s="44"/>
      <c r="B3" s="44"/>
      <c r="C3" s="44"/>
      <c r="D3" s="48"/>
      <c r="E3" s="48"/>
      <c r="F3" s="48"/>
      <c r="G3" s="44"/>
      <c r="H3" s="44"/>
      <c r="I3" s="44"/>
      <c r="J3" s="44"/>
      <c r="K3" s="44"/>
      <c r="L3" s="44"/>
      <c r="M3" s="44"/>
      <c r="N3" s="44"/>
      <c r="O3" s="44"/>
    </row>
    <row r="4" spans="1:18" ht="17.25" customHeight="1">
      <c r="A4" s="44"/>
      <c r="B4" s="158" t="s">
        <v>97</v>
      </c>
      <c r="C4" s="159"/>
      <c r="D4" s="48"/>
      <c r="E4" s="48"/>
      <c r="F4" s="48"/>
      <c r="G4" s="44"/>
      <c r="H4" s="44"/>
      <c r="I4" s="44"/>
      <c r="J4" s="44"/>
      <c r="K4" s="44"/>
      <c r="L4" s="44"/>
      <c r="M4" s="44"/>
      <c r="N4" s="44"/>
      <c r="O4" s="44"/>
      <c r="P4" s="49"/>
      <c r="Q4" s="49" t="s">
        <v>69</v>
      </c>
      <c r="R4" s="49" t="s">
        <v>70</v>
      </c>
    </row>
    <row r="5" spans="1:18" ht="17.25" customHeight="1">
      <c r="A5" s="50" t="s">
        <v>71</v>
      </c>
      <c r="B5" s="50" t="s">
        <v>69</v>
      </c>
      <c r="C5" s="50" t="s">
        <v>70</v>
      </c>
      <c r="D5" s="48"/>
      <c r="E5" s="48"/>
      <c r="F5" s="48"/>
      <c r="G5" s="44"/>
      <c r="H5" s="44"/>
      <c r="I5" s="44"/>
      <c r="J5" s="44"/>
      <c r="K5" s="44"/>
      <c r="L5" s="44"/>
      <c r="M5" s="44"/>
      <c r="N5" s="44"/>
      <c r="O5" s="44"/>
      <c r="P5" s="51" t="s">
        <v>57</v>
      </c>
      <c r="Q5" s="52">
        <v>0.44317958101850902</v>
      </c>
      <c r="R5" s="52">
        <v>0.28883252777777418</v>
      </c>
    </row>
    <row r="6" spans="1:18" ht="17.25" customHeight="1">
      <c r="A6" s="53">
        <v>1</v>
      </c>
      <c r="B6" s="125">
        <v>0.26092462499997282</v>
      </c>
      <c r="C6" s="125">
        <v>0.24218162500000062</v>
      </c>
      <c r="D6" s="48"/>
      <c r="E6" s="48"/>
      <c r="F6" s="48"/>
      <c r="G6" s="44" t="s">
        <v>72</v>
      </c>
      <c r="H6" s="44"/>
      <c r="I6" s="44"/>
      <c r="J6" s="44"/>
      <c r="K6" s="44"/>
      <c r="L6" s="44"/>
      <c r="M6" s="44"/>
      <c r="N6" s="44"/>
      <c r="O6" s="44"/>
      <c r="P6" s="51" t="s">
        <v>58</v>
      </c>
      <c r="Q6" s="54">
        <v>0.14537412548986117</v>
      </c>
      <c r="R6" s="54">
        <v>3.3513903219751534E-2</v>
      </c>
    </row>
    <row r="7" spans="1:18" ht="17.25" customHeight="1">
      <c r="A7" s="53">
        <v>2</v>
      </c>
      <c r="B7" s="125">
        <v>0.12808387499995899</v>
      </c>
      <c r="C7" s="125">
        <v>3.3561249999252141E-3</v>
      </c>
      <c r="D7" s="48"/>
      <c r="E7" s="48"/>
      <c r="F7" s="48"/>
      <c r="G7" s="44"/>
      <c r="H7" s="44"/>
      <c r="I7" s="55" t="s">
        <v>73</v>
      </c>
      <c r="J7" s="56">
        <f>AVERAGE(B6:B23)</f>
        <v>0.30365899999998192</v>
      </c>
      <c r="K7" s="57" t="s">
        <v>74</v>
      </c>
      <c r="L7" s="58">
        <f>COUNT(B6:B23)</f>
        <v>18</v>
      </c>
      <c r="M7" s="57" t="s">
        <v>73</v>
      </c>
      <c r="N7" s="59">
        <f>_xlfn.VAR.S(B6:B17)</f>
        <v>2.0948186068273342E-2</v>
      </c>
      <c r="O7" s="44"/>
      <c r="P7" s="51" t="s">
        <v>59</v>
      </c>
      <c r="Q7" s="51">
        <v>18</v>
      </c>
      <c r="R7" s="51">
        <v>18</v>
      </c>
    </row>
    <row r="8" spans="1:18" ht="17.25" customHeight="1">
      <c r="A8" s="53">
        <v>3</v>
      </c>
      <c r="B8" s="125">
        <v>0.51347499999997126</v>
      </c>
      <c r="C8" s="125">
        <v>0.2729927499999576</v>
      </c>
      <c r="D8" s="48"/>
      <c r="E8" s="48"/>
      <c r="F8" s="48"/>
      <c r="G8" s="44"/>
      <c r="H8" s="44"/>
      <c r="I8" s="60" t="s">
        <v>73</v>
      </c>
      <c r="J8" s="56">
        <f>AVERAGE(C6:C23)</f>
        <v>0.36967667361110695</v>
      </c>
      <c r="K8" s="57" t="s">
        <v>75</v>
      </c>
      <c r="L8" s="58">
        <f>COUNT(C6:C24)</f>
        <v>18</v>
      </c>
      <c r="M8" s="57" t="s">
        <v>73</v>
      </c>
      <c r="N8" s="59">
        <f>_xlfn.VAR.S(C6:C17)</f>
        <v>9.2184506018658782E-2</v>
      </c>
      <c r="O8" s="44"/>
      <c r="P8" s="51" t="s">
        <v>60</v>
      </c>
      <c r="Q8" s="54">
        <v>8.9444014354806353E-2</v>
      </c>
      <c r="R8" s="51"/>
    </row>
    <row r="9" spans="1:18" ht="17.25" customHeight="1">
      <c r="A9" s="53">
        <v>4</v>
      </c>
      <c r="B9" s="125">
        <v>0.25811300000003712</v>
      </c>
      <c r="C9" s="125">
        <v>0.46000312500001428</v>
      </c>
      <c r="D9" s="48"/>
      <c r="E9" s="48"/>
      <c r="F9" s="48"/>
      <c r="G9" s="44"/>
      <c r="H9" s="44"/>
      <c r="I9" s="44"/>
      <c r="J9" s="44"/>
      <c r="K9" s="44"/>
      <c r="L9" s="44"/>
      <c r="M9" s="57" t="s">
        <v>73</v>
      </c>
      <c r="N9" s="59">
        <f>((L7-1)*N7+(L8-1)*N8)/(L7+L8-2)</f>
        <v>5.6566346043466061E-2</v>
      </c>
      <c r="O9" s="44"/>
      <c r="P9" s="51" t="s">
        <v>61</v>
      </c>
      <c r="Q9" s="51">
        <v>0</v>
      </c>
      <c r="R9" s="51"/>
    </row>
    <row r="10" spans="1:18" ht="17.25" customHeight="1">
      <c r="A10" s="53">
        <v>5</v>
      </c>
      <c r="B10" s="125">
        <v>0.2026211250000074</v>
      </c>
      <c r="C10" s="125">
        <v>0.17172775000000229</v>
      </c>
      <c r="D10" s="48"/>
      <c r="E10" s="48"/>
      <c r="F10" s="48"/>
      <c r="G10" s="44"/>
      <c r="H10" s="44"/>
      <c r="I10" s="57" t="s">
        <v>76</v>
      </c>
      <c r="J10" s="61">
        <f>ABS((J7-J8)/SQRT(N7/L7+N8/L8))</f>
        <v>0.83272654301435411</v>
      </c>
      <c r="K10" s="44"/>
      <c r="L10" s="44"/>
      <c r="M10" s="44"/>
      <c r="N10" s="44"/>
      <c r="O10" s="44"/>
      <c r="P10" s="51" t="s">
        <v>62</v>
      </c>
      <c r="Q10" s="51">
        <v>34</v>
      </c>
      <c r="R10" s="51"/>
    </row>
    <row r="11" spans="1:18" ht="17.25" customHeight="1" thickBot="1">
      <c r="A11" s="53">
        <v>6</v>
      </c>
      <c r="B11" s="125">
        <v>0.26376887500003932</v>
      </c>
      <c r="C11" s="125">
        <v>0.33986862500006509</v>
      </c>
      <c r="D11" s="48"/>
      <c r="E11" s="48"/>
      <c r="F11" s="48"/>
      <c r="G11" s="44"/>
      <c r="H11" s="44"/>
      <c r="I11" s="44"/>
      <c r="J11" s="44"/>
      <c r="K11" s="44"/>
      <c r="L11" s="44"/>
      <c r="M11" s="62"/>
      <c r="N11" s="44">
        <f>J10</f>
        <v>0.83272654301435411</v>
      </c>
      <c r="O11" s="44"/>
      <c r="P11" s="51" t="s">
        <v>63</v>
      </c>
      <c r="Q11" s="81">
        <v>1.5482602214075776</v>
      </c>
      <c r="R11" s="51"/>
    </row>
    <row r="12" spans="1:18" ht="17.25" customHeight="1">
      <c r="A12" s="53">
        <v>1</v>
      </c>
      <c r="B12" s="30">
        <v>0.17278887499992379</v>
      </c>
      <c r="C12" s="30">
        <v>0.45113487499997973</v>
      </c>
      <c r="D12" s="48"/>
      <c r="E12" s="48"/>
      <c r="F12" s="48"/>
      <c r="G12" s="44"/>
      <c r="H12" s="44"/>
      <c r="I12" s="44"/>
      <c r="J12" s="44"/>
      <c r="K12" s="44"/>
      <c r="L12" s="44"/>
      <c r="M12" s="62"/>
      <c r="N12" s="44"/>
      <c r="O12" s="44"/>
      <c r="P12" s="51" t="s">
        <v>64</v>
      </c>
      <c r="Q12" s="51">
        <v>6.5409292048025119E-2</v>
      </c>
      <c r="R12" s="51"/>
    </row>
    <row r="13" spans="1:18" ht="17.25" customHeight="1">
      <c r="A13" s="53">
        <v>2</v>
      </c>
      <c r="B13" s="125">
        <v>0.48127137499989203</v>
      </c>
      <c r="C13" s="125">
        <v>0.66271325000002435</v>
      </c>
      <c r="D13" s="48"/>
      <c r="E13" s="48"/>
      <c r="F13" s="48"/>
      <c r="G13" s="63" t="s">
        <v>77</v>
      </c>
      <c r="H13" s="63"/>
      <c r="I13" s="64" t="s">
        <v>78</v>
      </c>
      <c r="J13" s="65">
        <f>L7+L8-2</f>
        <v>34</v>
      </c>
      <c r="K13" s="44"/>
      <c r="L13" s="44"/>
      <c r="M13" s="62"/>
      <c r="N13" s="66"/>
      <c r="O13" s="44"/>
      <c r="P13" s="51" t="s">
        <v>65</v>
      </c>
      <c r="Q13" s="51">
        <v>1.6909242551868542</v>
      </c>
      <c r="R13" s="51"/>
    </row>
    <row r="14" spans="1:18" ht="17.25" customHeight="1">
      <c r="A14" s="53">
        <v>3</v>
      </c>
      <c r="B14" s="125">
        <v>0.44734599999998181</v>
      </c>
      <c r="C14" s="125">
        <v>0.94872737499991899</v>
      </c>
      <c r="D14" s="48"/>
      <c r="E14" s="48"/>
      <c r="F14" s="48"/>
      <c r="G14" s="63"/>
      <c r="H14" s="63"/>
      <c r="I14" s="80" t="s">
        <v>79</v>
      </c>
      <c r="J14" s="67">
        <v>0.05</v>
      </c>
      <c r="K14" s="68"/>
      <c r="L14" s="44"/>
      <c r="M14" s="44"/>
      <c r="N14" s="66"/>
      <c r="O14" s="44"/>
      <c r="P14" s="51" t="s">
        <v>66</v>
      </c>
      <c r="Q14" s="54">
        <v>0.13081858409605024</v>
      </c>
      <c r="R14" s="51"/>
    </row>
    <row r="15" spans="1:18" ht="17.25" customHeight="1" thickBot="1">
      <c r="A15" s="53">
        <v>4</v>
      </c>
      <c r="B15" s="125">
        <v>0.52596987500004388</v>
      </c>
      <c r="C15" s="125">
        <v>0.94804637499998989</v>
      </c>
      <c r="D15" s="48"/>
      <c r="E15" s="48"/>
      <c r="F15" s="48"/>
      <c r="G15" s="63"/>
      <c r="H15" s="63"/>
      <c r="I15" s="63"/>
      <c r="J15" s="63"/>
      <c r="K15" s="44"/>
      <c r="L15" s="44"/>
      <c r="M15" s="44"/>
      <c r="N15" s="44"/>
      <c r="O15" s="44"/>
      <c r="P15" s="69" t="s">
        <v>67</v>
      </c>
      <c r="Q15" s="70">
        <v>2.0322445093177191</v>
      </c>
      <c r="R15" s="69"/>
    </row>
    <row r="16" spans="1:18" ht="17.25" customHeight="1">
      <c r="A16" s="53">
        <v>5</v>
      </c>
      <c r="B16" s="125">
        <v>0.46320750000000999</v>
      </c>
      <c r="C16" s="125">
        <v>0.58423824999999852</v>
      </c>
      <c r="D16" s="48"/>
      <c r="E16" s="48"/>
      <c r="F16" s="48"/>
      <c r="G16" s="63"/>
      <c r="H16" s="63"/>
      <c r="I16" s="71" t="s">
        <v>73</v>
      </c>
      <c r="J16" s="72">
        <f>_xlfn.T.INV.2T(J14,J13)</f>
        <v>2.0322445093177191</v>
      </c>
      <c r="K16" s="73"/>
      <c r="L16" s="62">
        <f>-J16</f>
        <v>-2.0322445093177191</v>
      </c>
      <c r="M16" s="44"/>
      <c r="N16" s="74">
        <f>J16</f>
        <v>2.0322445093177191</v>
      </c>
      <c r="O16" s="44"/>
    </row>
    <row r="17" spans="1:15" ht="17.25" customHeight="1" thickBot="1">
      <c r="A17" s="53">
        <v>6</v>
      </c>
      <c r="B17" s="34">
        <v>0.43496712500001422</v>
      </c>
      <c r="C17" s="34">
        <v>0.7790113750000387</v>
      </c>
      <c r="D17" s="48"/>
      <c r="E17" s="48"/>
      <c r="F17" s="48"/>
      <c r="G17" s="63"/>
      <c r="H17" s="63"/>
      <c r="I17" s="63" t="s">
        <v>80</v>
      </c>
      <c r="J17" s="72">
        <f>_xlfn.T.DIST.2T(J10,J13)</f>
        <v>0.4108103906266789</v>
      </c>
      <c r="K17" s="44" t="s">
        <v>83</v>
      </c>
      <c r="L17" s="44"/>
      <c r="M17" s="44"/>
      <c r="N17" s="44"/>
      <c r="O17" s="44"/>
    </row>
    <row r="18" spans="1:15" ht="17.25" customHeight="1">
      <c r="A18" s="53">
        <v>1</v>
      </c>
      <c r="B18" s="30">
        <v>0.22874549999994501</v>
      </c>
      <c r="C18" s="30">
        <v>1.99273750000089E-2</v>
      </c>
      <c r="D18" s="48"/>
      <c r="E18" s="48"/>
      <c r="F18" s="48"/>
      <c r="G18" s="44"/>
      <c r="H18" s="75"/>
      <c r="I18" s="44"/>
      <c r="J18" s="44"/>
      <c r="K18" s="44"/>
      <c r="L18" s="44"/>
      <c r="M18" s="44"/>
      <c r="N18" s="44"/>
      <c r="O18" s="44"/>
    </row>
    <row r="19" spans="1:15" ht="17.25" customHeight="1">
      <c r="A19" s="53">
        <v>2</v>
      </c>
      <c r="B19" s="125">
        <v>4.7927875000027598E-2</v>
      </c>
      <c r="C19" s="125">
        <v>0.24861574999994199</v>
      </c>
      <c r="D19" s="48"/>
      <c r="E19" s="48"/>
      <c r="F19" s="48"/>
      <c r="G19" s="57" t="s">
        <v>81</v>
      </c>
      <c r="H19" s="76" t="s">
        <v>116</v>
      </c>
      <c r="I19" s="44"/>
      <c r="J19" s="44"/>
      <c r="K19" s="44"/>
      <c r="L19" s="44"/>
      <c r="M19" s="44"/>
      <c r="N19" s="44"/>
      <c r="O19" s="44"/>
    </row>
    <row r="20" spans="1:15" ht="17.25" customHeight="1">
      <c r="A20" s="53">
        <v>3</v>
      </c>
      <c r="B20" s="125">
        <v>0.47142912499998602</v>
      </c>
      <c r="C20" s="125">
        <v>9.7826375000010998E-2</v>
      </c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</row>
    <row r="21" spans="1:15" ht="17.25" customHeight="1">
      <c r="A21" s="53">
        <v>4</v>
      </c>
      <c r="B21" s="125">
        <v>0.228856249999978</v>
      </c>
      <c r="C21" s="125">
        <v>0.17670249999997623</v>
      </c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</row>
    <row r="22" spans="1:15" ht="17.25" customHeight="1">
      <c r="A22" s="53">
        <v>5</v>
      </c>
      <c r="B22" s="125">
        <v>9.9602500000003105E-2</v>
      </c>
      <c r="C22" s="125">
        <v>7.9696124999941276E-2</v>
      </c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</row>
    <row r="23" spans="1:15" ht="17.25" customHeight="1" thickBot="1">
      <c r="A23" s="53">
        <v>6</v>
      </c>
      <c r="B23" s="34">
        <v>0.236763499999881</v>
      </c>
      <c r="C23" s="34">
        <v>0.16741050000013047</v>
      </c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</row>
    <row r="24" spans="1:15" ht="17.25" customHeight="1">
      <c r="A24" s="44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</row>
    <row r="25" spans="1:15" ht="17.25" customHeight="1">
      <c r="A25" s="44"/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</row>
    <row r="26" spans="1:15" ht="17.25" customHeight="1">
      <c r="A26" s="44"/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</row>
    <row r="27" spans="1:15" ht="17.25" customHeight="1">
      <c r="A27" s="44"/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</row>
    <row r="28" spans="1:15" ht="17.25" customHeight="1">
      <c r="A28" s="44"/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</row>
    <row r="29" spans="1:15" ht="17.25" customHeight="1">
      <c r="A29" s="44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</row>
    <row r="30" spans="1:15" ht="17.25" customHeight="1">
      <c r="A30" s="44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</row>
    <row r="31" spans="1:15" ht="17.25" customHeight="1">
      <c r="A31" s="44"/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</row>
    <row r="32" spans="1:15" ht="17.25" customHeight="1">
      <c r="A32" s="44"/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</row>
    <row r="33" spans="1:15" ht="17.25" customHeight="1">
      <c r="A33" s="44"/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</row>
    <row r="34" spans="1:15" ht="17.25" customHeight="1">
      <c r="A34" s="44"/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</row>
    <row r="35" spans="1:15" ht="17.25" customHeight="1">
      <c r="A35" s="44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</row>
    <row r="36" spans="1:15" ht="17.25" customHeight="1">
      <c r="A36" s="44"/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</row>
    <row r="37" spans="1:15" ht="17.25" customHeight="1">
      <c r="A37" s="44"/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</row>
    <row r="38" spans="1:15" ht="17.25" customHeight="1">
      <c r="A38" s="44"/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</row>
    <row r="39" spans="1:15" ht="17.25" customHeight="1">
      <c r="A39" s="44"/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</row>
    <row r="40" spans="1:15" ht="17.25" customHeight="1">
      <c r="A40" s="44"/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</row>
    <row r="41" spans="1:15" ht="17.25" customHeight="1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</row>
    <row r="42" spans="1:15" ht="17.25" customHeight="1">
      <c r="A42" s="44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</row>
    <row r="43" spans="1:15" ht="17.25" customHeight="1">
      <c r="A43" s="44"/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</row>
    <row r="44" spans="1:15" ht="17.25" customHeight="1">
      <c r="A44" s="44"/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</row>
    <row r="45" spans="1:15" ht="17.25" customHeight="1">
      <c r="A45" s="44"/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</row>
    <row r="46" spans="1:15" ht="17.25" customHeight="1">
      <c r="A46" s="44"/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</row>
    <row r="47" spans="1:15" ht="17.25" customHeight="1">
      <c r="A47" s="44"/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</row>
    <row r="48" spans="1:15" ht="17.25" customHeight="1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</row>
    <row r="49" spans="1:15" ht="17.25" customHeight="1">
      <c r="A49" s="44"/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</row>
    <row r="50" spans="1:15" ht="17.25" customHeight="1">
      <c r="A50" s="44"/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</row>
    <row r="51" spans="1:15" ht="17.25" customHeight="1">
      <c r="A51" s="44"/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</row>
    <row r="52" spans="1:15" ht="17.25" customHeight="1">
      <c r="A52" s="44"/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</row>
    <row r="53" spans="1:15" ht="17.25" customHeight="1">
      <c r="A53" s="44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</row>
    <row r="54" spans="1:15" ht="17.25" customHeight="1">
      <c r="A54" s="44"/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</row>
    <row r="55" spans="1:15" ht="17.25" customHeight="1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</row>
    <row r="56" spans="1:15" ht="17.25" customHeight="1">
      <c r="A56" s="44"/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</row>
    <row r="57" spans="1:15" ht="17.25" customHeight="1">
      <c r="A57" s="44"/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</row>
    <row r="58" spans="1:15" ht="17.25" customHeight="1">
      <c r="A58" s="44"/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</row>
    <row r="59" spans="1:15" ht="17.25" customHeight="1">
      <c r="A59" s="44"/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</row>
    <row r="60" spans="1:15" ht="17.25" customHeight="1">
      <c r="A60" s="44"/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</row>
    <row r="61" spans="1:15" ht="17.25" customHeight="1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</row>
    <row r="62" spans="1:15" ht="17.25" customHeight="1">
      <c r="A62" s="44"/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</row>
    <row r="63" spans="1:15" ht="17.25" customHeight="1">
      <c r="A63" s="44"/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</row>
    <row r="64" spans="1:15" ht="17.25" customHeight="1">
      <c r="A64" s="44"/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</row>
    <row r="65" spans="1:15" ht="17.25" customHeight="1">
      <c r="A65" s="44"/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</row>
    <row r="66" spans="1:15" ht="17.25" customHeight="1">
      <c r="A66" s="44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</row>
    <row r="67" spans="1:15" ht="17.25" customHeight="1">
      <c r="A67" s="44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</row>
    <row r="68" spans="1:15" ht="17.25" customHeight="1">
      <c r="A68" s="44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</row>
    <row r="69" spans="1:15" ht="17.25" customHeight="1">
      <c r="A69" s="44"/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</row>
    <row r="70" spans="1:15" ht="17.25" customHeight="1">
      <c r="A70" s="44"/>
      <c r="B70" s="44"/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</row>
    <row r="71" spans="1:15" ht="17.25" customHeight="1">
      <c r="A71" s="44"/>
      <c r="B71" s="44"/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</row>
    <row r="72" spans="1:15" ht="17.25" customHeight="1">
      <c r="A72" s="44"/>
      <c r="B72" s="44"/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</row>
    <row r="73" spans="1:15" ht="17.25" customHeight="1">
      <c r="A73" s="44"/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</row>
    <row r="74" spans="1:15" ht="17.25" customHeight="1">
      <c r="A74" s="44"/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</row>
    <row r="75" spans="1:15" ht="17.25" customHeight="1">
      <c r="A75" s="44"/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</row>
    <row r="76" spans="1:15" ht="17.25" customHeight="1">
      <c r="A76" s="44"/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</row>
    <row r="77" spans="1:15" ht="17.25" customHeight="1">
      <c r="A77" s="44"/>
      <c r="B77" s="44"/>
      <c r="C77" s="44"/>
      <c r="D77" s="44"/>
      <c r="E77" s="44"/>
      <c r="F77" s="44"/>
      <c r="G77" s="44"/>
      <c r="H77" s="44"/>
      <c r="I77" s="44"/>
      <c r="J77" s="44"/>
      <c r="K77" s="44"/>
      <c r="L77" s="44"/>
      <c r="M77" s="44"/>
      <c r="N77" s="44"/>
      <c r="O77" s="44"/>
    </row>
    <row r="78" spans="1:15" ht="17.25" customHeight="1">
      <c r="A78" s="44"/>
      <c r="B78" s="44"/>
      <c r="C78" s="44"/>
      <c r="D78" s="44"/>
      <c r="E78" s="44"/>
      <c r="F78" s="44"/>
      <c r="G78" s="44"/>
      <c r="H78" s="44"/>
      <c r="I78" s="44"/>
      <c r="J78" s="44"/>
      <c r="K78" s="44"/>
      <c r="L78" s="44"/>
      <c r="M78" s="44"/>
      <c r="N78" s="44"/>
      <c r="O78" s="44"/>
    </row>
    <row r="79" spans="1:15" ht="17.25" customHeight="1">
      <c r="A79" s="44"/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</row>
    <row r="80" spans="1:15" ht="17.25" customHeight="1">
      <c r="A80" s="44"/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</row>
    <row r="81" spans="1:15" ht="17.25" customHeight="1">
      <c r="A81" s="44"/>
      <c r="B81" s="44"/>
      <c r="C81" s="44"/>
      <c r="D81" s="44"/>
      <c r="E81" s="44"/>
      <c r="F81" s="44"/>
      <c r="G81" s="44"/>
      <c r="H81" s="44"/>
      <c r="I81" s="44"/>
      <c r="J81" s="44"/>
      <c r="K81" s="44"/>
      <c r="L81" s="44"/>
      <c r="M81" s="44"/>
      <c r="N81" s="44"/>
      <c r="O81" s="44"/>
    </row>
    <row r="82" spans="1:15" ht="17.25" customHeight="1">
      <c r="A82" s="44"/>
      <c r="B82" s="44"/>
      <c r="C82" s="44"/>
      <c r="D82" s="44"/>
      <c r="E82" s="44"/>
      <c r="F82" s="44"/>
      <c r="G82" s="44"/>
      <c r="H82" s="44"/>
      <c r="I82" s="44"/>
      <c r="J82" s="44"/>
      <c r="K82" s="44"/>
      <c r="L82" s="44"/>
      <c r="M82" s="44"/>
      <c r="N82" s="44"/>
      <c r="O82" s="44"/>
    </row>
    <row r="83" spans="1:15" ht="17.25" customHeight="1">
      <c r="A83" s="44"/>
      <c r="B83" s="44"/>
      <c r="C83" s="44"/>
      <c r="D83" s="44"/>
      <c r="E83" s="44"/>
      <c r="F83" s="44"/>
      <c r="G83" s="44"/>
      <c r="H83" s="44"/>
      <c r="I83" s="44"/>
      <c r="J83" s="44"/>
      <c r="K83" s="44"/>
      <c r="L83" s="44"/>
      <c r="M83" s="44"/>
      <c r="N83" s="44"/>
      <c r="O83" s="44"/>
    </row>
    <row r="84" spans="1:15" ht="17.25" customHeight="1">
      <c r="A84" s="44"/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M84" s="44"/>
      <c r="N84" s="44"/>
      <c r="O84" s="44"/>
    </row>
    <row r="85" spans="1:15" ht="17.25" customHeight="1">
      <c r="A85" s="44"/>
      <c r="B85" s="44"/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</row>
    <row r="86" spans="1:15" ht="17.25" customHeight="1">
      <c r="A86" s="44"/>
      <c r="B86" s="44"/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</row>
    <row r="87" spans="1:15" ht="17.25" customHeight="1">
      <c r="A87" s="44"/>
      <c r="B87" s="44"/>
      <c r="C87" s="44"/>
      <c r="D87" s="44"/>
      <c r="E87" s="44"/>
      <c r="F87" s="44"/>
      <c r="G87" s="44"/>
      <c r="H87" s="44"/>
      <c r="I87" s="44"/>
      <c r="J87" s="44"/>
      <c r="K87" s="44"/>
      <c r="L87" s="44"/>
      <c r="M87" s="44"/>
      <c r="N87" s="44"/>
      <c r="O87" s="44"/>
    </row>
    <row r="88" spans="1:15" ht="17.25" customHeight="1">
      <c r="A88" s="44"/>
      <c r="B88" s="44"/>
      <c r="C88" s="44"/>
      <c r="D88" s="44"/>
      <c r="E88" s="44"/>
      <c r="F88" s="44"/>
      <c r="G88" s="44"/>
      <c r="H88" s="44"/>
      <c r="I88" s="44"/>
      <c r="J88" s="44"/>
      <c r="K88" s="44"/>
      <c r="L88" s="44"/>
      <c r="M88" s="44"/>
      <c r="N88" s="44"/>
      <c r="O88" s="44"/>
    </row>
    <row r="89" spans="1:15" ht="17.25" customHeight="1">
      <c r="A89" s="44"/>
      <c r="B89" s="44"/>
      <c r="C89" s="44"/>
      <c r="D89" s="44"/>
      <c r="E89" s="44"/>
      <c r="F89" s="44"/>
      <c r="G89" s="44"/>
      <c r="H89" s="44"/>
      <c r="I89" s="44"/>
      <c r="J89" s="44"/>
      <c r="K89" s="44"/>
      <c r="L89" s="44"/>
      <c r="M89" s="44"/>
      <c r="N89" s="44"/>
      <c r="O89" s="44"/>
    </row>
    <row r="90" spans="1:15" ht="17.25" customHeight="1">
      <c r="A90" s="44"/>
      <c r="B90" s="44"/>
      <c r="C90" s="44"/>
      <c r="D90" s="44"/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44"/>
    </row>
    <row r="91" spans="1:15" ht="17.25" customHeight="1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</row>
    <row r="92" spans="1:15" ht="17.25" customHeight="1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</row>
    <row r="93" spans="1:15" ht="17.25" customHeight="1">
      <c r="A93" s="44"/>
      <c r="B93" s="44"/>
      <c r="C93" s="44"/>
      <c r="D93" s="44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</row>
    <row r="94" spans="1:15" ht="17.25" customHeight="1">
      <c r="A94" s="44"/>
      <c r="B94" s="44"/>
      <c r="C94" s="44"/>
      <c r="D94" s="44"/>
      <c r="E94" s="44"/>
      <c r="F94" s="44"/>
      <c r="G94" s="44"/>
      <c r="H94" s="44"/>
      <c r="I94" s="44"/>
      <c r="J94" s="44"/>
      <c r="K94" s="44"/>
      <c r="L94" s="44"/>
      <c r="M94" s="44"/>
      <c r="N94" s="44"/>
      <c r="O94" s="44"/>
    </row>
    <row r="95" spans="1:15" ht="17.25" customHeight="1">
      <c r="A95" s="44"/>
      <c r="B95" s="44"/>
      <c r="C95" s="44"/>
      <c r="D95" s="44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</row>
    <row r="96" spans="1:15" ht="17.25" customHeight="1">
      <c r="A96" s="44"/>
      <c r="B96" s="44"/>
      <c r="C96" s="44"/>
      <c r="D96" s="44"/>
      <c r="E96" s="44"/>
      <c r="F96" s="44"/>
      <c r="G96" s="44"/>
      <c r="H96" s="44"/>
      <c r="I96" s="44"/>
      <c r="J96" s="44"/>
      <c r="K96" s="44"/>
      <c r="L96" s="44"/>
      <c r="M96" s="44"/>
      <c r="N96" s="44"/>
      <c r="O96" s="44"/>
    </row>
    <row r="97" spans="1:15" ht="17.25" customHeight="1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</row>
    <row r="98" spans="1:15" ht="17.25" customHeight="1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</row>
    <row r="99" spans="1:15" ht="17.25" customHeight="1">
      <c r="A99" s="44"/>
      <c r="B99" s="44"/>
      <c r="C99" s="44"/>
      <c r="D99" s="44"/>
      <c r="E99" s="44"/>
      <c r="F99" s="44"/>
      <c r="G99" s="44"/>
      <c r="H99" s="44"/>
      <c r="I99" s="44"/>
      <c r="J99" s="44"/>
      <c r="K99" s="44"/>
      <c r="L99" s="44"/>
      <c r="M99" s="44"/>
      <c r="N99" s="44"/>
      <c r="O99" s="44"/>
    </row>
    <row r="100" spans="1:15" ht="17.25" customHeight="1">
      <c r="A100" s="44"/>
      <c r="B100" s="44"/>
      <c r="C100" s="44"/>
      <c r="D100" s="44"/>
      <c r="E100" s="44"/>
      <c r="F100" s="44"/>
      <c r="G100" s="44"/>
      <c r="H100" s="44"/>
      <c r="I100" s="44"/>
      <c r="J100" s="44"/>
      <c r="K100" s="44"/>
      <c r="L100" s="44"/>
      <c r="M100" s="44"/>
      <c r="N100" s="44"/>
      <c r="O100" s="44"/>
    </row>
    <row r="101" spans="1:15" ht="17.25" customHeight="1">
      <c r="A101" s="44"/>
      <c r="B101" s="44"/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44"/>
    </row>
    <row r="102" spans="1:15" ht="17.25" customHeight="1">
      <c r="A102" s="44"/>
      <c r="B102" s="44"/>
      <c r="C102" s="44"/>
      <c r="D102" s="44"/>
      <c r="E102" s="44"/>
      <c r="F102" s="44"/>
      <c r="G102" s="44"/>
      <c r="H102" s="44"/>
      <c r="I102" s="44"/>
      <c r="J102" s="44"/>
      <c r="K102" s="44"/>
      <c r="L102" s="44"/>
      <c r="M102" s="44"/>
      <c r="N102" s="44"/>
      <c r="O102" s="44"/>
    </row>
    <row r="103" spans="1:15" ht="17.25" customHeight="1">
      <c r="A103" s="44"/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</row>
    <row r="104" spans="1:15" ht="17.25" customHeight="1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</row>
    <row r="105" spans="1:15" ht="17.25" customHeight="1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</row>
    <row r="106" spans="1:15" ht="17.25" customHeight="1">
      <c r="A106" s="44"/>
      <c r="B106" s="44"/>
      <c r="C106" s="44"/>
      <c r="D106" s="44"/>
      <c r="E106" s="44"/>
      <c r="F106" s="44"/>
      <c r="G106" s="44"/>
      <c r="H106" s="44"/>
      <c r="I106" s="44"/>
      <c r="J106" s="44"/>
      <c r="K106" s="44"/>
      <c r="L106" s="44"/>
      <c r="M106" s="44"/>
      <c r="N106" s="44"/>
      <c r="O106" s="44"/>
    </row>
    <row r="107" spans="1:15" ht="17.25" customHeight="1">
      <c r="A107" s="44"/>
      <c r="B107" s="44"/>
      <c r="C107" s="44"/>
      <c r="D107" s="44"/>
      <c r="E107" s="44"/>
      <c r="F107" s="44"/>
      <c r="G107" s="44"/>
      <c r="H107" s="44"/>
      <c r="I107" s="44"/>
      <c r="J107" s="44"/>
      <c r="K107" s="44"/>
      <c r="L107" s="44"/>
      <c r="M107" s="44"/>
      <c r="N107" s="44"/>
      <c r="O107" s="44"/>
    </row>
    <row r="108" spans="1:15" ht="17.25" customHeight="1">
      <c r="A108" s="44"/>
      <c r="B108" s="44"/>
      <c r="C108" s="44"/>
      <c r="D108" s="44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</row>
    <row r="109" spans="1:15" ht="17.25" customHeight="1">
      <c r="A109" s="44"/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  <c r="N109" s="44"/>
      <c r="O109" s="44"/>
    </row>
    <row r="110" spans="1:15" ht="17.25" customHeight="1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</row>
    <row r="111" spans="1:15" ht="17.25" customHeight="1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</row>
    <row r="112" spans="1:15" ht="17.25" customHeight="1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</row>
    <row r="113" spans="1:15" ht="17.25" customHeight="1">
      <c r="A113" s="44"/>
      <c r="B113" s="44"/>
      <c r="C113" s="44"/>
      <c r="D113" s="44"/>
      <c r="E113" s="44"/>
      <c r="F113" s="44"/>
      <c r="G113" s="44"/>
      <c r="H113" s="44"/>
      <c r="I113" s="44"/>
      <c r="J113" s="44"/>
      <c r="K113" s="44"/>
      <c r="L113" s="44"/>
      <c r="M113" s="44"/>
      <c r="N113" s="44"/>
      <c r="O113" s="44"/>
    </row>
    <row r="114" spans="1:15" ht="17.25" customHeight="1">
      <c r="A114" s="44"/>
      <c r="B114" s="44"/>
      <c r="C114" s="44"/>
      <c r="D114" s="44"/>
      <c r="E114" s="44"/>
      <c r="F114" s="44"/>
      <c r="G114" s="44"/>
      <c r="H114" s="44"/>
      <c r="I114" s="44"/>
      <c r="J114" s="44"/>
      <c r="K114" s="44"/>
      <c r="L114" s="44"/>
      <c r="M114" s="44"/>
      <c r="N114" s="44"/>
      <c r="O114" s="44"/>
    </row>
    <row r="115" spans="1:15" ht="17.25" customHeight="1">
      <c r="A115" s="44"/>
      <c r="B115" s="44"/>
      <c r="C115" s="44"/>
      <c r="D115" s="44"/>
      <c r="E115" s="44"/>
      <c r="F115" s="44"/>
      <c r="G115" s="44"/>
      <c r="H115" s="44"/>
      <c r="I115" s="44"/>
      <c r="J115" s="44"/>
      <c r="K115" s="44"/>
      <c r="L115" s="44"/>
      <c r="M115" s="44"/>
      <c r="N115" s="44"/>
      <c r="O115" s="44"/>
    </row>
    <row r="116" spans="1:15" ht="17.25" customHeight="1">
      <c r="A116" s="44"/>
      <c r="B116" s="44"/>
      <c r="C116" s="44"/>
      <c r="D116" s="44"/>
      <c r="E116" s="44"/>
      <c r="F116" s="44"/>
      <c r="G116" s="44"/>
      <c r="H116" s="44"/>
      <c r="I116" s="44"/>
      <c r="J116" s="44"/>
      <c r="K116" s="44"/>
      <c r="L116" s="44"/>
      <c r="M116" s="44"/>
      <c r="N116" s="44"/>
      <c r="O116" s="44"/>
    </row>
    <row r="117" spans="1:15" ht="17.25" customHeight="1">
      <c r="A117" s="44"/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</row>
    <row r="118" spans="1:15" ht="17.25" customHeight="1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</row>
    <row r="119" spans="1:15" ht="17.25" customHeight="1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</row>
    <row r="120" spans="1:15" ht="17.25" customHeight="1">
      <c r="A120" s="44"/>
      <c r="B120" s="44"/>
      <c r="C120" s="44"/>
      <c r="D120" s="44"/>
      <c r="E120" s="44"/>
      <c r="F120" s="44"/>
      <c r="G120" s="44"/>
      <c r="H120" s="44"/>
      <c r="I120" s="44"/>
      <c r="J120" s="44"/>
      <c r="K120" s="44"/>
      <c r="L120" s="44"/>
      <c r="M120" s="44"/>
      <c r="N120" s="44"/>
      <c r="O120" s="44"/>
    </row>
    <row r="121" spans="1:15" ht="17.25" customHeight="1">
      <c r="A121" s="44"/>
      <c r="B121" s="44"/>
      <c r="C121" s="44"/>
      <c r="D121" s="44"/>
      <c r="E121" s="44"/>
      <c r="F121" s="44"/>
      <c r="G121" s="44"/>
      <c r="H121" s="44"/>
      <c r="I121" s="44"/>
      <c r="J121" s="44"/>
      <c r="K121" s="44"/>
      <c r="L121" s="44"/>
      <c r="M121" s="44"/>
      <c r="N121" s="44"/>
      <c r="O121" s="44"/>
    </row>
    <row r="122" spans="1:15" ht="17.25" customHeight="1">
      <c r="A122" s="44"/>
      <c r="B122" s="44"/>
      <c r="C122" s="44"/>
      <c r="D122" s="44"/>
      <c r="E122" s="44"/>
      <c r="F122" s="44"/>
      <c r="G122" s="44"/>
      <c r="H122" s="44"/>
      <c r="I122" s="44"/>
      <c r="J122" s="44"/>
      <c r="K122" s="44"/>
      <c r="L122" s="44"/>
      <c r="M122" s="44"/>
      <c r="N122" s="44"/>
      <c r="O122" s="44"/>
    </row>
    <row r="123" spans="1:15" ht="17.25" customHeight="1">
      <c r="A123" s="44"/>
      <c r="B123" s="44"/>
      <c r="C123" s="44"/>
      <c r="D123" s="44"/>
      <c r="E123" s="44"/>
      <c r="F123" s="44"/>
      <c r="G123" s="44"/>
      <c r="H123" s="44"/>
      <c r="I123" s="44"/>
      <c r="J123" s="44"/>
      <c r="K123" s="44"/>
      <c r="L123" s="44"/>
      <c r="M123" s="44"/>
      <c r="N123" s="44"/>
      <c r="O123" s="44"/>
    </row>
    <row r="124" spans="1:15" ht="17.25" customHeight="1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</row>
    <row r="125" spans="1:15" ht="17.25" customHeight="1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</row>
    <row r="126" spans="1:15" ht="17.25" customHeight="1">
      <c r="A126" s="44"/>
      <c r="B126" s="44"/>
      <c r="C126" s="44"/>
      <c r="D126" s="44"/>
      <c r="E126" s="44"/>
      <c r="F126" s="44"/>
      <c r="G126" s="44"/>
      <c r="H126" s="44"/>
      <c r="I126" s="44"/>
      <c r="J126" s="44"/>
      <c r="K126" s="44"/>
      <c r="L126" s="44"/>
      <c r="M126" s="44"/>
      <c r="N126" s="44"/>
      <c r="O126" s="44"/>
    </row>
    <row r="127" spans="1:15" ht="17.25" customHeight="1">
      <c r="A127" s="44"/>
      <c r="B127" s="44"/>
      <c r="C127" s="44"/>
      <c r="D127" s="44"/>
      <c r="E127" s="44"/>
      <c r="F127" s="44"/>
      <c r="G127" s="44"/>
      <c r="H127" s="44"/>
      <c r="I127" s="44"/>
      <c r="J127" s="44"/>
      <c r="K127" s="44"/>
      <c r="L127" s="44"/>
      <c r="M127" s="44"/>
      <c r="N127" s="44"/>
      <c r="O127" s="44"/>
    </row>
    <row r="128" spans="1:15" ht="17.25" customHeight="1">
      <c r="A128" s="44"/>
      <c r="B128" s="44"/>
      <c r="C128" s="44"/>
      <c r="D128" s="44"/>
      <c r="E128" s="44"/>
      <c r="F128" s="44"/>
      <c r="G128" s="44"/>
      <c r="H128" s="44"/>
      <c r="I128" s="44"/>
      <c r="J128" s="44"/>
      <c r="K128" s="44"/>
      <c r="L128" s="44"/>
      <c r="M128" s="44"/>
      <c r="N128" s="44"/>
      <c r="O128" s="44"/>
    </row>
    <row r="129" spans="1:15" ht="17.25" customHeight="1">
      <c r="A129" s="44"/>
      <c r="B129" s="44"/>
      <c r="C129" s="44"/>
      <c r="D129" s="44"/>
      <c r="E129" s="44"/>
      <c r="F129" s="44"/>
      <c r="G129" s="44"/>
      <c r="H129" s="44"/>
      <c r="I129" s="44"/>
      <c r="J129" s="44"/>
      <c r="K129" s="44"/>
      <c r="L129" s="44"/>
      <c r="M129" s="44"/>
      <c r="N129" s="44"/>
      <c r="O129" s="44"/>
    </row>
    <row r="130" spans="1:15" ht="17.25" customHeight="1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</row>
    <row r="131" spans="1:15" ht="17.25" customHeight="1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</row>
    <row r="132" spans="1:15" ht="17.25" customHeight="1">
      <c r="A132" s="44"/>
      <c r="B132" s="44"/>
      <c r="C132" s="44"/>
      <c r="D132" s="44"/>
      <c r="E132" s="44"/>
      <c r="F132" s="44"/>
      <c r="G132" s="44"/>
      <c r="H132" s="44"/>
      <c r="I132" s="44"/>
      <c r="J132" s="44"/>
      <c r="K132" s="44"/>
      <c r="L132" s="44"/>
      <c r="M132" s="44"/>
      <c r="N132" s="44"/>
      <c r="O132" s="44"/>
    </row>
    <row r="133" spans="1:15" ht="17.25" customHeight="1">
      <c r="A133" s="44"/>
      <c r="B133" s="44"/>
      <c r="C133" s="44"/>
      <c r="D133" s="44"/>
      <c r="E133" s="44"/>
      <c r="F133" s="44"/>
      <c r="G133" s="44"/>
      <c r="H133" s="44"/>
      <c r="I133" s="44"/>
      <c r="J133" s="44"/>
      <c r="K133" s="44"/>
      <c r="L133" s="44"/>
      <c r="M133" s="44"/>
      <c r="N133" s="44"/>
      <c r="O133" s="44"/>
    </row>
    <row r="134" spans="1:15" ht="17.25" customHeight="1">
      <c r="A134" s="44"/>
      <c r="B134" s="44"/>
      <c r="C134" s="44"/>
      <c r="D134" s="44"/>
      <c r="E134" s="44"/>
      <c r="F134" s="44"/>
      <c r="G134" s="44"/>
      <c r="H134" s="44"/>
      <c r="I134" s="44"/>
      <c r="J134" s="44"/>
      <c r="K134" s="44"/>
      <c r="L134" s="44"/>
      <c r="M134" s="44"/>
      <c r="N134" s="44"/>
      <c r="O134" s="44"/>
    </row>
    <row r="135" spans="1:15" ht="17.25" customHeight="1">
      <c r="A135" s="44"/>
      <c r="B135" s="44"/>
      <c r="C135" s="44"/>
      <c r="D135" s="44"/>
      <c r="E135" s="44"/>
      <c r="F135" s="44"/>
      <c r="G135" s="44"/>
      <c r="H135" s="44"/>
      <c r="I135" s="44"/>
      <c r="J135" s="44"/>
      <c r="K135" s="44"/>
      <c r="L135" s="44"/>
      <c r="M135" s="44"/>
      <c r="N135" s="44"/>
      <c r="O135" s="44"/>
    </row>
    <row r="136" spans="1:15" ht="17.25" customHeight="1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</row>
    <row r="137" spans="1:15" ht="17.25" customHeight="1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</row>
    <row r="138" spans="1:15" ht="17.25" customHeight="1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</row>
    <row r="139" spans="1:15" ht="17.25" customHeight="1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</row>
    <row r="140" spans="1:15" ht="17.25" customHeight="1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</row>
    <row r="141" spans="1:15" ht="17.25" customHeight="1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</row>
    <row r="142" spans="1:15" ht="17.25" customHeight="1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</row>
    <row r="143" spans="1:15" ht="17.25" customHeight="1">
      <c r="A143" s="44"/>
      <c r="B143" s="44"/>
      <c r="C143" s="44"/>
      <c r="D143" s="44"/>
      <c r="E143" s="44"/>
      <c r="F143" s="44"/>
      <c r="G143" s="44"/>
      <c r="H143" s="44"/>
      <c r="I143" s="44"/>
      <c r="J143" s="44"/>
      <c r="K143" s="44"/>
      <c r="L143" s="44"/>
      <c r="M143" s="44"/>
      <c r="N143" s="44"/>
      <c r="O143" s="44"/>
    </row>
    <row r="144" spans="1:15" ht="17.25" customHeight="1">
      <c r="A144" s="44"/>
      <c r="B144" s="44"/>
      <c r="C144" s="44"/>
      <c r="D144" s="44"/>
      <c r="E144" s="44"/>
      <c r="F144" s="44"/>
      <c r="G144" s="44"/>
      <c r="H144" s="44"/>
      <c r="I144" s="44"/>
      <c r="J144" s="44"/>
      <c r="K144" s="44"/>
      <c r="L144" s="44"/>
      <c r="M144" s="44"/>
      <c r="N144" s="44"/>
      <c r="O144" s="44"/>
    </row>
    <row r="145" spans="1:15" ht="17.25" customHeight="1">
      <c r="A145" s="44"/>
      <c r="B145" s="44"/>
      <c r="C145" s="44"/>
      <c r="D145" s="44"/>
      <c r="E145" s="44"/>
      <c r="F145" s="44"/>
      <c r="G145" s="44"/>
      <c r="H145" s="44"/>
      <c r="I145" s="44"/>
      <c r="J145" s="44"/>
      <c r="K145" s="44"/>
      <c r="L145" s="44"/>
      <c r="M145" s="44"/>
      <c r="N145" s="44"/>
      <c r="O145" s="44"/>
    </row>
    <row r="146" spans="1:15" ht="17.25" customHeight="1">
      <c r="A146" s="44"/>
      <c r="B146" s="44"/>
      <c r="C146" s="44"/>
      <c r="D146" s="44"/>
      <c r="E146" s="44"/>
      <c r="F146" s="44"/>
      <c r="G146" s="44"/>
      <c r="H146" s="44"/>
      <c r="I146" s="44"/>
      <c r="J146" s="44"/>
      <c r="K146" s="44"/>
      <c r="L146" s="44"/>
      <c r="M146" s="44"/>
      <c r="N146" s="44"/>
      <c r="O146" s="44"/>
    </row>
    <row r="147" spans="1:15" ht="17.25" customHeight="1">
      <c r="A147" s="44"/>
      <c r="B147" s="44"/>
      <c r="C147" s="44"/>
      <c r="D147" s="44"/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44"/>
    </row>
    <row r="148" spans="1:15" ht="17.25" customHeight="1">
      <c r="A148" s="44"/>
      <c r="B148" s="44"/>
      <c r="C148" s="44"/>
      <c r="D148" s="44"/>
      <c r="E148" s="44"/>
      <c r="F148" s="44"/>
      <c r="G148" s="44"/>
      <c r="H148" s="44"/>
      <c r="I148" s="44"/>
      <c r="J148" s="44"/>
      <c r="K148" s="44"/>
      <c r="L148" s="44"/>
      <c r="M148" s="44"/>
      <c r="N148" s="44"/>
      <c r="O148" s="44"/>
    </row>
    <row r="149" spans="1:15" ht="17.25" customHeight="1">
      <c r="A149" s="44"/>
      <c r="B149" s="44"/>
      <c r="C149" s="44"/>
      <c r="D149" s="44"/>
      <c r="E149" s="44"/>
      <c r="F149" s="44"/>
      <c r="G149" s="44"/>
      <c r="H149" s="44"/>
      <c r="I149" s="44"/>
      <c r="J149" s="44"/>
      <c r="K149" s="44"/>
      <c r="L149" s="44"/>
      <c r="M149" s="44"/>
      <c r="N149" s="44"/>
      <c r="O149" s="44"/>
    </row>
    <row r="150" spans="1:15" ht="17.25" customHeight="1">
      <c r="A150" s="44"/>
      <c r="B150" s="44"/>
      <c r="C150" s="44"/>
      <c r="D150" s="44"/>
      <c r="E150" s="44"/>
      <c r="F150" s="44"/>
      <c r="G150" s="44"/>
      <c r="H150" s="44"/>
      <c r="I150" s="44"/>
      <c r="J150" s="44"/>
      <c r="K150" s="44"/>
      <c r="L150" s="44"/>
      <c r="M150" s="44"/>
      <c r="N150" s="44"/>
      <c r="O150" s="44"/>
    </row>
    <row r="151" spans="1:15" ht="17.25" customHeight="1">
      <c r="A151" s="44"/>
      <c r="B151" s="44"/>
      <c r="C151" s="44"/>
      <c r="D151" s="44"/>
      <c r="E151" s="44"/>
      <c r="F151" s="44"/>
      <c r="G151" s="44"/>
      <c r="H151" s="44"/>
      <c r="I151" s="44"/>
      <c r="J151" s="44"/>
      <c r="K151" s="44"/>
      <c r="L151" s="44"/>
      <c r="M151" s="44"/>
      <c r="N151" s="44"/>
      <c r="O151" s="44"/>
    </row>
    <row r="152" spans="1:15" ht="17.25" customHeight="1">
      <c r="A152" s="44"/>
      <c r="B152" s="44"/>
      <c r="C152" s="44"/>
      <c r="D152" s="44"/>
      <c r="E152" s="44"/>
      <c r="F152" s="44"/>
      <c r="G152" s="44"/>
      <c r="H152" s="44"/>
      <c r="I152" s="44"/>
      <c r="J152" s="44"/>
      <c r="K152" s="44"/>
      <c r="L152" s="44"/>
      <c r="M152" s="44"/>
      <c r="N152" s="44"/>
      <c r="O152" s="44"/>
    </row>
    <row r="153" spans="1:15" ht="17.25" customHeight="1">
      <c r="A153" s="44"/>
      <c r="B153" s="44"/>
      <c r="C153" s="44"/>
      <c r="D153" s="44"/>
      <c r="E153" s="44"/>
      <c r="F153" s="44"/>
      <c r="G153" s="44"/>
      <c r="H153" s="44"/>
      <c r="I153" s="44"/>
      <c r="J153" s="44"/>
      <c r="K153" s="44"/>
      <c r="L153" s="44"/>
      <c r="M153" s="44"/>
      <c r="N153" s="44"/>
      <c r="O153" s="44"/>
    </row>
    <row r="154" spans="1:15" ht="17.25" customHeight="1">
      <c r="A154" s="44"/>
      <c r="B154" s="44"/>
      <c r="C154" s="44"/>
      <c r="D154" s="44"/>
      <c r="E154" s="44"/>
      <c r="F154" s="44"/>
      <c r="G154" s="44"/>
      <c r="H154" s="44"/>
      <c r="I154" s="44"/>
      <c r="J154" s="44"/>
      <c r="K154" s="44"/>
      <c r="L154" s="44"/>
      <c r="M154" s="44"/>
      <c r="N154" s="44"/>
      <c r="O154" s="44"/>
    </row>
    <row r="155" spans="1:15" ht="17.25" customHeight="1">
      <c r="A155" s="44"/>
      <c r="B155" s="44"/>
      <c r="C155" s="44"/>
      <c r="D155" s="44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</row>
    <row r="156" spans="1:15" ht="17.25" customHeight="1">
      <c r="A156" s="44"/>
      <c r="B156" s="44"/>
      <c r="C156" s="44"/>
      <c r="D156" s="44"/>
      <c r="E156" s="44"/>
      <c r="F156" s="44"/>
      <c r="G156" s="44"/>
      <c r="H156" s="44"/>
      <c r="I156" s="44"/>
      <c r="J156" s="44"/>
      <c r="K156" s="44"/>
      <c r="L156" s="44"/>
      <c r="M156" s="44"/>
      <c r="N156" s="44"/>
      <c r="O156" s="44"/>
    </row>
    <row r="157" spans="1:15" ht="17.25" customHeight="1">
      <c r="A157" s="44"/>
      <c r="B157" s="44"/>
      <c r="C157" s="44"/>
      <c r="D157" s="44"/>
      <c r="E157" s="44"/>
      <c r="F157" s="44"/>
      <c r="G157" s="44"/>
      <c r="H157" s="44"/>
      <c r="I157" s="44"/>
      <c r="J157" s="44"/>
      <c r="K157" s="44"/>
      <c r="L157" s="44"/>
      <c r="M157" s="44"/>
      <c r="N157" s="44"/>
      <c r="O157" s="44"/>
    </row>
    <row r="158" spans="1:15" ht="17.25" customHeight="1">
      <c r="A158" s="44"/>
      <c r="B158" s="44"/>
      <c r="C158" s="44"/>
      <c r="D158" s="44"/>
      <c r="E158" s="44"/>
      <c r="F158" s="44"/>
      <c r="G158" s="44"/>
      <c r="H158" s="44"/>
      <c r="I158" s="44"/>
      <c r="J158" s="44"/>
      <c r="K158" s="44"/>
      <c r="L158" s="44"/>
      <c r="M158" s="44"/>
      <c r="N158" s="44"/>
      <c r="O158" s="44"/>
    </row>
    <row r="159" spans="1:15" ht="17.25" customHeight="1">
      <c r="A159" s="44"/>
      <c r="B159" s="44"/>
      <c r="C159" s="44"/>
      <c r="D159" s="44"/>
      <c r="E159" s="44"/>
      <c r="F159" s="44"/>
      <c r="G159" s="44"/>
      <c r="H159" s="44"/>
      <c r="I159" s="44"/>
      <c r="J159" s="44"/>
      <c r="K159" s="44"/>
      <c r="L159" s="44"/>
      <c r="M159" s="44"/>
      <c r="N159" s="44"/>
      <c r="O159" s="44"/>
    </row>
    <row r="160" spans="1:15" ht="17.25" customHeight="1">
      <c r="A160" s="44"/>
      <c r="B160" s="44"/>
      <c r="C160" s="44"/>
      <c r="D160" s="44"/>
      <c r="E160" s="44"/>
      <c r="F160" s="44"/>
      <c r="G160" s="44"/>
      <c r="H160" s="44"/>
      <c r="I160" s="44"/>
      <c r="J160" s="44"/>
      <c r="K160" s="44"/>
      <c r="L160" s="44"/>
      <c r="M160" s="44"/>
      <c r="N160" s="44"/>
      <c r="O160" s="44"/>
    </row>
    <row r="161" spans="1:15" ht="17.25" customHeight="1">
      <c r="A161" s="44"/>
      <c r="B161" s="44"/>
      <c r="C161" s="44"/>
      <c r="D161" s="44"/>
      <c r="E161" s="44"/>
      <c r="F161" s="44"/>
      <c r="G161" s="44"/>
      <c r="H161" s="44"/>
      <c r="I161" s="44"/>
      <c r="J161" s="44"/>
      <c r="K161" s="44"/>
      <c r="L161" s="44"/>
      <c r="M161" s="44"/>
      <c r="N161" s="44"/>
      <c r="O161" s="44"/>
    </row>
    <row r="162" spans="1:15" ht="17.25" customHeight="1">
      <c r="A162" s="44"/>
      <c r="B162" s="44"/>
      <c r="C162" s="44"/>
      <c r="D162" s="44"/>
      <c r="E162" s="44"/>
      <c r="F162" s="44"/>
      <c r="G162" s="44"/>
      <c r="H162" s="44"/>
      <c r="I162" s="44"/>
      <c r="J162" s="44"/>
      <c r="K162" s="44"/>
      <c r="L162" s="44"/>
      <c r="M162" s="44"/>
      <c r="N162" s="44"/>
      <c r="O162" s="44"/>
    </row>
    <row r="163" spans="1:15" ht="17.25" customHeight="1">
      <c r="A163" s="44"/>
      <c r="B163" s="44"/>
      <c r="C163" s="44"/>
      <c r="D163" s="44"/>
      <c r="E163" s="44"/>
      <c r="F163" s="44"/>
      <c r="G163" s="44"/>
      <c r="H163" s="44"/>
      <c r="I163" s="44"/>
      <c r="J163" s="44"/>
      <c r="K163" s="44"/>
      <c r="L163" s="44"/>
      <c r="M163" s="44"/>
      <c r="N163" s="44"/>
      <c r="O163" s="44"/>
    </row>
    <row r="164" spans="1:15" ht="17.25" customHeight="1">
      <c r="A164" s="44"/>
      <c r="B164" s="44"/>
      <c r="C164" s="44"/>
      <c r="D164" s="44"/>
      <c r="E164" s="44"/>
      <c r="F164" s="44"/>
      <c r="G164" s="44"/>
      <c r="H164" s="44"/>
      <c r="I164" s="44"/>
      <c r="J164" s="44"/>
      <c r="K164" s="44"/>
      <c r="L164" s="44"/>
      <c r="M164" s="44"/>
      <c r="N164" s="44"/>
      <c r="O164" s="44"/>
    </row>
    <row r="165" spans="1:15" ht="17.25" customHeight="1">
      <c r="A165" s="44"/>
      <c r="B165" s="44"/>
      <c r="C165" s="44"/>
      <c r="D165" s="44"/>
      <c r="E165" s="44"/>
      <c r="F165" s="44"/>
      <c r="G165" s="44"/>
      <c r="H165" s="44"/>
      <c r="I165" s="44"/>
      <c r="J165" s="44"/>
      <c r="K165" s="44"/>
      <c r="L165" s="44"/>
      <c r="M165" s="44"/>
      <c r="N165" s="44"/>
      <c r="O165" s="44"/>
    </row>
    <row r="166" spans="1:15" ht="17.25" customHeight="1">
      <c r="A166" s="44"/>
      <c r="B166" s="44"/>
      <c r="C166" s="44"/>
      <c r="D166" s="44"/>
      <c r="E166" s="44"/>
      <c r="F166" s="44"/>
      <c r="G166" s="44"/>
      <c r="H166" s="44"/>
      <c r="I166" s="44"/>
      <c r="J166" s="44"/>
      <c r="K166" s="44"/>
      <c r="L166" s="44"/>
      <c r="M166" s="44"/>
      <c r="N166" s="44"/>
      <c r="O166" s="44"/>
    </row>
    <row r="167" spans="1:15" ht="17.25" customHeight="1">
      <c r="A167" s="44"/>
      <c r="B167" s="44"/>
      <c r="C167" s="44"/>
      <c r="D167" s="44"/>
      <c r="E167" s="44"/>
      <c r="F167" s="44"/>
      <c r="G167" s="44"/>
      <c r="H167" s="44"/>
      <c r="I167" s="44"/>
      <c r="J167" s="44"/>
      <c r="K167" s="44"/>
      <c r="L167" s="44"/>
      <c r="M167" s="44"/>
      <c r="N167" s="44"/>
      <c r="O167" s="44"/>
    </row>
    <row r="168" spans="1:15" ht="17.25" customHeight="1">
      <c r="A168" s="44"/>
      <c r="B168" s="44"/>
      <c r="C168" s="44"/>
      <c r="D168" s="44"/>
      <c r="E168" s="44"/>
      <c r="F168" s="44"/>
      <c r="G168" s="44"/>
      <c r="H168" s="44"/>
      <c r="I168" s="44"/>
      <c r="J168" s="44"/>
      <c r="K168" s="44"/>
      <c r="L168" s="44"/>
      <c r="M168" s="44"/>
      <c r="N168" s="44"/>
      <c r="O168" s="44"/>
    </row>
    <row r="169" spans="1:15" ht="17.25" customHeight="1">
      <c r="A169" s="44"/>
      <c r="B169" s="44"/>
      <c r="C169" s="44"/>
      <c r="D169" s="44"/>
      <c r="E169" s="44"/>
      <c r="F169" s="44"/>
      <c r="G169" s="44"/>
      <c r="H169" s="44"/>
      <c r="I169" s="44"/>
      <c r="J169" s="44"/>
      <c r="K169" s="44"/>
      <c r="L169" s="44"/>
      <c r="M169" s="44"/>
      <c r="N169" s="44"/>
      <c r="O169" s="44"/>
    </row>
    <row r="170" spans="1:15" ht="17.25" customHeight="1">
      <c r="A170" s="44"/>
      <c r="B170" s="44"/>
      <c r="C170" s="44"/>
      <c r="D170" s="44"/>
      <c r="E170" s="44"/>
      <c r="F170" s="44"/>
      <c r="G170" s="44"/>
      <c r="H170" s="44"/>
      <c r="I170" s="44"/>
      <c r="J170" s="44"/>
      <c r="K170" s="44"/>
      <c r="L170" s="44"/>
      <c r="M170" s="44"/>
      <c r="N170" s="44"/>
      <c r="O170" s="44"/>
    </row>
    <row r="171" spans="1:15" ht="17.25" customHeight="1">
      <c r="A171" s="44"/>
      <c r="B171" s="44"/>
      <c r="C171" s="44"/>
      <c r="D171" s="44"/>
      <c r="E171" s="44"/>
      <c r="F171" s="44"/>
      <c r="G171" s="44"/>
      <c r="H171" s="44"/>
      <c r="I171" s="44"/>
      <c r="J171" s="44"/>
      <c r="K171" s="44"/>
      <c r="L171" s="44"/>
      <c r="M171" s="44"/>
      <c r="N171" s="44"/>
      <c r="O171" s="44"/>
    </row>
    <row r="172" spans="1:15" ht="17.25" customHeight="1">
      <c r="A172" s="44"/>
      <c r="B172" s="44"/>
      <c r="C172" s="44"/>
      <c r="D172" s="44"/>
      <c r="E172" s="44"/>
      <c r="F172" s="44"/>
      <c r="G172" s="44"/>
      <c r="H172" s="44"/>
      <c r="I172" s="44"/>
      <c r="J172" s="44"/>
      <c r="K172" s="44"/>
      <c r="L172" s="44"/>
      <c r="M172" s="44"/>
      <c r="N172" s="44"/>
      <c r="O172" s="44"/>
    </row>
    <row r="173" spans="1:15" ht="17.25" customHeight="1">
      <c r="A173" s="44"/>
      <c r="B173" s="44"/>
      <c r="C173" s="44"/>
      <c r="D173" s="44"/>
      <c r="E173" s="44"/>
      <c r="F173" s="44"/>
      <c r="G173" s="44"/>
      <c r="H173" s="44"/>
      <c r="I173" s="44"/>
      <c r="J173" s="44"/>
      <c r="K173" s="44"/>
      <c r="L173" s="44"/>
      <c r="M173" s="44"/>
      <c r="N173" s="44"/>
      <c r="O173" s="44"/>
    </row>
    <row r="174" spans="1:15" ht="17.25" customHeight="1">
      <c r="A174" s="44"/>
      <c r="B174" s="44"/>
      <c r="C174" s="44"/>
      <c r="D174" s="44"/>
      <c r="E174" s="44"/>
      <c r="F174" s="44"/>
      <c r="G174" s="44"/>
      <c r="H174" s="44"/>
      <c r="I174" s="44"/>
      <c r="J174" s="44"/>
      <c r="K174" s="44"/>
      <c r="L174" s="44"/>
      <c r="M174" s="44"/>
      <c r="N174" s="44"/>
      <c r="O174" s="44"/>
    </row>
    <row r="175" spans="1:15" ht="17.25" customHeight="1">
      <c r="A175" s="44"/>
      <c r="B175" s="44"/>
      <c r="C175" s="44"/>
      <c r="D175" s="44"/>
      <c r="E175" s="44"/>
      <c r="F175" s="44"/>
      <c r="G175" s="44"/>
      <c r="H175" s="44"/>
      <c r="I175" s="44"/>
      <c r="J175" s="44"/>
      <c r="K175" s="44"/>
      <c r="L175" s="44"/>
      <c r="M175" s="44"/>
      <c r="N175" s="44"/>
      <c r="O175" s="44"/>
    </row>
    <row r="176" spans="1:15" ht="17.25" customHeight="1">
      <c r="A176" s="44"/>
      <c r="B176" s="44"/>
      <c r="C176" s="44"/>
      <c r="D176" s="44"/>
      <c r="E176" s="44"/>
      <c r="F176" s="44"/>
      <c r="G176" s="44"/>
      <c r="H176" s="44"/>
      <c r="I176" s="44"/>
      <c r="J176" s="44"/>
      <c r="K176" s="44"/>
      <c r="L176" s="44"/>
      <c r="M176" s="44"/>
      <c r="N176" s="44"/>
      <c r="O176" s="44"/>
    </row>
    <row r="177" spans="1:15" ht="17.25" customHeight="1">
      <c r="A177" s="44"/>
      <c r="B177" s="44"/>
      <c r="C177" s="44"/>
      <c r="D177" s="44"/>
      <c r="E177" s="44"/>
      <c r="F177" s="44"/>
      <c r="G177" s="44"/>
      <c r="H177" s="44"/>
      <c r="I177" s="44"/>
      <c r="J177" s="44"/>
      <c r="K177" s="44"/>
      <c r="L177" s="44"/>
      <c r="M177" s="44"/>
      <c r="N177" s="44"/>
      <c r="O177" s="44"/>
    </row>
    <row r="178" spans="1:15" ht="17.25" customHeight="1">
      <c r="A178" s="44"/>
      <c r="B178" s="44"/>
      <c r="C178" s="44"/>
      <c r="D178" s="44"/>
      <c r="E178" s="44"/>
      <c r="F178" s="44"/>
      <c r="G178" s="44"/>
      <c r="H178" s="44"/>
      <c r="I178" s="44"/>
      <c r="J178" s="44"/>
      <c r="K178" s="44"/>
      <c r="L178" s="44"/>
      <c r="M178" s="44"/>
      <c r="N178" s="44"/>
      <c r="O178" s="44"/>
    </row>
    <row r="179" spans="1:15" ht="17.25" customHeight="1">
      <c r="A179" s="44"/>
      <c r="B179" s="44"/>
      <c r="C179" s="44"/>
      <c r="D179" s="44"/>
      <c r="E179" s="44"/>
      <c r="F179" s="44"/>
      <c r="G179" s="44"/>
      <c r="H179" s="44"/>
      <c r="I179" s="44"/>
      <c r="J179" s="44"/>
      <c r="K179" s="44"/>
      <c r="L179" s="44"/>
      <c r="M179" s="44"/>
      <c r="N179" s="44"/>
      <c r="O179" s="44"/>
    </row>
    <row r="180" spans="1:15" ht="17.25" customHeight="1">
      <c r="A180" s="44"/>
      <c r="B180" s="44"/>
      <c r="C180" s="44"/>
      <c r="D180" s="44"/>
      <c r="E180" s="44"/>
      <c r="F180" s="44"/>
      <c r="G180" s="44"/>
      <c r="H180" s="44"/>
      <c r="I180" s="44"/>
      <c r="J180" s="44"/>
      <c r="K180" s="44"/>
      <c r="L180" s="44"/>
      <c r="M180" s="44"/>
      <c r="N180" s="44"/>
      <c r="O180" s="44"/>
    </row>
    <row r="181" spans="1:15" ht="17.25" customHeight="1">
      <c r="A181" s="44"/>
      <c r="B181" s="44"/>
      <c r="C181" s="44"/>
      <c r="D181" s="44"/>
      <c r="E181" s="44"/>
      <c r="F181" s="44"/>
      <c r="G181" s="44"/>
      <c r="H181" s="44"/>
      <c r="I181" s="44"/>
      <c r="J181" s="44"/>
      <c r="K181" s="44"/>
      <c r="L181" s="44"/>
      <c r="M181" s="44"/>
      <c r="N181" s="44"/>
      <c r="O181" s="44"/>
    </row>
    <row r="182" spans="1:15" ht="17.25" customHeight="1">
      <c r="A182" s="44"/>
      <c r="B182" s="44"/>
      <c r="C182" s="44"/>
      <c r="D182" s="44"/>
      <c r="E182" s="44"/>
      <c r="F182" s="44"/>
      <c r="G182" s="44"/>
      <c r="H182" s="44"/>
      <c r="I182" s="44"/>
      <c r="J182" s="44"/>
      <c r="K182" s="44"/>
      <c r="L182" s="44"/>
      <c r="M182" s="44"/>
      <c r="N182" s="44"/>
      <c r="O182" s="44"/>
    </row>
    <row r="183" spans="1:15" ht="17.25" customHeight="1">
      <c r="A183" s="44"/>
      <c r="B183" s="44"/>
      <c r="C183" s="44"/>
      <c r="D183" s="44"/>
      <c r="E183" s="44"/>
      <c r="F183" s="44"/>
      <c r="G183" s="44"/>
      <c r="H183" s="44"/>
      <c r="I183" s="44"/>
      <c r="J183" s="44"/>
      <c r="K183" s="44"/>
      <c r="L183" s="44"/>
      <c r="M183" s="44"/>
      <c r="N183" s="44"/>
      <c r="O183" s="44"/>
    </row>
    <row r="184" spans="1:15" ht="17.25" customHeight="1">
      <c r="A184" s="44"/>
      <c r="B184" s="44"/>
      <c r="C184" s="44"/>
      <c r="D184" s="44"/>
      <c r="E184" s="44"/>
      <c r="F184" s="44"/>
      <c r="G184" s="44"/>
      <c r="H184" s="44"/>
      <c r="I184" s="44"/>
      <c r="J184" s="44"/>
      <c r="K184" s="44"/>
      <c r="L184" s="44"/>
      <c r="M184" s="44"/>
      <c r="N184" s="44"/>
      <c r="O184" s="44"/>
    </row>
    <row r="185" spans="1:15" ht="17.25" customHeight="1">
      <c r="A185" s="44"/>
      <c r="B185" s="44"/>
      <c r="C185" s="44"/>
      <c r="D185" s="44"/>
      <c r="E185" s="44"/>
      <c r="F185" s="44"/>
      <c r="G185" s="44"/>
      <c r="H185" s="44"/>
      <c r="I185" s="44"/>
      <c r="J185" s="44"/>
      <c r="K185" s="44"/>
      <c r="L185" s="44"/>
      <c r="M185" s="44"/>
      <c r="N185" s="44"/>
      <c r="O185" s="44"/>
    </row>
    <row r="186" spans="1:15" ht="17.25" customHeight="1">
      <c r="A186" s="44"/>
      <c r="B186" s="44"/>
      <c r="C186" s="44"/>
      <c r="D186" s="44"/>
      <c r="E186" s="44"/>
      <c r="F186" s="44"/>
      <c r="G186" s="44"/>
      <c r="H186" s="44"/>
      <c r="I186" s="44"/>
      <c r="J186" s="44"/>
      <c r="K186" s="44"/>
      <c r="L186" s="44"/>
      <c r="M186" s="44"/>
      <c r="N186" s="44"/>
      <c r="O186" s="44"/>
    </row>
    <row r="187" spans="1:15" ht="17.25" customHeight="1">
      <c r="A187" s="44"/>
      <c r="B187" s="44"/>
      <c r="C187" s="44"/>
      <c r="D187" s="44"/>
      <c r="E187" s="44"/>
      <c r="F187" s="44"/>
      <c r="G187" s="44"/>
      <c r="H187" s="44"/>
      <c r="I187" s="44"/>
      <c r="J187" s="44"/>
      <c r="K187" s="44"/>
      <c r="L187" s="44"/>
      <c r="M187" s="44"/>
      <c r="N187" s="44"/>
      <c r="O187" s="44"/>
    </row>
    <row r="188" spans="1:15" ht="17.25" customHeight="1">
      <c r="A188" s="44"/>
      <c r="B188" s="44"/>
      <c r="C188" s="44"/>
      <c r="D188" s="44"/>
      <c r="E188" s="44"/>
      <c r="F188" s="44"/>
      <c r="G188" s="44"/>
      <c r="H188" s="44"/>
      <c r="I188" s="44"/>
      <c r="J188" s="44"/>
      <c r="K188" s="44"/>
      <c r="L188" s="44"/>
      <c r="M188" s="44"/>
      <c r="N188" s="44"/>
      <c r="O188" s="44"/>
    </row>
    <row r="189" spans="1:15" ht="17.25" customHeight="1">
      <c r="A189" s="44"/>
      <c r="B189" s="44"/>
      <c r="C189" s="44"/>
      <c r="D189" s="44"/>
      <c r="E189" s="44"/>
      <c r="F189" s="44"/>
      <c r="G189" s="44"/>
      <c r="H189" s="44"/>
      <c r="I189" s="44"/>
      <c r="J189" s="44"/>
      <c r="K189" s="44"/>
      <c r="L189" s="44"/>
      <c r="M189" s="44"/>
      <c r="N189" s="44"/>
      <c r="O189" s="44"/>
    </row>
    <row r="190" spans="1:15" ht="17.25" customHeight="1">
      <c r="A190" s="44"/>
      <c r="B190" s="44"/>
      <c r="C190" s="44"/>
      <c r="D190" s="44"/>
      <c r="E190" s="44"/>
      <c r="F190" s="44"/>
      <c r="G190" s="44"/>
      <c r="H190" s="44"/>
      <c r="I190" s="44"/>
      <c r="J190" s="44"/>
      <c r="K190" s="44"/>
      <c r="L190" s="44"/>
      <c r="M190" s="44"/>
      <c r="N190" s="44"/>
      <c r="O190" s="44"/>
    </row>
    <row r="191" spans="1:15" ht="17.25" customHeight="1">
      <c r="A191" s="44"/>
      <c r="B191" s="44"/>
      <c r="C191" s="44"/>
      <c r="D191" s="44"/>
      <c r="E191" s="44"/>
      <c r="F191" s="44"/>
      <c r="G191" s="44"/>
      <c r="H191" s="44"/>
      <c r="I191" s="44"/>
      <c r="J191" s="44"/>
      <c r="K191" s="44"/>
      <c r="L191" s="44"/>
      <c r="M191" s="44"/>
      <c r="N191" s="44"/>
      <c r="O191" s="44"/>
    </row>
    <row r="192" spans="1:15" ht="17.25" customHeight="1">
      <c r="A192" s="44"/>
      <c r="B192" s="44"/>
      <c r="C192" s="44"/>
      <c r="D192" s="44"/>
      <c r="E192" s="44"/>
      <c r="F192" s="44"/>
      <c r="G192" s="44"/>
      <c r="H192" s="44"/>
      <c r="I192" s="44"/>
      <c r="J192" s="44"/>
      <c r="K192" s="44"/>
      <c r="L192" s="44"/>
      <c r="M192" s="44"/>
      <c r="N192" s="44"/>
      <c r="O192" s="44"/>
    </row>
    <row r="193" spans="1:15" ht="17.25" customHeight="1">
      <c r="A193" s="44"/>
      <c r="B193" s="44"/>
      <c r="C193" s="44"/>
      <c r="D193" s="44"/>
      <c r="E193" s="44"/>
      <c r="F193" s="44"/>
      <c r="G193" s="44"/>
      <c r="H193" s="44"/>
      <c r="I193" s="44"/>
      <c r="J193" s="44"/>
      <c r="K193" s="44"/>
      <c r="L193" s="44"/>
      <c r="M193" s="44"/>
      <c r="N193" s="44"/>
      <c r="O193" s="44"/>
    </row>
    <row r="194" spans="1:15" ht="17.25" customHeight="1">
      <c r="A194" s="44"/>
      <c r="B194" s="44"/>
      <c r="C194" s="44"/>
      <c r="D194" s="44"/>
      <c r="E194" s="44"/>
      <c r="F194" s="44"/>
      <c r="G194" s="44"/>
      <c r="H194" s="44"/>
      <c r="I194" s="44"/>
      <c r="J194" s="44"/>
      <c r="K194" s="44"/>
      <c r="L194" s="44"/>
      <c r="M194" s="44"/>
      <c r="N194" s="44"/>
      <c r="O194" s="44"/>
    </row>
    <row r="195" spans="1:15" ht="17.25" customHeight="1">
      <c r="A195" s="44"/>
      <c r="B195" s="44"/>
      <c r="C195" s="44"/>
      <c r="D195" s="44"/>
      <c r="E195" s="44"/>
      <c r="F195" s="44"/>
      <c r="G195" s="44"/>
      <c r="H195" s="44"/>
      <c r="I195" s="44"/>
      <c r="J195" s="44"/>
      <c r="K195" s="44"/>
      <c r="L195" s="44"/>
      <c r="M195" s="44"/>
      <c r="N195" s="44"/>
      <c r="O195" s="44"/>
    </row>
    <row r="196" spans="1:15" ht="17.25" customHeight="1">
      <c r="A196" s="44"/>
      <c r="B196" s="44"/>
      <c r="C196" s="44"/>
      <c r="D196" s="44"/>
      <c r="E196" s="44"/>
      <c r="F196" s="44"/>
      <c r="G196" s="44"/>
      <c r="H196" s="44"/>
      <c r="I196" s="44"/>
      <c r="J196" s="44"/>
      <c r="K196" s="44"/>
      <c r="L196" s="44"/>
      <c r="M196" s="44"/>
      <c r="N196" s="44"/>
      <c r="O196" s="44"/>
    </row>
    <row r="197" spans="1:15" ht="17.25" customHeight="1">
      <c r="A197" s="44"/>
      <c r="B197" s="44"/>
      <c r="C197" s="44"/>
      <c r="D197" s="44"/>
      <c r="E197" s="44"/>
      <c r="F197" s="44"/>
      <c r="G197" s="44"/>
      <c r="H197" s="44"/>
      <c r="I197" s="44"/>
      <c r="J197" s="44"/>
      <c r="K197" s="44"/>
      <c r="L197" s="44"/>
      <c r="M197" s="44"/>
      <c r="N197" s="44"/>
      <c r="O197" s="44"/>
    </row>
    <row r="198" spans="1:15" ht="17.25" customHeight="1">
      <c r="A198" s="44"/>
      <c r="B198" s="44"/>
      <c r="C198" s="44"/>
      <c r="D198" s="44"/>
      <c r="E198" s="44"/>
      <c r="F198" s="44"/>
      <c r="G198" s="44"/>
      <c r="H198" s="44"/>
      <c r="I198" s="44"/>
      <c r="J198" s="44"/>
      <c r="K198" s="44"/>
      <c r="L198" s="44"/>
      <c r="M198" s="44"/>
      <c r="N198" s="44"/>
      <c r="O198" s="44"/>
    </row>
    <row r="199" spans="1:15" ht="17.25" customHeight="1">
      <c r="A199" s="44"/>
      <c r="B199" s="44"/>
      <c r="C199" s="44"/>
      <c r="D199" s="44"/>
      <c r="E199" s="44"/>
      <c r="F199" s="44"/>
      <c r="G199" s="44"/>
      <c r="H199" s="44"/>
      <c r="I199" s="44"/>
      <c r="J199" s="44"/>
      <c r="K199" s="44"/>
      <c r="L199" s="44"/>
      <c r="M199" s="44"/>
      <c r="N199" s="44"/>
      <c r="O199" s="44"/>
    </row>
    <row r="200" spans="1:15" ht="17.25" customHeight="1">
      <c r="A200" s="44"/>
      <c r="B200" s="44"/>
      <c r="C200" s="44"/>
      <c r="D200" s="44"/>
      <c r="E200" s="44"/>
      <c r="F200" s="44"/>
      <c r="G200" s="44"/>
      <c r="H200" s="44"/>
      <c r="I200" s="44"/>
      <c r="J200" s="44"/>
      <c r="K200" s="44"/>
      <c r="L200" s="44"/>
      <c r="M200" s="44"/>
      <c r="N200" s="44"/>
      <c r="O200" s="44"/>
    </row>
    <row r="201" spans="1:15" ht="17.25" customHeight="1">
      <c r="A201" s="44"/>
      <c r="B201" s="44"/>
      <c r="C201" s="44"/>
      <c r="D201" s="44"/>
      <c r="E201" s="44"/>
      <c r="F201" s="44"/>
      <c r="G201" s="44"/>
      <c r="H201" s="44"/>
      <c r="I201" s="44"/>
      <c r="J201" s="44"/>
      <c r="K201" s="44"/>
      <c r="L201" s="44"/>
      <c r="M201" s="44"/>
      <c r="N201" s="44"/>
      <c r="O201" s="44"/>
    </row>
    <row r="202" spans="1:15" ht="17.25" customHeight="1">
      <c r="A202" s="44"/>
      <c r="B202" s="44"/>
      <c r="C202" s="44"/>
      <c r="D202" s="44"/>
      <c r="E202" s="44"/>
      <c r="F202" s="44"/>
      <c r="G202" s="44"/>
      <c r="H202" s="44"/>
      <c r="I202" s="44"/>
      <c r="J202" s="44"/>
      <c r="K202" s="44"/>
      <c r="L202" s="44"/>
      <c r="M202" s="44"/>
      <c r="N202" s="44"/>
      <c r="O202" s="44"/>
    </row>
    <row r="203" spans="1:15" ht="17.25" customHeight="1">
      <c r="A203" s="44"/>
      <c r="B203" s="44"/>
      <c r="C203" s="44"/>
      <c r="D203" s="44"/>
      <c r="E203" s="44"/>
      <c r="F203" s="44"/>
      <c r="G203" s="44"/>
      <c r="H203" s="44"/>
      <c r="I203" s="44"/>
      <c r="J203" s="44"/>
      <c r="K203" s="44"/>
      <c r="L203" s="44"/>
      <c r="M203" s="44"/>
      <c r="N203" s="44"/>
      <c r="O203" s="44"/>
    </row>
    <row r="204" spans="1:15" ht="17.25" customHeight="1">
      <c r="A204" s="44"/>
      <c r="B204" s="44"/>
      <c r="C204" s="44"/>
      <c r="D204" s="44"/>
      <c r="E204" s="44"/>
      <c r="F204" s="44"/>
      <c r="G204" s="44"/>
      <c r="H204" s="44"/>
      <c r="I204" s="44"/>
      <c r="J204" s="44"/>
      <c r="K204" s="44"/>
      <c r="L204" s="44"/>
      <c r="M204" s="44"/>
      <c r="N204" s="44"/>
      <c r="O204" s="44"/>
    </row>
    <row r="205" spans="1:15" ht="17.25" customHeight="1">
      <c r="A205" s="44"/>
      <c r="B205" s="44"/>
      <c r="C205" s="44"/>
      <c r="D205" s="44"/>
      <c r="E205" s="44"/>
      <c r="F205" s="44"/>
      <c r="G205" s="44"/>
      <c r="H205" s="44"/>
      <c r="I205" s="44"/>
      <c r="J205" s="44"/>
      <c r="K205" s="44"/>
      <c r="L205" s="44"/>
      <c r="M205" s="44"/>
      <c r="N205" s="44"/>
      <c r="O205" s="44"/>
    </row>
    <row r="206" spans="1:15" ht="17.25" customHeight="1">
      <c r="A206" s="44"/>
      <c r="B206" s="44"/>
      <c r="C206" s="44"/>
      <c r="D206" s="44"/>
      <c r="E206" s="44"/>
      <c r="F206" s="44"/>
      <c r="G206" s="44"/>
      <c r="H206" s="44"/>
      <c r="I206" s="44"/>
      <c r="J206" s="44"/>
      <c r="K206" s="44"/>
      <c r="L206" s="44"/>
      <c r="M206" s="44"/>
      <c r="N206" s="44"/>
      <c r="O206" s="44"/>
    </row>
    <row r="207" spans="1:15" ht="17.25" customHeight="1">
      <c r="A207" s="44"/>
      <c r="B207" s="44"/>
      <c r="C207" s="44"/>
      <c r="D207" s="44"/>
      <c r="E207" s="44"/>
      <c r="F207" s="44"/>
      <c r="G207" s="44"/>
      <c r="H207" s="44"/>
      <c r="I207" s="44"/>
      <c r="J207" s="44"/>
      <c r="K207" s="44"/>
      <c r="L207" s="44"/>
      <c r="M207" s="44"/>
      <c r="N207" s="44"/>
      <c r="O207" s="44"/>
    </row>
    <row r="208" spans="1:15" ht="17.25" customHeight="1">
      <c r="A208" s="44"/>
      <c r="B208" s="44"/>
      <c r="C208" s="44"/>
      <c r="D208" s="44"/>
      <c r="E208" s="44"/>
      <c r="F208" s="44"/>
      <c r="G208" s="44"/>
      <c r="H208" s="44"/>
      <c r="I208" s="44"/>
      <c r="J208" s="44"/>
      <c r="K208" s="44"/>
      <c r="L208" s="44"/>
      <c r="M208" s="44"/>
      <c r="N208" s="44"/>
      <c r="O208" s="44"/>
    </row>
    <row r="209" spans="1:15" ht="17.25" customHeight="1">
      <c r="A209" s="44"/>
      <c r="B209" s="44"/>
      <c r="C209" s="44"/>
      <c r="D209" s="44"/>
      <c r="E209" s="44"/>
      <c r="F209" s="44"/>
      <c r="G209" s="44"/>
      <c r="H209" s="44"/>
      <c r="I209" s="44"/>
      <c r="J209" s="44"/>
      <c r="K209" s="44"/>
      <c r="L209" s="44"/>
      <c r="M209" s="44"/>
      <c r="N209" s="44"/>
      <c r="O209" s="44"/>
    </row>
    <row r="210" spans="1:15" ht="17.25" customHeight="1">
      <c r="A210" s="44"/>
      <c r="B210" s="44"/>
      <c r="C210" s="44"/>
      <c r="D210" s="44"/>
      <c r="E210" s="44"/>
      <c r="F210" s="44"/>
      <c r="G210" s="44"/>
      <c r="H210" s="44"/>
      <c r="I210" s="44"/>
      <c r="J210" s="44"/>
      <c r="K210" s="44"/>
      <c r="L210" s="44"/>
      <c r="M210" s="44"/>
      <c r="N210" s="44"/>
      <c r="O210" s="44"/>
    </row>
    <row r="211" spans="1:15" ht="17.25" customHeight="1">
      <c r="A211" s="44"/>
      <c r="B211" s="44"/>
      <c r="C211" s="44"/>
      <c r="D211" s="44"/>
      <c r="E211" s="44"/>
      <c r="F211" s="44"/>
      <c r="G211" s="44"/>
      <c r="H211" s="44"/>
      <c r="I211" s="44"/>
      <c r="J211" s="44"/>
      <c r="K211" s="44"/>
      <c r="L211" s="44"/>
      <c r="M211" s="44"/>
      <c r="N211" s="44"/>
      <c r="O211" s="44"/>
    </row>
    <row r="212" spans="1:15" ht="17.25" customHeight="1">
      <c r="A212" s="44"/>
      <c r="B212" s="44"/>
      <c r="C212" s="44"/>
      <c r="D212" s="44"/>
      <c r="E212" s="44"/>
      <c r="F212" s="44"/>
      <c r="G212" s="44"/>
      <c r="H212" s="44"/>
      <c r="I212" s="44"/>
      <c r="J212" s="44"/>
      <c r="K212" s="44"/>
      <c r="L212" s="44"/>
      <c r="M212" s="44"/>
      <c r="N212" s="44"/>
      <c r="O212" s="44"/>
    </row>
    <row r="213" spans="1:15" ht="17.25" customHeight="1">
      <c r="A213" s="44"/>
      <c r="B213" s="44"/>
      <c r="C213" s="44"/>
      <c r="D213" s="44"/>
      <c r="E213" s="44"/>
      <c r="F213" s="44"/>
      <c r="G213" s="44"/>
      <c r="H213" s="44"/>
      <c r="I213" s="44"/>
      <c r="J213" s="44"/>
      <c r="K213" s="44"/>
      <c r="L213" s="44"/>
      <c r="M213" s="44"/>
      <c r="N213" s="44"/>
      <c r="O213" s="44"/>
    </row>
    <row r="214" spans="1:15" ht="17.25" customHeight="1">
      <c r="A214" s="44"/>
      <c r="B214" s="44"/>
      <c r="C214" s="44"/>
      <c r="D214" s="44"/>
      <c r="E214" s="44"/>
      <c r="F214" s="44"/>
      <c r="G214" s="44"/>
      <c r="H214" s="44"/>
      <c r="I214" s="44"/>
      <c r="J214" s="44"/>
      <c r="K214" s="44"/>
      <c r="L214" s="44"/>
      <c r="M214" s="44"/>
      <c r="N214" s="44"/>
      <c r="O214" s="44"/>
    </row>
    <row r="215" spans="1:15" ht="17.25" customHeight="1">
      <c r="A215" s="44"/>
      <c r="B215" s="44"/>
      <c r="C215" s="44"/>
      <c r="D215" s="44"/>
      <c r="E215" s="44"/>
      <c r="F215" s="44"/>
      <c r="G215" s="44"/>
      <c r="H215" s="44"/>
      <c r="I215" s="44"/>
      <c r="J215" s="44"/>
      <c r="K215" s="44"/>
      <c r="L215" s="44"/>
      <c r="M215" s="44"/>
      <c r="N215" s="44"/>
      <c r="O215" s="44"/>
    </row>
    <row r="216" spans="1:15" ht="17.25" customHeight="1">
      <c r="A216" s="44"/>
      <c r="B216" s="44"/>
      <c r="C216" s="44"/>
      <c r="D216" s="44"/>
      <c r="E216" s="44"/>
      <c r="F216" s="44"/>
      <c r="G216" s="44"/>
      <c r="H216" s="44"/>
      <c r="I216" s="44"/>
      <c r="J216" s="44"/>
      <c r="K216" s="44"/>
      <c r="L216" s="44"/>
      <c r="M216" s="44"/>
      <c r="N216" s="44"/>
      <c r="O216" s="44"/>
    </row>
    <row r="217" spans="1:15" ht="17.25" customHeight="1">
      <c r="A217" s="44"/>
      <c r="B217" s="44"/>
      <c r="C217" s="44"/>
      <c r="D217" s="44"/>
      <c r="E217" s="44"/>
      <c r="F217" s="44"/>
      <c r="G217" s="44"/>
      <c r="H217" s="44"/>
      <c r="I217" s="44"/>
      <c r="J217" s="44"/>
      <c r="K217" s="44"/>
      <c r="L217" s="44"/>
      <c r="M217" s="44"/>
      <c r="N217" s="44"/>
      <c r="O217" s="44"/>
    </row>
    <row r="218" spans="1:15" ht="17.25" customHeight="1">
      <c r="A218" s="44"/>
      <c r="B218" s="44"/>
      <c r="C218" s="44"/>
      <c r="D218" s="44"/>
      <c r="E218" s="44"/>
      <c r="F218" s="44"/>
      <c r="G218" s="44"/>
      <c r="H218" s="44"/>
      <c r="I218" s="44"/>
      <c r="J218" s="44"/>
      <c r="K218" s="44"/>
      <c r="L218" s="44"/>
      <c r="M218" s="44"/>
      <c r="N218" s="44"/>
      <c r="O218" s="44"/>
    </row>
    <row r="219" spans="1:15" ht="17.25" customHeight="1">
      <c r="A219" s="44"/>
      <c r="B219" s="44"/>
      <c r="C219" s="44"/>
      <c r="D219" s="44"/>
      <c r="E219" s="44"/>
      <c r="F219" s="44"/>
      <c r="G219" s="44"/>
      <c r="H219" s="44"/>
      <c r="I219" s="44"/>
      <c r="J219" s="44"/>
      <c r="K219" s="44"/>
      <c r="L219" s="44"/>
      <c r="M219" s="44"/>
      <c r="N219" s="44"/>
      <c r="O219" s="44"/>
    </row>
    <row r="220" spans="1:15" ht="17.25" customHeight="1">
      <c r="A220" s="44"/>
      <c r="B220" s="44"/>
      <c r="C220" s="44"/>
      <c r="D220" s="44"/>
      <c r="E220" s="44"/>
      <c r="F220" s="44"/>
      <c r="G220" s="44"/>
      <c r="H220" s="44"/>
      <c r="I220" s="44"/>
      <c r="J220" s="44"/>
      <c r="K220" s="44"/>
      <c r="L220" s="44"/>
      <c r="M220" s="44"/>
      <c r="N220" s="44"/>
      <c r="O220" s="44"/>
    </row>
    <row r="221" spans="1:15" ht="17.25" customHeight="1">
      <c r="A221" s="44"/>
      <c r="B221" s="44"/>
      <c r="C221" s="44"/>
      <c r="D221" s="44"/>
      <c r="E221" s="44"/>
      <c r="F221" s="44"/>
      <c r="G221" s="44"/>
      <c r="H221" s="44"/>
      <c r="I221" s="44"/>
      <c r="J221" s="44"/>
      <c r="K221" s="44"/>
      <c r="L221" s="44"/>
      <c r="M221" s="44"/>
      <c r="N221" s="44"/>
      <c r="O221" s="44"/>
    </row>
    <row r="222" spans="1:15" ht="17.25" customHeight="1">
      <c r="A222" s="44"/>
      <c r="B222" s="44"/>
      <c r="C222" s="44"/>
      <c r="D222" s="44"/>
      <c r="E222" s="44"/>
      <c r="F222" s="44"/>
      <c r="G222" s="44"/>
      <c r="H222" s="44"/>
      <c r="I222" s="44"/>
      <c r="J222" s="44"/>
      <c r="K222" s="44"/>
      <c r="L222" s="44"/>
      <c r="M222" s="44"/>
      <c r="N222" s="44"/>
      <c r="O222" s="44"/>
    </row>
    <row r="223" spans="1:15" ht="17.25" customHeight="1">
      <c r="A223" s="44"/>
      <c r="B223" s="44"/>
      <c r="C223" s="44"/>
      <c r="D223" s="44"/>
      <c r="E223" s="44"/>
      <c r="F223" s="44"/>
      <c r="G223" s="44"/>
      <c r="H223" s="44"/>
      <c r="I223" s="44"/>
      <c r="J223" s="44"/>
      <c r="K223" s="44"/>
      <c r="L223" s="44"/>
      <c r="M223" s="44"/>
      <c r="N223" s="44"/>
      <c r="O223" s="44"/>
    </row>
    <row r="224" spans="1:15" ht="17.25" customHeight="1">
      <c r="A224" s="44"/>
      <c r="B224" s="44"/>
      <c r="C224" s="44"/>
      <c r="D224" s="44"/>
      <c r="E224" s="44"/>
      <c r="F224" s="44"/>
      <c r="G224" s="44"/>
      <c r="H224" s="44"/>
      <c r="I224" s="44"/>
      <c r="J224" s="44"/>
      <c r="K224" s="44"/>
      <c r="L224" s="44"/>
      <c r="M224" s="44"/>
      <c r="N224" s="44"/>
      <c r="O224" s="44"/>
    </row>
    <row r="225" spans="1:15" ht="17.25" customHeight="1">
      <c r="A225" s="44"/>
      <c r="B225" s="44"/>
      <c r="C225" s="44"/>
      <c r="D225" s="44"/>
      <c r="E225" s="44"/>
      <c r="F225" s="44"/>
      <c r="G225" s="44"/>
      <c r="H225" s="44"/>
      <c r="I225" s="44"/>
      <c r="J225" s="44"/>
      <c r="K225" s="44"/>
      <c r="L225" s="44"/>
      <c r="M225" s="44"/>
      <c r="N225" s="44"/>
      <c r="O225" s="44"/>
    </row>
    <row r="226" spans="1:15" ht="17.25" customHeight="1">
      <c r="A226" s="44"/>
      <c r="B226" s="44"/>
      <c r="C226" s="44"/>
      <c r="D226" s="44"/>
      <c r="E226" s="44"/>
      <c r="F226" s="44"/>
      <c r="G226" s="44"/>
      <c r="H226" s="44"/>
      <c r="I226" s="44"/>
      <c r="J226" s="44"/>
      <c r="K226" s="44"/>
      <c r="L226" s="44"/>
      <c r="M226" s="44"/>
      <c r="N226" s="44"/>
      <c r="O226" s="44"/>
    </row>
    <row r="227" spans="1:15" ht="17.25" customHeight="1">
      <c r="A227" s="44"/>
      <c r="B227" s="44"/>
      <c r="C227" s="44"/>
      <c r="D227" s="44"/>
      <c r="E227" s="44"/>
      <c r="F227" s="44"/>
      <c r="G227" s="44"/>
      <c r="H227" s="44"/>
      <c r="I227" s="44"/>
      <c r="J227" s="44"/>
      <c r="K227" s="44"/>
      <c r="L227" s="44"/>
      <c r="M227" s="44"/>
      <c r="N227" s="44"/>
      <c r="O227" s="44"/>
    </row>
    <row r="228" spans="1:15" ht="17.25" customHeight="1">
      <c r="A228" s="44"/>
      <c r="B228" s="44"/>
      <c r="C228" s="44"/>
      <c r="D228" s="44"/>
      <c r="E228" s="44"/>
      <c r="F228" s="44"/>
      <c r="G228" s="44"/>
      <c r="H228" s="44"/>
      <c r="I228" s="44"/>
      <c r="J228" s="44"/>
      <c r="K228" s="44"/>
      <c r="L228" s="44"/>
      <c r="M228" s="44"/>
      <c r="N228" s="44"/>
      <c r="O228" s="44"/>
    </row>
    <row r="229" spans="1:15" ht="17.25" customHeight="1">
      <c r="A229" s="44"/>
      <c r="B229" s="44"/>
      <c r="C229" s="44"/>
      <c r="D229" s="44"/>
      <c r="E229" s="44"/>
      <c r="F229" s="44"/>
      <c r="G229" s="44"/>
      <c r="H229" s="44"/>
      <c r="I229" s="44"/>
      <c r="J229" s="44"/>
      <c r="K229" s="44"/>
      <c r="L229" s="44"/>
      <c r="M229" s="44"/>
      <c r="N229" s="44"/>
      <c r="O229" s="44"/>
    </row>
    <row r="230" spans="1:15" ht="17.25" customHeight="1">
      <c r="A230" s="44"/>
      <c r="B230" s="44"/>
      <c r="C230" s="44"/>
      <c r="D230" s="44"/>
      <c r="E230" s="44"/>
      <c r="F230" s="44"/>
      <c r="G230" s="44"/>
      <c r="H230" s="44"/>
      <c r="I230" s="44"/>
      <c r="J230" s="44"/>
      <c r="K230" s="44"/>
      <c r="L230" s="44"/>
      <c r="M230" s="44"/>
      <c r="N230" s="44"/>
      <c r="O230" s="44"/>
    </row>
    <row r="231" spans="1:15" ht="17.25" customHeight="1">
      <c r="A231" s="44"/>
      <c r="B231" s="44"/>
      <c r="C231" s="44"/>
      <c r="D231" s="44"/>
      <c r="E231" s="44"/>
      <c r="F231" s="44"/>
      <c r="G231" s="44"/>
      <c r="H231" s="44"/>
      <c r="I231" s="44"/>
      <c r="J231" s="44"/>
      <c r="K231" s="44"/>
      <c r="L231" s="44"/>
      <c r="M231" s="44"/>
      <c r="N231" s="44"/>
      <c r="O231" s="44"/>
    </row>
    <row r="232" spans="1:15" ht="17.25" customHeight="1">
      <c r="A232" s="44"/>
      <c r="B232" s="44"/>
      <c r="C232" s="44"/>
      <c r="D232" s="44"/>
      <c r="E232" s="44"/>
      <c r="F232" s="44"/>
      <c r="G232" s="44"/>
      <c r="H232" s="44"/>
      <c r="I232" s="44"/>
      <c r="J232" s="44"/>
      <c r="K232" s="44"/>
      <c r="L232" s="44"/>
      <c r="M232" s="44"/>
      <c r="N232" s="44"/>
      <c r="O232" s="44"/>
    </row>
    <row r="233" spans="1:15" ht="17.25" customHeight="1">
      <c r="A233" s="44"/>
      <c r="B233" s="44"/>
      <c r="C233" s="44"/>
      <c r="D233" s="44"/>
      <c r="E233" s="44"/>
      <c r="F233" s="44"/>
      <c r="G233" s="44"/>
      <c r="H233" s="44"/>
      <c r="I233" s="44"/>
      <c r="J233" s="44"/>
      <c r="K233" s="44"/>
      <c r="L233" s="44"/>
      <c r="M233" s="44"/>
      <c r="N233" s="44"/>
      <c r="O233" s="44"/>
    </row>
    <row r="234" spans="1:15" ht="17.25" customHeight="1">
      <c r="A234" s="44"/>
      <c r="B234" s="44"/>
      <c r="C234" s="44"/>
      <c r="D234" s="44"/>
      <c r="E234" s="44"/>
      <c r="F234" s="44"/>
      <c r="G234" s="44"/>
      <c r="H234" s="44"/>
      <c r="I234" s="44"/>
      <c r="J234" s="44"/>
      <c r="K234" s="44"/>
      <c r="L234" s="44"/>
      <c r="M234" s="44"/>
      <c r="N234" s="44"/>
      <c r="O234" s="44"/>
    </row>
    <row r="235" spans="1:15" ht="17.25" customHeight="1">
      <c r="A235" s="44"/>
      <c r="B235" s="44"/>
      <c r="C235" s="44"/>
      <c r="D235" s="44"/>
      <c r="E235" s="44"/>
      <c r="F235" s="44"/>
      <c r="G235" s="44"/>
      <c r="H235" s="44"/>
      <c r="I235" s="44"/>
      <c r="J235" s="44"/>
      <c r="K235" s="44"/>
      <c r="L235" s="44"/>
      <c r="M235" s="44"/>
      <c r="N235" s="44"/>
      <c r="O235" s="44"/>
    </row>
    <row r="236" spans="1:15" ht="17.25" customHeight="1">
      <c r="A236" s="44"/>
      <c r="B236" s="44"/>
      <c r="C236" s="44"/>
      <c r="D236" s="44"/>
      <c r="E236" s="44"/>
      <c r="F236" s="44"/>
      <c r="G236" s="44"/>
      <c r="H236" s="44"/>
      <c r="I236" s="44"/>
      <c r="J236" s="44"/>
      <c r="K236" s="44"/>
      <c r="L236" s="44"/>
      <c r="M236" s="44"/>
      <c r="N236" s="44"/>
      <c r="O236" s="44"/>
    </row>
    <row r="237" spans="1:15" ht="17.25" customHeight="1">
      <c r="A237" s="44"/>
      <c r="B237" s="44"/>
      <c r="C237" s="44"/>
      <c r="D237" s="44"/>
      <c r="E237" s="44"/>
      <c r="F237" s="44"/>
      <c r="G237" s="44"/>
      <c r="H237" s="44"/>
      <c r="I237" s="44"/>
      <c r="J237" s="44"/>
      <c r="K237" s="44"/>
      <c r="L237" s="44"/>
      <c r="M237" s="44"/>
      <c r="N237" s="44"/>
      <c r="O237" s="44"/>
    </row>
    <row r="238" spans="1:15" ht="17.25" customHeight="1">
      <c r="A238" s="44"/>
      <c r="B238" s="44"/>
      <c r="C238" s="44"/>
      <c r="D238" s="44"/>
      <c r="E238" s="44"/>
      <c r="F238" s="44"/>
      <c r="G238" s="44"/>
      <c r="H238" s="44"/>
      <c r="I238" s="44"/>
      <c r="J238" s="44"/>
      <c r="K238" s="44"/>
      <c r="L238" s="44"/>
      <c r="M238" s="44"/>
      <c r="N238" s="44"/>
      <c r="O238" s="44"/>
    </row>
    <row r="239" spans="1:15" ht="17.25" customHeight="1">
      <c r="A239" s="44"/>
      <c r="B239" s="44"/>
      <c r="C239" s="44"/>
      <c r="D239" s="44"/>
      <c r="E239" s="44"/>
      <c r="F239" s="44"/>
      <c r="G239" s="44"/>
      <c r="H239" s="44"/>
      <c r="I239" s="44"/>
      <c r="J239" s="44"/>
      <c r="K239" s="44"/>
      <c r="L239" s="44"/>
      <c r="M239" s="44"/>
      <c r="N239" s="44"/>
      <c r="O239" s="44"/>
    </row>
    <row r="240" spans="1:15" ht="17.25" customHeight="1">
      <c r="A240" s="44"/>
      <c r="B240" s="44"/>
      <c r="C240" s="44"/>
      <c r="D240" s="44"/>
      <c r="E240" s="44"/>
      <c r="F240" s="44"/>
      <c r="G240" s="44"/>
      <c r="H240" s="44"/>
      <c r="I240" s="44"/>
      <c r="J240" s="44"/>
      <c r="K240" s="44"/>
      <c r="L240" s="44"/>
      <c r="M240" s="44"/>
      <c r="N240" s="44"/>
      <c r="O240" s="44"/>
    </row>
    <row r="241" spans="1:15" ht="17.25" customHeight="1">
      <c r="A241" s="44"/>
      <c r="B241" s="44"/>
      <c r="C241" s="44"/>
      <c r="D241" s="44"/>
      <c r="E241" s="44"/>
      <c r="F241" s="44"/>
      <c r="G241" s="44"/>
      <c r="H241" s="44"/>
      <c r="I241" s="44"/>
      <c r="J241" s="44"/>
      <c r="K241" s="44"/>
      <c r="L241" s="44"/>
      <c r="M241" s="44"/>
      <c r="N241" s="44"/>
      <c r="O241" s="44"/>
    </row>
    <row r="242" spans="1:15" ht="17.25" customHeight="1">
      <c r="A242" s="44"/>
      <c r="B242" s="44"/>
      <c r="C242" s="44"/>
      <c r="D242" s="44"/>
      <c r="E242" s="44"/>
      <c r="F242" s="44"/>
      <c r="G242" s="44"/>
      <c r="H242" s="44"/>
      <c r="I242" s="44"/>
      <c r="J242" s="44"/>
      <c r="K242" s="44"/>
      <c r="L242" s="44"/>
      <c r="M242" s="44"/>
      <c r="N242" s="44"/>
      <c r="O242" s="44"/>
    </row>
    <row r="243" spans="1:15" ht="17.25" customHeight="1">
      <c r="A243" s="44"/>
      <c r="B243" s="44"/>
      <c r="C243" s="44"/>
      <c r="D243" s="44"/>
      <c r="E243" s="44"/>
      <c r="F243" s="44"/>
      <c r="G243" s="44"/>
      <c r="H243" s="44"/>
      <c r="I243" s="44"/>
      <c r="J243" s="44"/>
      <c r="K243" s="44"/>
      <c r="L243" s="44"/>
      <c r="M243" s="44"/>
      <c r="N243" s="44"/>
      <c r="O243" s="44"/>
    </row>
    <row r="244" spans="1:15" ht="17.25" customHeight="1">
      <c r="A244" s="44"/>
      <c r="B244" s="44"/>
      <c r="C244" s="44"/>
      <c r="D244" s="44"/>
      <c r="E244" s="44"/>
      <c r="F244" s="44"/>
      <c r="G244" s="44"/>
      <c r="H244" s="44"/>
      <c r="I244" s="44"/>
      <c r="J244" s="44"/>
      <c r="K244" s="44"/>
      <c r="L244" s="44"/>
      <c r="M244" s="44"/>
      <c r="N244" s="44"/>
      <c r="O244" s="44"/>
    </row>
    <row r="245" spans="1:15" ht="17.25" customHeight="1">
      <c r="A245" s="44"/>
      <c r="B245" s="44"/>
      <c r="C245" s="44"/>
      <c r="D245" s="44"/>
      <c r="E245" s="44"/>
      <c r="F245" s="44"/>
      <c r="G245" s="44"/>
      <c r="H245" s="44"/>
      <c r="I245" s="44"/>
      <c r="J245" s="44"/>
      <c r="K245" s="44"/>
      <c r="L245" s="44"/>
      <c r="M245" s="44"/>
      <c r="N245" s="44"/>
      <c r="O245" s="44"/>
    </row>
    <row r="246" spans="1:15" ht="17.25" customHeight="1">
      <c r="A246" s="44"/>
      <c r="B246" s="44"/>
      <c r="C246" s="44"/>
      <c r="D246" s="44"/>
      <c r="E246" s="44"/>
      <c r="F246" s="44"/>
      <c r="G246" s="44"/>
      <c r="H246" s="44"/>
      <c r="I246" s="44"/>
      <c r="J246" s="44"/>
      <c r="K246" s="44"/>
      <c r="L246" s="44"/>
      <c r="M246" s="44"/>
      <c r="N246" s="44"/>
      <c r="O246" s="44"/>
    </row>
    <row r="247" spans="1:15" ht="17.25" customHeight="1">
      <c r="A247" s="44"/>
      <c r="B247" s="44"/>
      <c r="C247" s="44"/>
      <c r="D247" s="44"/>
      <c r="E247" s="44"/>
      <c r="F247" s="44"/>
      <c r="G247" s="44"/>
      <c r="H247" s="44"/>
      <c r="I247" s="44"/>
      <c r="J247" s="44"/>
      <c r="K247" s="44"/>
      <c r="L247" s="44"/>
      <c r="M247" s="44"/>
      <c r="N247" s="44"/>
      <c r="O247" s="44"/>
    </row>
    <row r="248" spans="1:15" ht="17.25" customHeight="1">
      <c r="A248" s="44"/>
      <c r="B248" s="44"/>
      <c r="C248" s="44"/>
      <c r="D248" s="44"/>
      <c r="E248" s="44"/>
      <c r="F248" s="44"/>
      <c r="G248" s="44"/>
      <c r="H248" s="44"/>
      <c r="I248" s="44"/>
      <c r="J248" s="44"/>
      <c r="K248" s="44"/>
      <c r="L248" s="44"/>
      <c r="M248" s="44"/>
      <c r="N248" s="44"/>
      <c r="O248" s="44"/>
    </row>
    <row r="249" spans="1:15" ht="17.25" customHeight="1">
      <c r="A249" s="44"/>
      <c r="B249" s="44"/>
      <c r="C249" s="44"/>
      <c r="D249" s="44"/>
      <c r="E249" s="44"/>
      <c r="F249" s="44"/>
      <c r="G249" s="44"/>
      <c r="H249" s="44"/>
      <c r="I249" s="44"/>
      <c r="J249" s="44"/>
      <c r="K249" s="44"/>
      <c r="L249" s="44"/>
      <c r="M249" s="44"/>
      <c r="N249" s="44"/>
      <c r="O249" s="44"/>
    </row>
    <row r="250" spans="1:15" ht="17.25" customHeight="1">
      <c r="A250" s="44"/>
      <c r="B250" s="44"/>
      <c r="C250" s="44"/>
      <c r="D250" s="44"/>
      <c r="E250" s="44"/>
      <c r="F250" s="44"/>
      <c r="G250" s="44"/>
      <c r="H250" s="44"/>
      <c r="I250" s="44"/>
      <c r="J250" s="44"/>
      <c r="K250" s="44"/>
      <c r="L250" s="44"/>
      <c r="M250" s="44"/>
      <c r="N250" s="44"/>
      <c r="O250" s="44"/>
    </row>
    <row r="251" spans="1:15" ht="17.25" customHeight="1">
      <c r="A251" s="44"/>
      <c r="B251" s="44"/>
      <c r="C251" s="44"/>
      <c r="D251" s="44"/>
      <c r="E251" s="44"/>
      <c r="F251" s="44"/>
      <c r="G251" s="44"/>
      <c r="H251" s="44"/>
      <c r="I251" s="44"/>
      <c r="J251" s="44"/>
      <c r="K251" s="44"/>
      <c r="L251" s="44"/>
      <c r="M251" s="44"/>
      <c r="N251" s="44"/>
      <c r="O251" s="44"/>
    </row>
    <row r="252" spans="1:15" ht="17.25" customHeight="1">
      <c r="A252" s="44"/>
      <c r="B252" s="44"/>
      <c r="C252" s="44"/>
      <c r="D252" s="44"/>
      <c r="E252" s="44"/>
      <c r="F252" s="44"/>
      <c r="G252" s="44"/>
      <c r="H252" s="44"/>
      <c r="I252" s="44"/>
      <c r="J252" s="44"/>
      <c r="K252" s="44"/>
      <c r="L252" s="44"/>
      <c r="M252" s="44"/>
      <c r="N252" s="44"/>
      <c r="O252" s="44"/>
    </row>
    <row r="253" spans="1:15" ht="17.25" customHeight="1">
      <c r="A253" s="44"/>
      <c r="B253" s="44"/>
      <c r="C253" s="44"/>
      <c r="D253" s="44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4"/>
    </row>
    <row r="254" spans="1:15" ht="17.25" customHeight="1">
      <c r="A254" s="44"/>
      <c r="B254" s="44"/>
      <c r="C254" s="44"/>
      <c r="D254" s="44"/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O254" s="44"/>
    </row>
    <row r="255" spans="1:15" ht="17.25" customHeight="1">
      <c r="A255" s="44"/>
      <c r="B255" s="44"/>
      <c r="C255" s="44"/>
      <c r="D255" s="44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</row>
    <row r="256" spans="1:15" ht="17.25" customHeight="1">
      <c r="A256" s="44"/>
      <c r="B256" s="44"/>
      <c r="C256" s="44"/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</row>
    <row r="257" spans="1:15" ht="17.25" customHeight="1">
      <c r="A257" s="44"/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</row>
    <row r="258" spans="1:15" ht="17.25" customHeight="1">
      <c r="A258" s="44"/>
      <c r="B258" s="44"/>
      <c r="C258" s="44"/>
      <c r="D258" s="44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</row>
    <row r="259" spans="1:15" ht="17.25" customHeight="1">
      <c r="A259" s="44"/>
      <c r="B259" s="44"/>
      <c r="C259" s="44"/>
      <c r="D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</row>
    <row r="260" spans="1:15" ht="17.25" customHeight="1">
      <c r="A260" s="44"/>
      <c r="B260" s="44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</row>
    <row r="261" spans="1:15" ht="17.25" customHeight="1">
      <c r="A261" s="44"/>
      <c r="B261" s="44"/>
      <c r="C261" s="44"/>
      <c r="D261" s="44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</row>
    <row r="262" spans="1:15" ht="17.25" customHeight="1">
      <c r="A262" s="44"/>
      <c r="B262" s="44"/>
      <c r="C262" s="44"/>
      <c r="D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</row>
    <row r="263" spans="1:15" ht="17.25" customHeight="1">
      <c r="A263" s="44"/>
      <c r="B263" s="44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</row>
    <row r="264" spans="1:15" ht="17.25" customHeight="1">
      <c r="A264" s="44"/>
      <c r="B264" s="44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</row>
    <row r="265" spans="1:15" ht="17.25" customHeight="1">
      <c r="A265" s="44"/>
      <c r="B265" s="44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</row>
    <row r="266" spans="1:15" ht="17.25" customHeight="1">
      <c r="A266" s="44"/>
      <c r="B266" s="44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</row>
    <row r="267" spans="1:15" ht="17.25" customHeight="1">
      <c r="A267" s="44"/>
      <c r="B267" s="44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</row>
    <row r="268" spans="1:15" ht="17.25" customHeight="1">
      <c r="A268" s="44"/>
      <c r="B268" s="44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</row>
    <row r="269" spans="1:15" ht="17.25" customHeight="1">
      <c r="A269" s="44"/>
      <c r="B269" s="44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</row>
    <row r="270" spans="1:15" ht="17.25" customHeight="1">
      <c r="A270" s="44"/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</row>
    <row r="271" spans="1:15" ht="17.25" customHeight="1">
      <c r="A271" s="44"/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</row>
    <row r="272" spans="1:15" ht="17.25" customHeight="1">
      <c r="A272" s="44"/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</row>
    <row r="273" spans="1:15" ht="17.25" customHeight="1">
      <c r="A273" s="44"/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</row>
    <row r="274" spans="1:15" ht="17.25" customHeight="1">
      <c r="A274" s="44"/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</row>
    <row r="275" spans="1:15" ht="17.25" customHeight="1">
      <c r="A275" s="44"/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</row>
    <row r="276" spans="1:15" ht="17.25" customHeight="1">
      <c r="A276" s="44"/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</row>
    <row r="277" spans="1:15" ht="17.25" customHeight="1">
      <c r="A277" s="44"/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</row>
    <row r="278" spans="1:15" ht="17.25" customHeight="1">
      <c r="A278" s="44"/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</row>
    <row r="279" spans="1:15" ht="17.25" customHeight="1">
      <c r="A279" s="44"/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</row>
    <row r="280" spans="1:15" ht="17.25" customHeight="1">
      <c r="A280" s="44"/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</row>
    <row r="281" spans="1:15" ht="17.25" customHeight="1">
      <c r="A281" s="44"/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</row>
    <row r="282" spans="1:15" ht="17.25" customHeight="1">
      <c r="A282" s="44"/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</row>
    <row r="283" spans="1:15" ht="17.25" customHeight="1">
      <c r="A283" s="44"/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</row>
    <row r="284" spans="1:15" ht="17.25" customHeight="1">
      <c r="A284" s="44"/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</row>
    <row r="285" spans="1:15" ht="17.25" customHeight="1">
      <c r="A285" s="44"/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</row>
    <row r="286" spans="1:15" ht="17.25" customHeight="1">
      <c r="A286" s="44"/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</row>
    <row r="287" spans="1:15" ht="17.25" customHeight="1">
      <c r="A287" s="44"/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</row>
    <row r="288" spans="1:15" ht="17.25" customHeight="1">
      <c r="A288" s="44"/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</row>
    <row r="289" spans="1:15" ht="17.25" customHeight="1">
      <c r="A289" s="44"/>
      <c r="B289" s="44"/>
      <c r="C289" s="44"/>
      <c r="D289" s="44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</row>
    <row r="290" spans="1:15" ht="17.25" customHeight="1">
      <c r="A290" s="44"/>
      <c r="B290" s="44"/>
      <c r="C290" s="44"/>
      <c r="D290" s="44"/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44"/>
    </row>
    <row r="291" spans="1:15" ht="17.25" customHeight="1">
      <c r="A291" s="44"/>
      <c r="B291" s="44"/>
      <c r="C291" s="44"/>
      <c r="D291" s="44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</row>
    <row r="292" spans="1:15" ht="17.25" customHeight="1">
      <c r="A292" s="44"/>
      <c r="B292" s="44"/>
      <c r="C292" s="44"/>
      <c r="D292" s="44"/>
      <c r="E292" s="44"/>
      <c r="F292" s="44"/>
      <c r="G292" s="44"/>
      <c r="H292" s="44"/>
      <c r="I292" s="44"/>
      <c r="J292" s="44"/>
      <c r="K292" s="44"/>
      <c r="L292" s="44"/>
      <c r="M292" s="44"/>
      <c r="N292" s="44"/>
      <c r="O292" s="44"/>
    </row>
    <row r="293" spans="1:15" ht="17.25" customHeight="1">
      <c r="A293" s="44"/>
      <c r="B293" s="44"/>
      <c r="C293" s="44"/>
      <c r="D293" s="44"/>
      <c r="E293" s="44"/>
      <c r="F293" s="44"/>
      <c r="G293" s="44"/>
      <c r="H293" s="44"/>
      <c r="I293" s="44"/>
      <c r="J293" s="44"/>
      <c r="K293" s="44"/>
      <c r="L293" s="44"/>
      <c r="M293" s="44"/>
      <c r="N293" s="44"/>
      <c r="O293" s="44"/>
    </row>
    <row r="294" spans="1:15" ht="17.25" customHeight="1">
      <c r="A294" s="44"/>
      <c r="B294" s="44"/>
      <c r="C294" s="44"/>
      <c r="D294" s="44"/>
      <c r="E294" s="44"/>
      <c r="F294" s="44"/>
      <c r="G294" s="44"/>
      <c r="H294" s="44"/>
      <c r="I294" s="44"/>
      <c r="J294" s="44"/>
      <c r="K294" s="44"/>
      <c r="L294" s="44"/>
      <c r="M294" s="44"/>
      <c r="N294" s="44"/>
      <c r="O294" s="44"/>
    </row>
    <row r="295" spans="1:15" ht="17.25" customHeight="1">
      <c r="A295" s="44"/>
      <c r="B295" s="44"/>
      <c r="C295" s="44"/>
      <c r="D295" s="44"/>
      <c r="E295" s="44"/>
      <c r="F295" s="44"/>
      <c r="G295" s="44"/>
      <c r="H295" s="44"/>
      <c r="I295" s="44"/>
      <c r="J295" s="44"/>
      <c r="K295" s="44"/>
      <c r="L295" s="44"/>
      <c r="M295" s="44"/>
      <c r="N295" s="44"/>
      <c r="O295" s="44"/>
    </row>
    <row r="296" spans="1:15" ht="17.25" customHeight="1">
      <c r="A296" s="44"/>
      <c r="B296" s="44"/>
      <c r="C296" s="44"/>
      <c r="D296" s="44"/>
      <c r="E296" s="44"/>
      <c r="F296" s="44"/>
      <c r="G296" s="44"/>
      <c r="H296" s="44"/>
      <c r="I296" s="44"/>
      <c r="J296" s="44"/>
      <c r="K296" s="44"/>
      <c r="L296" s="44"/>
      <c r="M296" s="44"/>
      <c r="N296" s="44"/>
      <c r="O296" s="44"/>
    </row>
    <row r="297" spans="1:15" ht="17.25" customHeight="1">
      <c r="A297" s="44"/>
      <c r="B297" s="44"/>
      <c r="C297" s="44"/>
      <c r="D297" s="44"/>
      <c r="E297" s="44"/>
      <c r="F297" s="44"/>
      <c r="G297" s="44"/>
      <c r="H297" s="44"/>
      <c r="I297" s="44"/>
      <c r="J297" s="44"/>
      <c r="K297" s="44"/>
      <c r="L297" s="44"/>
      <c r="M297" s="44"/>
      <c r="N297" s="44"/>
      <c r="O297" s="44"/>
    </row>
    <row r="298" spans="1:15" ht="17.25" customHeight="1">
      <c r="A298" s="44"/>
      <c r="B298" s="44"/>
      <c r="C298" s="44"/>
      <c r="D298" s="44"/>
      <c r="E298" s="44"/>
      <c r="F298" s="44"/>
      <c r="G298" s="44"/>
      <c r="H298" s="44"/>
      <c r="I298" s="44"/>
      <c r="J298" s="44"/>
      <c r="K298" s="44"/>
      <c r="L298" s="44"/>
      <c r="M298" s="44"/>
      <c r="N298" s="44"/>
      <c r="O298" s="44"/>
    </row>
    <row r="299" spans="1:15" ht="17.25" customHeight="1">
      <c r="A299" s="44"/>
      <c r="B299" s="44"/>
      <c r="C299" s="44"/>
      <c r="D299" s="44"/>
      <c r="E299" s="44"/>
      <c r="F299" s="44"/>
      <c r="G299" s="44"/>
      <c r="H299" s="44"/>
      <c r="I299" s="44"/>
      <c r="J299" s="44"/>
      <c r="K299" s="44"/>
      <c r="L299" s="44"/>
      <c r="M299" s="44"/>
      <c r="N299" s="44"/>
      <c r="O299" s="44"/>
    </row>
    <row r="300" spans="1:15" ht="17.25" customHeight="1">
      <c r="A300" s="44"/>
      <c r="B300" s="44"/>
      <c r="C300" s="44"/>
      <c r="D300" s="44"/>
      <c r="E300" s="44"/>
      <c r="F300" s="44"/>
      <c r="G300" s="44"/>
      <c r="H300" s="44"/>
      <c r="I300" s="44"/>
      <c r="J300" s="44"/>
      <c r="K300" s="44"/>
      <c r="L300" s="44"/>
      <c r="M300" s="44"/>
      <c r="N300" s="44"/>
      <c r="O300" s="44"/>
    </row>
    <row r="301" spans="1:15" ht="17.25" customHeight="1">
      <c r="A301" s="44"/>
      <c r="B301" s="44"/>
      <c r="C301" s="44"/>
      <c r="D301" s="44"/>
      <c r="E301" s="44"/>
      <c r="F301" s="44"/>
      <c r="G301" s="44"/>
      <c r="H301" s="44"/>
      <c r="I301" s="44"/>
      <c r="J301" s="44"/>
      <c r="K301" s="44"/>
      <c r="L301" s="44"/>
      <c r="M301" s="44"/>
      <c r="N301" s="44"/>
      <c r="O301" s="44"/>
    </row>
    <row r="302" spans="1:15" ht="17.25" customHeight="1">
      <c r="A302" s="44"/>
      <c r="B302" s="44"/>
      <c r="C302" s="44"/>
      <c r="D302" s="44"/>
      <c r="E302" s="44"/>
      <c r="F302" s="44"/>
      <c r="G302" s="44"/>
      <c r="H302" s="44"/>
      <c r="I302" s="44"/>
      <c r="J302" s="44"/>
      <c r="K302" s="44"/>
      <c r="L302" s="44"/>
      <c r="M302" s="44"/>
      <c r="N302" s="44"/>
      <c r="O302" s="44"/>
    </row>
    <row r="303" spans="1:15" ht="17.25" customHeight="1">
      <c r="A303" s="44"/>
      <c r="B303" s="44"/>
      <c r="C303" s="44"/>
      <c r="D303" s="44"/>
      <c r="E303" s="44"/>
      <c r="F303" s="44"/>
      <c r="G303" s="44"/>
      <c r="H303" s="44"/>
      <c r="I303" s="44"/>
      <c r="J303" s="44"/>
      <c r="K303" s="44"/>
      <c r="L303" s="44"/>
      <c r="M303" s="44"/>
      <c r="N303" s="44"/>
      <c r="O303" s="44"/>
    </row>
    <row r="304" spans="1:15" ht="17.25" customHeight="1">
      <c r="A304" s="44"/>
      <c r="B304" s="44"/>
      <c r="C304" s="44"/>
      <c r="D304" s="44"/>
      <c r="E304" s="44"/>
      <c r="F304" s="44"/>
      <c r="G304" s="44"/>
      <c r="H304" s="44"/>
      <c r="I304" s="44"/>
      <c r="J304" s="44"/>
      <c r="K304" s="44"/>
      <c r="L304" s="44"/>
      <c r="M304" s="44"/>
      <c r="N304" s="44"/>
      <c r="O304" s="44"/>
    </row>
    <row r="305" spans="1:15" ht="17.25" customHeight="1">
      <c r="A305" s="44"/>
      <c r="B305" s="44"/>
      <c r="C305" s="44"/>
      <c r="D305" s="44"/>
      <c r="E305" s="44"/>
      <c r="F305" s="44"/>
      <c r="G305" s="44"/>
      <c r="H305" s="44"/>
      <c r="I305" s="44"/>
      <c r="J305" s="44"/>
      <c r="K305" s="44"/>
      <c r="L305" s="44"/>
      <c r="M305" s="44"/>
      <c r="N305" s="44"/>
      <c r="O305" s="44"/>
    </row>
    <row r="306" spans="1:15" ht="17.25" customHeight="1">
      <c r="A306" s="44"/>
      <c r="B306" s="44"/>
      <c r="C306" s="44"/>
      <c r="D306" s="44"/>
      <c r="E306" s="44"/>
      <c r="F306" s="44"/>
      <c r="G306" s="44"/>
      <c r="H306" s="44"/>
      <c r="I306" s="44"/>
      <c r="J306" s="44"/>
      <c r="K306" s="44"/>
      <c r="L306" s="44"/>
      <c r="M306" s="44"/>
      <c r="N306" s="44"/>
      <c r="O306" s="44"/>
    </row>
    <row r="307" spans="1:15" ht="17.25" customHeight="1">
      <c r="A307" s="44"/>
      <c r="B307" s="44"/>
      <c r="C307" s="44"/>
      <c r="D307" s="44"/>
      <c r="E307" s="44"/>
      <c r="F307" s="44"/>
      <c r="G307" s="44"/>
      <c r="H307" s="44"/>
      <c r="I307" s="44"/>
      <c r="J307" s="44"/>
      <c r="K307" s="44"/>
      <c r="L307" s="44"/>
      <c r="M307" s="44"/>
      <c r="N307" s="44"/>
      <c r="O307" s="44"/>
    </row>
    <row r="308" spans="1:15" ht="17.25" customHeight="1">
      <c r="A308" s="44"/>
      <c r="B308" s="44"/>
      <c r="C308" s="44"/>
      <c r="D308" s="44"/>
      <c r="E308" s="44"/>
      <c r="F308" s="44"/>
      <c r="G308" s="44"/>
      <c r="H308" s="44"/>
      <c r="I308" s="44"/>
      <c r="J308" s="44"/>
      <c r="K308" s="44"/>
      <c r="L308" s="44"/>
      <c r="M308" s="44"/>
      <c r="N308" s="44"/>
      <c r="O308" s="44"/>
    </row>
    <row r="309" spans="1:15" ht="17.25" customHeight="1">
      <c r="A309" s="44"/>
      <c r="B309" s="44"/>
      <c r="C309" s="44"/>
      <c r="D309" s="44"/>
      <c r="E309" s="44"/>
      <c r="F309" s="44"/>
      <c r="G309" s="44"/>
      <c r="H309" s="44"/>
      <c r="I309" s="44"/>
      <c r="J309" s="44"/>
      <c r="K309" s="44"/>
      <c r="L309" s="44"/>
      <c r="M309" s="44"/>
      <c r="N309" s="44"/>
      <c r="O309" s="44"/>
    </row>
    <row r="310" spans="1:15" ht="17.25" customHeight="1">
      <c r="A310" s="44"/>
      <c r="B310" s="44"/>
      <c r="C310" s="44"/>
      <c r="D310" s="44"/>
      <c r="E310" s="44"/>
      <c r="F310" s="44"/>
      <c r="G310" s="44"/>
      <c r="H310" s="44"/>
      <c r="I310" s="44"/>
      <c r="J310" s="44"/>
      <c r="K310" s="44"/>
      <c r="L310" s="44"/>
      <c r="M310" s="44"/>
      <c r="N310" s="44"/>
      <c r="O310" s="44"/>
    </row>
    <row r="311" spans="1:15" ht="17.25" customHeight="1">
      <c r="A311" s="44"/>
      <c r="B311" s="44"/>
      <c r="C311" s="44"/>
      <c r="D311" s="44"/>
      <c r="E311" s="44"/>
      <c r="F311" s="44"/>
      <c r="G311" s="44"/>
      <c r="H311" s="44"/>
      <c r="I311" s="44"/>
      <c r="J311" s="44"/>
      <c r="K311" s="44"/>
      <c r="L311" s="44"/>
      <c r="M311" s="44"/>
      <c r="N311" s="44"/>
      <c r="O311" s="44"/>
    </row>
    <row r="312" spans="1:15" ht="17.25" customHeight="1">
      <c r="A312" s="44"/>
      <c r="B312" s="44"/>
      <c r="C312" s="44"/>
      <c r="D312" s="44"/>
      <c r="E312" s="44"/>
      <c r="F312" s="44"/>
      <c r="G312" s="44"/>
      <c r="H312" s="44"/>
      <c r="I312" s="44"/>
      <c r="J312" s="44"/>
      <c r="K312" s="44"/>
      <c r="L312" s="44"/>
      <c r="M312" s="44"/>
      <c r="N312" s="44"/>
      <c r="O312" s="44"/>
    </row>
    <row r="313" spans="1:15" ht="17.25" customHeight="1">
      <c r="A313" s="44"/>
      <c r="B313" s="44"/>
      <c r="C313" s="44"/>
      <c r="D313" s="44"/>
      <c r="E313" s="44"/>
      <c r="F313" s="44"/>
      <c r="G313" s="44"/>
      <c r="H313" s="44"/>
      <c r="I313" s="44"/>
      <c r="J313" s="44"/>
      <c r="K313" s="44"/>
      <c r="L313" s="44"/>
      <c r="M313" s="44"/>
      <c r="N313" s="44"/>
      <c r="O313" s="44"/>
    </row>
    <row r="314" spans="1:15" ht="17.25" customHeight="1">
      <c r="A314" s="44"/>
      <c r="B314" s="44"/>
      <c r="C314" s="44"/>
      <c r="D314" s="44"/>
      <c r="E314" s="44"/>
      <c r="F314" s="44"/>
      <c r="G314" s="44"/>
      <c r="H314" s="44"/>
      <c r="I314" s="44"/>
      <c r="J314" s="44"/>
      <c r="K314" s="44"/>
      <c r="L314" s="44"/>
      <c r="M314" s="44"/>
      <c r="N314" s="44"/>
      <c r="O314" s="44"/>
    </row>
    <row r="315" spans="1:15" ht="17.25" customHeight="1">
      <c r="A315" s="44"/>
      <c r="B315" s="44"/>
      <c r="C315" s="44"/>
      <c r="D315" s="44"/>
      <c r="E315" s="44"/>
      <c r="F315" s="44"/>
      <c r="G315" s="44"/>
      <c r="H315" s="44"/>
      <c r="I315" s="44"/>
      <c r="J315" s="44"/>
      <c r="K315" s="44"/>
      <c r="L315" s="44"/>
      <c r="M315" s="44"/>
      <c r="N315" s="44"/>
      <c r="O315" s="44"/>
    </row>
    <row r="316" spans="1:15" ht="17.25" customHeight="1">
      <c r="A316" s="44"/>
      <c r="B316" s="44"/>
      <c r="C316" s="44"/>
      <c r="D316" s="44"/>
      <c r="E316" s="44"/>
      <c r="F316" s="44"/>
      <c r="G316" s="44"/>
      <c r="H316" s="44"/>
      <c r="I316" s="44"/>
      <c r="J316" s="44"/>
      <c r="K316" s="44"/>
      <c r="L316" s="44"/>
      <c r="M316" s="44"/>
      <c r="N316" s="44"/>
      <c r="O316" s="44"/>
    </row>
    <row r="317" spans="1:15" ht="17.25" customHeight="1">
      <c r="A317" s="44"/>
      <c r="B317" s="44"/>
      <c r="C317" s="44"/>
      <c r="D317" s="44"/>
      <c r="E317" s="44"/>
      <c r="F317" s="44"/>
      <c r="G317" s="44"/>
      <c r="H317" s="44"/>
      <c r="I317" s="44"/>
      <c r="J317" s="44"/>
      <c r="K317" s="44"/>
      <c r="L317" s="44"/>
      <c r="M317" s="44"/>
      <c r="N317" s="44"/>
      <c r="O317" s="44"/>
    </row>
    <row r="318" spans="1:15" ht="17.25" customHeight="1">
      <c r="A318" s="44"/>
      <c r="B318" s="44"/>
      <c r="C318" s="44"/>
      <c r="D318" s="44"/>
      <c r="E318" s="44"/>
      <c r="F318" s="44"/>
      <c r="G318" s="44"/>
      <c r="H318" s="44"/>
      <c r="I318" s="44"/>
      <c r="J318" s="44"/>
      <c r="K318" s="44"/>
      <c r="L318" s="44"/>
      <c r="M318" s="44"/>
      <c r="N318" s="44"/>
      <c r="O318" s="44"/>
    </row>
    <row r="319" spans="1:15" ht="17.25" customHeight="1">
      <c r="A319" s="44"/>
      <c r="B319" s="44"/>
      <c r="C319" s="44"/>
      <c r="D319" s="44"/>
      <c r="E319" s="44"/>
      <c r="F319" s="44"/>
      <c r="G319" s="44"/>
      <c r="H319" s="44"/>
      <c r="I319" s="44"/>
      <c r="J319" s="44"/>
      <c r="K319" s="44"/>
      <c r="L319" s="44"/>
      <c r="M319" s="44"/>
      <c r="N319" s="44"/>
      <c r="O319" s="44"/>
    </row>
    <row r="320" spans="1:15" ht="17.25" customHeight="1">
      <c r="A320" s="44"/>
      <c r="B320" s="44"/>
      <c r="C320" s="44"/>
      <c r="D320" s="44"/>
      <c r="E320" s="44"/>
      <c r="F320" s="44"/>
      <c r="G320" s="44"/>
      <c r="H320" s="44"/>
      <c r="I320" s="44"/>
      <c r="J320" s="44"/>
      <c r="K320" s="44"/>
      <c r="L320" s="44"/>
      <c r="M320" s="44"/>
      <c r="N320" s="44"/>
      <c r="O320" s="44"/>
    </row>
    <row r="321" spans="1:15" ht="17.25" customHeight="1">
      <c r="A321" s="44"/>
      <c r="B321" s="44"/>
      <c r="C321" s="44"/>
      <c r="D321" s="44"/>
      <c r="E321" s="44"/>
      <c r="F321" s="44"/>
      <c r="G321" s="44"/>
      <c r="H321" s="44"/>
      <c r="I321" s="44"/>
      <c r="J321" s="44"/>
      <c r="K321" s="44"/>
      <c r="L321" s="44"/>
      <c r="M321" s="44"/>
      <c r="N321" s="44"/>
      <c r="O321" s="44"/>
    </row>
    <row r="322" spans="1:15" ht="17.25" customHeight="1">
      <c r="A322" s="44"/>
      <c r="B322" s="44"/>
      <c r="C322" s="44"/>
      <c r="D322" s="44"/>
      <c r="E322" s="44"/>
      <c r="F322" s="44"/>
      <c r="G322" s="44"/>
      <c r="H322" s="44"/>
      <c r="I322" s="44"/>
      <c r="J322" s="44"/>
      <c r="K322" s="44"/>
      <c r="L322" s="44"/>
      <c r="M322" s="44"/>
      <c r="N322" s="44"/>
      <c r="O322" s="44"/>
    </row>
    <row r="323" spans="1:15" ht="17.25" customHeight="1">
      <c r="A323" s="44"/>
      <c r="B323" s="44"/>
      <c r="C323" s="44"/>
      <c r="D323" s="44"/>
      <c r="E323" s="44"/>
      <c r="F323" s="44"/>
      <c r="G323" s="44"/>
      <c r="H323" s="44"/>
      <c r="I323" s="44"/>
      <c r="J323" s="44"/>
      <c r="K323" s="44"/>
      <c r="L323" s="44"/>
      <c r="M323" s="44"/>
      <c r="N323" s="44"/>
      <c r="O323" s="44"/>
    </row>
    <row r="324" spans="1:15" ht="17.25" customHeight="1">
      <c r="A324" s="44"/>
      <c r="B324" s="44"/>
      <c r="C324" s="44"/>
      <c r="D324" s="44"/>
      <c r="E324" s="44"/>
      <c r="F324" s="44"/>
      <c r="G324" s="44"/>
      <c r="H324" s="44"/>
      <c r="I324" s="44"/>
      <c r="J324" s="44"/>
      <c r="K324" s="44"/>
      <c r="L324" s="44"/>
      <c r="M324" s="44"/>
      <c r="N324" s="44"/>
      <c r="O324" s="44"/>
    </row>
    <row r="325" spans="1:15" ht="17.25" customHeight="1">
      <c r="A325" s="44"/>
      <c r="B325" s="44"/>
      <c r="C325" s="44"/>
      <c r="D325" s="44"/>
      <c r="E325" s="44"/>
      <c r="F325" s="44"/>
      <c r="G325" s="44"/>
      <c r="H325" s="44"/>
      <c r="I325" s="44"/>
      <c r="J325" s="44"/>
      <c r="K325" s="44"/>
      <c r="L325" s="44"/>
      <c r="M325" s="44"/>
      <c r="N325" s="44"/>
      <c r="O325" s="44"/>
    </row>
    <row r="326" spans="1:15" ht="17.25" customHeight="1">
      <c r="A326" s="44"/>
      <c r="B326" s="44"/>
      <c r="C326" s="44"/>
      <c r="D326" s="44"/>
      <c r="E326" s="44"/>
      <c r="F326" s="44"/>
      <c r="G326" s="44"/>
      <c r="H326" s="44"/>
      <c r="I326" s="44"/>
      <c r="J326" s="44"/>
      <c r="K326" s="44"/>
      <c r="L326" s="44"/>
      <c r="M326" s="44"/>
      <c r="N326" s="44"/>
      <c r="O326" s="44"/>
    </row>
    <row r="327" spans="1:15" ht="17.25" customHeight="1">
      <c r="A327" s="44"/>
      <c r="B327" s="44"/>
      <c r="C327" s="44"/>
      <c r="D327" s="44"/>
      <c r="E327" s="44"/>
      <c r="F327" s="44"/>
      <c r="G327" s="44"/>
      <c r="H327" s="44"/>
      <c r="I327" s="44"/>
      <c r="J327" s="44"/>
      <c r="K327" s="44"/>
      <c r="L327" s="44"/>
      <c r="M327" s="44"/>
      <c r="N327" s="44"/>
      <c r="O327" s="44"/>
    </row>
    <row r="328" spans="1:15" ht="17.25" customHeight="1">
      <c r="A328" s="44"/>
      <c r="B328" s="44"/>
      <c r="C328" s="44"/>
      <c r="D328" s="44"/>
      <c r="E328" s="44"/>
      <c r="F328" s="44"/>
      <c r="G328" s="44"/>
      <c r="H328" s="44"/>
      <c r="I328" s="44"/>
      <c r="J328" s="44"/>
      <c r="K328" s="44"/>
      <c r="L328" s="44"/>
      <c r="M328" s="44"/>
      <c r="N328" s="44"/>
      <c r="O328" s="44"/>
    </row>
    <row r="329" spans="1:15" ht="17.25" customHeight="1">
      <c r="A329" s="44"/>
      <c r="B329" s="44"/>
      <c r="C329" s="44"/>
      <c r="D329" s="44"/>
      <c r="E329" s="44"/>
      <c r="F329" s="44"/>
      <c r="G329" s="44"/>
      <c r="H329" s="44"/>
      <c r="I329" s="44"/>
      <c r="J329" s="44"/>
      <c r="K329" s="44"/>
      <c r="L329" s="44"/>
      <c r="M329" s="44"/>
      <c r="N329" s="44"/>
      <c r="O329" s="44"/>
    </row>
    <row r="330" spans="1:15" ht="17.25" customHeight="1">
      <c r="A330" s="44"/>
      <c r="B330" s="44"/>
      <c r="C330" s="44"/>
      <c r="D330" s="44"/>
      <c r="E330" s="44"/>
      <c r="F330" s="44"/>
      <c r="G330" s="44"/>
      <c r="H330" s="44"/>
      <c r="I330" s="44"/>
      <c r="J330" s="44"/>
      <c r="K330" s="44"/>
      <c r="L330" s="44"/>
      <c r="M330" s="44"/>
      <c r="N330" s="44"/>
      <c r="O330" s="44"/>
    </row>
    <row r="331" spans="1:15" ht="17.25" customHeight="1">
      <c r="A331" s="44"/>
      <c r="B331" s="44"/>
      <c r="C331" s="44"/>
      <c r="D331" s="44"/>
      <c r="E331" s="44"/>
      <c r="F331" s="44"/>
      <c r="G331" s="44"/>
      <c r="H331" s="44"/>
      <c r="I331" s="44"/>
      <c r="J331" s="44"/>
      <c r="K331" s="44"/>
      <c r="L331" s="44"/>
      <c r="M331" s="44"/>
      <c r="N331" s="44"/>
      <c r="O331" s="44"/>
    </row>
    <row r="332" spans="1:15" ht="17.25" customHeight="1">
      <c r="A332" s="44"/>
      <c r="B332" s="44"/>
      <c r="C332" s="44"/>
      <c r="D332" s="44"/>
      <c r="E332" s="44"/>
      <c r="F332" s="44"/>
      <c r="G332" s="44"/>
      <c r="H332" s="44"/>
      <c r="I332" s="44"/>
      <c r="J332" s="44"/>
      <c r="K332" s="44"/>
      <c r="L332" s="44"/>
      <c r="M332" s="44"/>
      <c r="N332" s="44"/>
      <c r="O332" s="44"/>
    </row>
    <row r="333" spans="1:15" ht="17.25" customHeight="1">
      <c r="A333" s="44"/>
      <c r="B333" s="44"/>
      <c r="C333" s="44"/>
      <c r="D333" s="44"/>
      <c r="E333" s="44"/>
      <c r="F333" s="44"/>
      <c r="G333" s="44"/>
      <c r="H333" s="44"/>
      <c r="I333" s="44"/>
      <c r="J333" s="44"/>
      <c r="K333" s="44"/>
      <c r="L333" s="44"/>
      <c r="M333" s="44"/>
      <c r="N333" s="44"/>
      <c r="O333" s="44"/>
    </row>
    <row r="334" spans="1:15" ht="17.25" customHeight="1">
      <c r="A334" s="44"/>
      <c r="B334" s="44"/>
      <c r="C334" s="44"/>
      <c r="D334" s="44"/>
      <c r="E334" s="44"/>
      <c r="F334" s="44"/>
      <c r="G334" s="44"/>
      <c r="H334" s="44"/>
      <c r="I334" s="44"/>
      <c r="J334" s="44"/>
      <c r="K334" s="44"/>
      <c r="L334" s="44"/>
      <c r="M334" s="44"/>
      <c r="N334" s="44"/>
      <c r="O334" s="44"/>
    </row>
    <row r="335" spans="1:15" ht="17.25" customHeight="1">
      <c r="A335" s="44"/>
      <c r="B335" s="44"/>
      <c r="C335" s="44"/>
      <c r="D335" s="44"/>
      <c r="E335" s="44"/>
      <c r="F335" s="44"/>
      <c r="G335" s="44"/>
      <c r="H335" s="44"/>
      <c r="I335" s="44"/>
      <c r="J335" s="44"/>
      <c r="K335" s="44"/>
      <c r="L335" s="44"/>
      <c r="M335" s="44"/>
      <c r="N335" s="44"/>
      <c r="O335" s="44"/>
    </row>
    <row r="336" spans="1:15" ht="17.25" customHeight="1">
      <c r="A336" s="44"/>
      <c r="B336" s="44"/>
      <c r="C336" s="44"/>
      <c r="D336" s="44"/>
      <c r="E336" s="44"/>
      <c r="F336" s="44"/>
      <c r="G336" s="44"/>
      <c r="H336" s="44"/>
      <c r="I336" s="44"/>
      <c r="J336" s="44"/>
      <c r="K336" s="44"/>
      <c r="L336" s="44"/>
      <c r="M336" s="44"/>
      <c r="N336" s="44"/>
      <c r="O336" s="44"/>
    </row>
    <row r="337" spans="1:15" ht="17.25" customHeight="1">
      <c r="A337" s="44"/>
      <c r="B337" s="44"/>
      <c r="C337" s="44"/>
      <c r="D337" s="44"/>
      <c r="E337" s="44"/>
      <c r="F337" s="44"/>
      <c r="G337" s="44"/>
      <c r="H337" s="44"/>
      <c r="I337" s="44"/>
      <c r="J337" s="44"/>
      <c r="K337" s="44"/>
      <c r="L337" s="44"/>
      <c r="M337" s="44"/>
      <c r="N337" s="44"/>
      <c r="O337" s="44"/>
    </row>
    <row r="338" spans="1:15" ht="17.25" customHeight="1">
      <c r="A338" s="44"/>
      <c r="B338" s="44"/>
      <c r="C338" s="44"/>
      <c r="D338" s="44"/>
      <c r="E338" s="44"/>
      <c r="F338" s="44"/>
      <c r="G338" s="44"/>
      <c r="H338" s="44"/>
      <c r="I338" s="44"/>
      <c r="J338" s="44"/>
      <c r="K338" s="44"/>
      <c r="L338" s="44"/>
      <c r="M338" s="44"/>
      <c r="N338" s="44"/>
      <c r="O338" s="44"/>
    </row>
    <row r="339" spans="1:15" ht="17.25" customHeight="1">
      <c r="A339" s="44"/>
      <c r="B339" s="44"/>
      <c r="C339" s="44"/>
      <c r="D339" s="44"/>
      <c r="E339" s="44"/>
      <c r="F339" s="44"/>
      <c r="G339" s="44"/>
      <c r="H339" s="44"/>
      <c r="I339" s="44"/>
      <c r="J339" s="44"/>
      <c r="K339" s="44"/>
      <c r="L339" s="44"/>
      <c r="M339" s="44"/>
      <c r="N339" s="44"/>
      <c r="O339" s="44"/>
    </row>
    <row r="340" spans="1:15" ht="17.25" customHeight="1">
      <c r="A340" s="44"/>
      <c r="B340" s="44"/>
      <c r="C340" s="44"/>
      <c r="D340" s="44"/>
      <c r="E340" s="44"/>
      <c r="F340" s="44"/>
      <c r="G340" s="44"/>
      <c r="H340" s="44"/>
      <c r="I340" s="44"/>
      <c r="J340" s="44"/>
      <c r="K340" s="44"/>
      <c r="L340" s="44"/>
      <c r="M340" s="44"/>
      <c r="N340" s="44"/>
      <c r="O340" s="44"/>
    </row>
    <row r="341" spans="1:15" ht="17.25" customHeight="1">
      <c r="A341" s="44"/>
      <c r="B341" s="44"/>
      <c r="C341" s="44"/>
      <c r="D341" s="44"/>
      <c r="E341" s="44"/>
      <c r="F341" s="44"/>
      <c r="G341" s="44"/>
      <c r="H341" s="44"/>
      <c r="I341" s="44"/>
      <c r="J341" s="44"/>
      <c r="K341" s="44"/>
      <c r="L341" s="44"/>
      <c r="M341" s="44"/>
      <c r="N341" s="44"/>
      <c r="O341" s="44"/>
    </row>
    <row r="342" spans="1:15" ht="17.25" customHeight="1">
      <c r="A342" s="44"/>
      <c r="B342" s="44"/>
      <c r="C342" s="44"/>
      <c r="D342" s="44"/>
      <c r="E342" s="44"/>
      <c r="F342" s="44"/>
      <c r="G342" s="44"/>
      <c r="H342" s="44"/>
      <c r="I342" s="44"/>
      <c r="J342" s="44"/>
      <c r="K342" s="44"/>
      <c r="L342" s="44"/>
      <c r="M342" s="44"/>
      <c r="N342" s="44"/>
      <c r="O342" s="44"/>
    </row>
    <row r="343" spans="1:15" ht="17.25" customHeight="1">
      <c r="A343" s="44"/>
      <c r="B343" s="44"/>
      <c r="C343" s="44"/>
      <c r="D343" s="44"/>
      <c r="E343" s="44"/>
      <c r="F343" s="44"/>
      <c r="G343" s="44"/>
      <c r="H343" s="44"/>
      <c r="I343" s="44"/>
      <c r="J343" s="44"/>
      <c r="K343" s="44"/>
      <c r="L343" s="44"/>
      <c r="M343" s="44"/>
      <c r="N343" s="44"/>
      <c r="O343" s="44"/>
    </row>
    <row r="344" spans="1:15" ht="17.25" customHeight="1">
      <c r="A344" s="44"/>
      <c r="B344" s="44"/>
      <c r="C344" s="44"/>
      <c r="D344" s="44"/>
      <c r="E344" s="44"/>
      <c r="F344" s="44"/>
      <c r="G344" s="44"/>
      <c r="H344" s="44"/>
      <c r="I344" s="44"/>
      <c r="J344" s="44"/>
      <c r="K344" s="44"/>
      <c r="L344" s="44"/>
      <c r="M344" s="44"/>
      <c r="N344" s="44"/>
      <c r="O344" s="44"/>
    </row>
    <row r="345" spans="1:15" ht="17.25" customHeight="1">
      <c r="A345" s="44"/>
      <c r="B345" s="44"/>
      <c r="C345" s="44"/>
      <c r="D345" s="44"/>
      <c r="E345" s="44"/>
      <c r="F345" s="44"/>
      <c r="G345" s="44"/>
      <c r="H345" s="44"/>
      <c r="I345" s="44"/>
      <c r="J345" s="44"/>
      <c r="K345" s="44"/>
      <c r="L345" s="44"/>
      <c r="M345" s="44"/>
      <c r="N345" s="44"/>
      <c r="O345" s="44"/>
    </row>
    <row r="346" spans="1:15" ht="17.25" customHeight="1">
      <c r="A346" s="44"/>
      <c r="B346" s="44"/>
      <c r="C346" s="44"/>
      <c r="D346" s="44"/>
      <c r="E346" s="44"/>
      <c r="F346" s="44"/>
      <c r="G346" s="44"/>
      <c r="H346" s="44"/>
      <c r="I346" s="44"/>
      <c r="J346" s="44"/>
      <c r="K346" s="44"/>
      <c r="L346" s="44"/>
      <c r="M346" s="44"/>
      <c r="N346" s="44"/>
      <c r="O346" s="44"/>
    </row>
    <row r="347" spans="1:15" ht="17.25" customHeight="1">
      <c r="A347" s="44"/>
      <c r="B347" s="44"/>
      <c r="C347" s="44"/>
      <c r="D347" s="44"/>
      <c r="E347" s="44"/>
      <c r="F347" s="44"/>
      <c r="G347" s="44"/>
      <c r="H347" s="44"/>
      <c r="I347" s="44"/>
      <c r="J347" s="44"/>
      <c r="K347" s="44"/>
      <c r="L347" s="44"/>
      <c r="M347" s="44"/>
      <c r="N347" s="44"/>
      <c r="O347" s="44"/>
    </row>
    <row r="348" spans="1:15" ht="17.25" customHeight="1">
      <c r="A348" s="44"/>
      <c r="B348" s="44"/>
      <c r="C348" s="44"/>
      <c r="D348" s="44"/>
      <c r="E348" s="44"/>
      <c r="F348" s="44"/>
      <c r="G348" s="44"/>
      <c r="H348" s="44"/>
      <c r="I348" s="44"/>
      <c r="J348" s="44"/>
      <c r="K348" s="44"/>
      <c r="L348" s="44"/>
      <c r="M348" s="44"/>
      <c r="N348" s="44"/>
      <c r="O348" s="44"/>
    </row>
    <row r="349" spans="1:15" ht="17.25" customHeight="1">
      <c r="A349" s="44"/>
      <c r="B349" s="44"/>
      <c r="C349" s="44"/>
      <c r="D349" s="44"/>
      <c r="E349" s="44"/>
      <c r="F349" s="44"/>
      <c r="G349" s="44"/>
      <c r="H349" s="44"/>
      <c r="I349" s="44"/>
      <c r="J349" s="44"/>
      <c r="K349" s="44"/>
      <c r="L349" s="44"/>
      <c r="M349" s="44"/>
      <c r="N349" s="44"/>
      <c r="O349" s="44"/>
    </row>
    <row r="350" spans="1:15" ht="17.25" customHeight="1">
      <c r="A350" s="44"/>
      <c r="B350" s="44"/>
      <c r="C350" s="44"/>
      <c r="D350" s="44"/>
      <c r="E350" s="44"/>
      <c r="F350" s="44"/>
      <c r="G350" s="44"/>
      <c r="H350" s="44"/>
      <c r="I350" s="44"/>
      <c r="J350" s="44"/>
      <c r="K350" s="44"/>
      <c r="L350" s="44"/>
      <c r="M350" s="44"/>
      <c r="N350" s="44"/>
      <c r="O350" s="44"/>
    </row>
    <row r="351" spans="1:15" ht="17.25" customHeight="1">
      <c r="A351" s="44"/>
      <c r="B351" s="44"/>
      <c r="C351" s="44"/>
      <c r="D351" s="44"/>
      <c r="E351" s="44"/>
      <c r="F351" s="44"/>
      <c r="G351" s="44"/>
      <c r="H351" s="44"/>
      <c r="I351" s="44"/>
      <c r="J351" s="44"/>
      <c r="K351" s="44"/>
      <c r="L351" s="44"/>
      <c r="M351" s="44"/>
      <c r="N351" s="44"/>
      <c r="O351" s="44"/>
    </row>
    <row r="352" spans="1:15" ht="17.25" customHeight="1">
      <c r="A352" s="44"/>
      <c r="B352" s="44"/>
      <c r="C352" s="44"/>
      <c r="D352" s="44"/>
      <c r="E352" s="44"/>
      <c r="F352" s="44"/>
      <c r="G352" s="44"/>
      <c r="H352" s="44"/>
      <c r="I352" s="44"/>
      <c r="J352" s="44"/>
      <c r="K352" s="44"/>
      <c r="L352" s="44"/>
      <c r="M352" s="44"/>
      <c r="N352" s="44"/>
      <c r="O352" s="44"/>
    </row>
    <row r="353" spans="1:15" ht="17.25" customHeight="1">
      <c r="A353" s="44"/>
      <c r="B353" s="44"/>
      <c r="C353" s="44"/>
      <c r="D353" s="44"/>
      <c r="E353" s="44"/>
      <c r="F353" s="44"/>
      <c r="G353" s="44"/>
      <c r="H353" s="44"/>
      <c r="I353" s="44"/>
      <c r="J353" s="44"/>
      <c r="K353" s="44"/>
      <c r="L353" s="44"/>
      <c r="M353" s="44"/>
      <c r="N353" s="44"/>
      <c r="O353" s="44"/>
    </row>
    <row r="354" spans="1:15" ht="17.25" customHeight="1">
      <c r="A354" s="44"/>
      <c r="B354" s="44"/>
      <c r="C354" s="44"/>
      <c r="D354" s="44"/>
      <c r="E354" s="44"/>
      <c r="F354" s="44"/>
      <c r="G354" s="44"/>
      <c r="H354" s="44"/>
      <c r="I354" s="44"/>
      <c r="J354" s="44"/>
      <c r="K354" s="44"/>
      <c r="L354" s="44"/>
      <c r="M354" s="44"/>
      <c r="N354" s="44"/>
      <c r="O354" s="44"/>
    </row>
    <row r="355" spans="1:15" ht="17.25" customHeight="1">
      <c r="A355" s="44"/>
      <c r="B355" s="44"/>
      <c r="C355" s="44"/>
      <c r="D355" s="44"/>
      <c r="E355" s="44"/>
      <c r="F355" s="44"/>
      <c r="G355" s="44"/>
      <c r="H355" s="44"/>
      <c r="I355" s="44"/>
      <c r="J355" s="44"/>
      <c r="K355" s="44"/>
      <c r="L355" s="44"/>
      <c r="M355" s="44"/>
      <c r="N355" s="44"/>
      <c r="O355" s="44"/>
    </row>
    <row r="356" spans="1:15" ht="17.25" customHeight="1">
      <c r="A356" s="44"/>
      <c r="B356" s="44"/>
      <c r="C356" s="44"/>
      <c r="D356" s="44"/>
      <c r="E356" s="44"/>
      <c r="F356" s="44"/>
      <c r="G356" s="44"/>
      <c r="H356" s="44"/>
      <c r="I356" s="44"/>
      <c r="J356" s="44"/>
      <c r="K356" s="44"/>
      <c r="L356" s="44"/>
      <c r="M356" s="44"/>
      <c r="N356" s="44"/>
      <c r="O356" s="44"/>
    </row>
    <row r="357" spans="1:15" ht="17.25" customHeight="1">
      <c r="A357" s="44"/>
      <c r="B357" s="44"/>
      <c r="C357" s="44"/>
      <c r="D357" s="44"/>
      <c r="E357" s="44"/>
      <c r="F357" s="44"/>
      <c r="G357" s="44"/>
      <c r="H357" s="44"/>
      <c r="I357" s="44"/>
      <c r="J357" s="44"/>
      <c r="K357" s="44"/>
      <c r="L357" s="44"/>
      <c r="M357" s="44"/>
      <c r="N357" s="44"/>
      <c r="O357" s="44"/>
    </row>
    <row r="358" spans="1:15" ht="17.25" customHeight="1">
      <c r="A358" s="44"/>
      <c r="B358" s="44"/>
      <c r="C358" s="44"/>
      <c r="D358" s="44"/>
      <c r="E358" s="44"/>
      <c r="F358" s="44"/>
      <c r="G358" s="44"/>
      <c r="H358" s="44"/>
      <c r="I358" s="44"/>
      <c r="J358" s="44"/>
      <c r="K358" s="44"/>
      <c r="L358" s="44"/>
      <c r="M358" s="44"/>
      <c r="N358" s="44"/>
      <c r="O358" s="44"/>
    </row>
    <row r="359" spans="1:15" ht="17.25" customHeight="1">
      <c r="A359" s="44"/>
      <c r="B359" s="44"/>
      <c r="C359" s="44"/>
      <c r="D359" s="44"/>
      <c r="E359" s="44"/>
      <c r="F359" s="44"/>
      <c r="G359" s="44"/>
      <c r="H359" s="44"/>
      <c r="I359" s="44"/>
      <c r="J359" s="44"/>
      <c r="K359" s="44"/>
      <c r="L359" s="44"/>
      <c r="M359" s="44"/>
      <c r="N359" s="44"/>
      <c r="O359" s="44"/>
    </row>
    <row r="360" spans="1:15" ht="17.25" customHeight="1">
      <c r="A360" s="44"/>
      <c r="B360" s="44"/>
      <c r="C360" s="44"/>
      <c r="D360" s="44"/>
      <c r="E360" s="44"/>
      <c r="F360" s="44"/>
      <c r="G360" s="44"/>
      <c r="H360" s="44"/>
      <c r="I360" s="44"/>
      <c r="J360" s="44"/>
      <c r="K360" s="44"/>
      <c r="L360" s="44"/>
      <c r="M360" s="44"/>
      <c r="N360" s="44"/>
      <c r="O360" s="44"/>
    </row>
    <row r="361" spans="1:15" ht="17.25" customHeight="1">
      <c r="A361" s="44"/>
      <c r="B361" s="44"/>
      <c r="C361" s="44"/>
      <c r="D361" s="44"/>
      <c r="E361" s="44"/>
      <c r="F361" s="44"/>
      <c r="G361" s="44"/>
      <c r="H361" s="44"/>
      <c r="I361" s="44"/>
      <c r="J361" s="44"/>
      <c r="K361" s="44"/>
      <c r="L361" s="44"/>
      <c r="M361" s="44"/>
      <c r="N361" s="44"/>
      <c r="O361" s="44"/>
    </row>
    <row r="362" spans="1:15" ht="17.25" customHeight="1">
      <c r="A362" s="44"/>
      <c r="B362" s="44"/>
      <c r="C362" s="44"/>
      <c r="D362" s="44"/>
      <c r="E362" s="44"/>
      <c r="F362" s="44"/>
      <c r="G362" s="44"/>
      <c r="H362" s="44"/>
      <c r="I362" s="44"/>
      <c r="J362" s="44"/>
      <c r="K362" s="44"/>
      <c r="L362" s="44"/>
      <c r="M362" s="44"/>
      <c r="N362" s="44"/>
      <c r="O362" s="44"/>
    </row>
    <row r="363" spans="1:15" ht="17.25" customHeight="1">
      <c r="A363" s="44"/>
      <c r="B363" s="44"/>
      <c r="C363" s="44"/>
      <c r="D363" s="44"/>
      <c r="E363" s="44"/>
      <c r="F363" s="44"/>
      <c r="G363" s="44"/>
      <c r="H363" s="44"/>
      <c r="I363" s="44"/>
      <c r="J363" s="44"/>
      <c r="K363" s="44"/>
      <c r="L363" s="44"/>
      <c r="M363" s="44"/>
      <c r="N363" s="44"/>
      <c r="O363" s="44"/>
    </row>
    <row r="364" spans="1:15" ht="17.25" customHeight="1">
      <c r="A364" s="44"/>
      <c r="B364" s="44"/>
      <c r="C364" s="44"/>
      <c r="D364" s="44"/>
      <c r="E364" s="44"/>
      <c r="F364" s="44"/>
      <c r="G364" s="44"/>
      <c r="H364" s="44"/>
      <c r="I364" s="44"/>
      <c r="J364" s="44"/>
      <c r="K364" s="44"/>
      <c r="L364" s="44"/>
      <c r="M364" s="44"/>
      <c r="N364" s="44"/>
      <c r="O364" s="44"/>
    </row>
    <row r="365" spans="1:15" ht="17.25" customHeight="1">
      <c r="A365" s="44"/>
      <c r="B365" s="44"/>
      <c r="C365" s="44"/>
      <c r="D365" s="44"/>
      <c r="E365" s="44"/>
      <c r="F365" s="44"/>
      <c r="G365" s="44"/>
      <c r="H365" s="44"/>
      <c r="I365" s="44"/>
      <c r="J365" s="44"/>
      <c r="K365" s="44"/>
      <c r="L365" s="44"/>
      <c r="M365" s="44"/>
      <c r="N365" s="44"/>
      <c r="O365" s="44"/>
    </row>
    <row r="366" spans="1:15" ht="17.25" customHeight="1">
      <c r="A366" s="44"/>
      <c r="B366" s="44"/>
      <c r="C366" s="44"/>
      <c r="D366" s="44"/>
      <c r="E366" s="44"/>
      <c r="F366" s="44"/>
      <c r="G366" s="44"/>
      <c r="H366" s="44"/>
      <c r="I366" s="44"/>
      <c r="J366" s="44"/>
      <c r="K366" s="44"/>
      <c r="L366" s="44"/>
      <c r="M366" s="44"/>
      <c r="N366" s="44"/>
      <c r="O366" s="44"/>
    </row>
    <row r="367" spans="1:15" ht="17.25" customHeight="1">
      <c r="A367" s="44"/>
      <c r="B367" s="44"/>
      <c r="C367" s="44"/>
      <c r="D367" s="44"/>
      <c r="E367" s="44"/>
      <c r="F367" s="44"/>
      <c r="G367" s="44"/>
      <c r="H367" s="44"/>
      <c r="I367" s="44"/>
      <c r="J367" s="44"/>
      <c r="K367" s="44"/>
      <c r="L367" s="44"/>
      <c r="M367" s="44"/>
      <c r="N367" s="44"/>
      <c r="O367" s="44"/>
    </row>
    <row r="368" spans="1:15" ht="17.25" customHeight="1">
      <c r="A368" s="44"/>
      <c r="B368" s="44"/>
      <c r="C368" s="44"/>
      <c r="D368" s="44"/>
      <c r="E368" s="44"/>
      <c r="F368" s="44"/>
      <c r="G368" s="44"/>
      <c r="H368" s="44"/>
      <c r="I368" s="44"/>
      <c r="J368" s="44"/>
      <c r="K368" s="44"/>
      <c r="L368" s="44"/>
      <c r="M368" s="44"/>
      <c r="N368" s="44"/>
      <c r="O368" s="44"/>
    </row>
    <row r="369" spans="1:15" ht="17.25" customHeight="1">
      <c r="A369" s="44"/>
      <c r="B369" s="44"/>
      <c r="C369" s="44"/>
      <c r="D369" s="44"/>
      <c r="E369" s="44"/>
      <c r="F369" s="44"/>
      <c r="G369" s="44"/>
      <c r="H369" s="44"/>
      <c r="I369" s="44"/>
      <c r="J369" s="44"/>
      <c r="K369" s="44"/>
      <c r="L369" s="44"/>
      <c r="M369" s="44"/>
      <c r="N369" s="44"/>
      <c r="O369" s="44"/>
    </row>
    <row r="370" spans="1:15" ht="17.25" customHeight="1">
      <c r="A370" s="44"/>
      <c r="B370" s="44"/>
      <c r="C370" s="44"/>
      <c r="D370" s="44"/>
      <c r="E370" s="44"/>
      <c r="F370" s="44"/>
      <c r="G370" s="44"/>
      <c r="H370" s="44"/>
      <c r="I370" s="44"/>
      <c r="J370" s="44"/>
      <c r="K370" s="44"/>
      <c r="L370" s="44"/>
      <c r="M370" s="44"/>
      <c r="N370" s="44"/>
      <c r="O370" s="44"/>
    </row>
    <row r="371" spans="1:15" ht="17.25" customHeight="1">
      <c r="A371" s="44"/>
      <c r="B371" s="44"/>
      <c r="C371" s="44"/>
      <c r="D371" s="44"/>
      <c r="E371" s="44"/>
      <c r="F371" s="44"/>
      <c r="G371" s="44"/>
      <c r="H371" s="44"/>
      <c r="I371" s="44"/>
      <c r="J371" s="44"/>
      <c r="K371" s="44"/>
      <c r="L371" s="44"/>
      <c r="M371" s="44"/>
      <c r="N371" s="44"/>
      <c r="O371" s="44"/>
    </row>
    <row r="372" spans="1:15" ht="17.25" customHeight="1">
      <c r="A372" s="44"/>
      <c r="B372" s="44"/>
      <c r="C372" s="44"/>
      <c r="D372" s="44"/>
      <c r="E372" s="44"/>
      <c r="F372" s="44"/>
      <c r="G372" s="44"/>
      <c r="H372" s="44"/>
      <c r="I372" s="44"/>
      <c r="J372" s="44"/>
      <c r="K372" s="44"/>
      <c r="L372" s="44"/>
      <c r="M372" s="44"/>
      <c r="N372" s="44"/>
      <c r="O372" s="44"/>
    </row>
    <row r="373" spans="1:15" ht="17.25" customHeight="1">
      <c r="A373" s="44"/>
      <c r="B373" s="44"/>
      <c r="C373" s="44"/>
      <c r="D373" s="44"/>
      <c r="E373" s="44"/>
      <c r="F373" s="44"/>
      <c r="G373" s="44"/>
      <c r="H373" s="44"/>
      <c r="I373" s="44"/>
      <c r="J373" s="44"/>
      <c r="K373" s="44"/>
      <c r="L373" s="44"/>
      <c r="M373" s="44"/>
      <c r="N373" s="44"/>
      <c r="O373" s="44"/>
    </row>
    <row r="374" spans="1:15" ht="17.25" customHeight="1">
      <c r="A374" s="44"/>
      <c r="B374" s="44"/>
      <c r="C374" s="44"/>
      <c r="D374" s="44"/>
      <c r="E374" s="44"/>
      <c r="F374" s="44"/>
      <c r="G374" s="44"/>
      <c r="H374" s="44"/>
      <c r="I374" s="44"/>
      <c r="J374" s="44"/>
      <c r="K374" s="44"/>
      <c r="L374" s="44"/>
      <c r="M374" s="44"/>
      <c r="N374" s="44"/>
      <c r="O374" s="44"/>
    </row>
    <row r="375" spans="1:15" ht="17.25" customHeight="1">
      <c r="A375" s="44"/>
      <c r="B375" s="44"/>
      <c r="C375" s="44"/>
      <c r="D375" s="44"/>
      <c r="E375" s="44"/>
      <c r="F375" s="44"/>
      <c r="G375" s="44"/>
      <c r="H375" s="44"/>
      <c r="I375" s="44"/>
      <c r="J375" s="44"/>
      <c r="K375" s="44"/>
      <c r="L375" s="44"/>
      <c r="M375" s="44"/>
      <c r="N375" s="44"/>
      <c r="O375" s="44"/>
    </row>
    <row r="376" spans="1:15" ht="17.25" customHeight="1">
      <c r="A376" s="44"/>
      <c r="B376" s="44"/>
      <c r="C376" s="44"/>
      <c r="D376" s="44"/>
      <c r="E376" s="44"/>
      <c r="F376" s="44"/>
      <c r="G376" s="44"/>
      <c r="H376" s="44"/>
      <c r="I376" s="44"/>
      <c r="J376" s="44"/>
      <c r="K376" s="44"/>
      <c r="L376" s="44"/>
      <c r="M376" s="44"/>
      <c r="N376" s="44"/>
      <c r="O376" s="44"/>
    </row>
    <row r="377" spans="1:15" ht="17.25" customHeight="1">
      <c r="A377" s="44"/>
      <c r="B377" s="44"/>
      <c r="C377" s="44"/>
      <c r="D377" s="44"/>
      <c r="E377" s="44"/>
      <c r="F377" s="44"/>
      <c r="G377" s="44"/>
      <c r="H377" s="44"/>
      <c r="I377" s="44"/>
      <c r="J377" s="44"/>
      <c r="K377" s="44"/>
      <c r="L377" s="44"/>
      <c r="M377" s="44"/>
      <c r="N377" s="44"/>
      <c r="O377" s="44"/>
    </row>
    <row r="378" spans="1:15" ht="17.25" customHeight="1">
      <c r="A378" s="44"/>
      <c r="B378" s="44"/>
      <c r="C378" s="44"/>
      <c r="D378" s="44"/>
      <c r="E378" s="44"/>
      <c r="F378" s="44"/>
      <c r="G378" s="44"/>
      <c r="H378" s="44"/>
      <c r="I378" s="44"/>
      <c r="J378" s="44"/>
      <c r="K378" s="44"/>
      <c r="L378" s="44"/>
      <c r="M378" s="44"/>
      <c r="N378" s="44"/>
      <c r="O378" s="44"/>
    </row>
    <row r="379" spans="1:15" ht="17.25" customHeight="1">
      <c r="A379" s="44"/>
      <c r="B379" s="44"/>
      <c r="C379" s="44"/>
      <c r="D379" s="44"/>
      <c r="E379" s="44"/>
      <c r="F379" s="44"/>
      <c r="G379" s="44"/>
      <c r="H379" s="44"/>
      <c r="I379" s="44"/>
      <c r="J379" s="44"/>
      <c r="K379" s="44"/>
      <c r="L379" s="44"/>
      <c r="M379" s="44"/>
      <c r="N379" s="44"/>
      <c r="O379" s="44"/>
    </row>
    <row r="380" spans="1:15" ht="17.25" customHeight="1">
      <c r="A380" s="44"/>
      <c r="B380" s="44"/>
      <c r="C380" s="44"/>
      <c r="D380" s="44"/>
      <c r="E380" s="44"/>
      <c r="F380" s="44"/>
      <c r="G380" s="44"/>
      <c r="H380" s="44"/>
      <c r="I380" s="44"/>
      <c r="J380" s="44"/>
      <c r="K380" s="44"/>
      <c r="L380" s="44"/>
      <c r="M380" s="44"/>
      <c r="N380" s="44"/>
      <c r="O380" s="44"/>
    </row>
    <row r="381" spans="1:15" ht="17.25" customHeight="1">
      <c r="A381" s="44"/>
      <c r="B381" s="44"/>
      <c r="C381" s="44"/>
      <c r="D381" s="44"/>
      <c r="E381" s="44"/>
      <c r="F381" s="44"/>
      <c r="G381" s="44"/>
      <c r="H381" s="44"/>
      <c r="I381" s="44"/>
      <c r="J381" s="44"/>
      <c r="K381" s="44"/>
      <c r="L381" s="44"/>
      <c r="M381" s="44"/>
      <c r="N381" s="44"/>
      <c r="O381" s="44"/>
    </row>
    <row r="382" spans="1:15" ht="17.25" customHeight="1">
      <c r="A382" s="44"/>
      <c r="B382" s="44"/>
      <c r="C382" s="44"/>
      <c r="D382" s="44"/>
      <c r="E382" s="44"/>
      <c r="F382" s="44"/>
      <c r="G382" s="44"/>
      <c r="H382" s="44"/>
      <c r="I382" s="44"/>
      <c r="J382" s="44"/>
      <c r="K382" s="44"/>
      <c r="L382" s="44"/>
      <c r="M382" s="44"/>
      <c r="N382" s="44"/>
      <c r="O382" s="44"/>
    </row>
    <row r="383" spans="1:15" ht="17.25" customHeight="1">
      <c r="A383" s="44"/>
      <c r="B383" s="44"/>
      <c r="C383" s="44"/>
      <c r="D383" s="44"/>
      <c r="E383" s="44"/>
      <c r="F383" s="44"/>
      <c r="G383" s="44"/>
      <c r="H383" s="44"/>
      <c r="I383" s="44"/>
      <c r="J383" s="44"/>
      <c r="K383" s="44"/>
      <c r="L383" s="44"/>
      <c r="M383" s="44"/>
      <c r="N383" s="44"/>
      <c r="O383" s="44"/>
    </row>
    <row r="384" spans="1:15" ht="17.25" customHeight="1">
      <c r="A384" s="44"/>
      <c r="B384" s="44"/>
      <c r="C384" s="44"/>
      <c r="D384" s="44"/>
      <c r="E384" s="44"/>
      <c r="F384" s="44"/>
      <c r="G384" s="44"/>
      <c r="H384" s="44"/>
      <c r="I384" s="44"/>
      <c r="J384" s="44"/>
      <c r="K384" s="44"/>
      <c r="L384" s="44"/>
      <c r="M384" s="44"/>
      <c r="N384" s="44"/>
      <c r="O384" s="44"/>
    </row>
    <row r="385" spans="1:15" ht="17.25" customHeight="1">
      <c r="A385" s="44"/>
      <c r="B385" s="44"/>
      <c r="C385" s="44"/>
      <c r="D385" s="44"/>
      <c r="E385" s="44"/>
      <c r="F385" s="44"/>
      <c r="G385" s="44"/>
      <c r="H385" s="44"/>
      <c r="I385" s="44"/>
      <c r="J385" s="44"/>
      <c r="K385" s="44"/>
      <c r="L385" s="44"/>
      <c r="M385" s="44"/>
      <c r="N385" s="44"/>
      <c r="O385" s="44"/>
    </row>
    <row r="386" spans="1:15" ht="17.25" customHeight="1">
      <c r="A386" s="44"/>
      <c r="B386" s="44"/>
      <c r="C386" s="44"/>
      <c r="D386" s="44"/>
      <c r="E386" s="44"/>
      <c r="F386" s="44"/>
      <c r="G386" s="44"/>
      <c r="H386" s="44"/>
      <c r="I386" s="44"/>
      <c r="J386" s="44"/>
      <c r="K386" s="44"/>
      <c r="L386" s="44"/>
      <c r="M386" s="44"/>
      <c r="N386" s="44"/>
      <c r="O386" s="44"/>
    </row>
    <row r="387" spans="1:15" ht="17.25" customHeight="1">
      <c r="A387" s="44"/>
      <c r="B387" s="44"/>
      <c r="C387" s="44"/>
      <c r="D387" s="44"/>
      <c r="E387" s="44"/>
      <c r="F387" s="44"/>
      <c r="G387" s="44"/>
      <c r="H387" s="44"/>
      <c r="I387" s="44"/>
      <c r="J387" s="44"/>
      <c r="K387" s="44"/>
      <c r="L387" s="44"/>
      <c r="M387" s="44"/>
      <c r="N387" s="44"/>
      <c r="O387" s="44"/>
    </row>
    <row r="388" spans="1:15" ht="17.25" customHeight="1">
      <c r="A388" s="44"/>
      <c r="B388" s="44"/>
      <c r="C388" s="44"/>
      <c r="D388" s="44"/>
      <c r="E388" s="44"/>
      <c r="F388" s="44"/>
      <c r="G388" s="44"/>
      <c r="H388" s="44"/>
      <c r="I388" s="44"/>
      <c r="J388" s="44"/>
      <c r="K388" s="44"/>
      <c r="L388" s="44"/>
      <c r="M388" s="44"/>
      <c r="N388" s="44"/>
      <c r="O388" s="44"/>
    </row>
    <row r="389" spans="1:15" ht="17.25" customHeight="1">
      <c r="A389" s="44"/>
      <c r="B389" s="44"/>
      <c r="C389" s="44"/>
      <c r="D389" s="44"/>
      <c r="E389" s="44"/>
      <c r="F389" s="44"/>
      <c r="G389" s="44"/>
      <c r="H389" s="44"/>
      <c r="I389" s="44"/>
      <c r="J389" s="44"/>
      <c r="K389" s="44"/>
      <c r="L389" s="44"/>
      <c r="M389" s="44"/>
      <c r="N389" s="44"/>
      <c r="O389" s="44"/>
    </row>
    <row r="390" spans="1:15" ht="17.25" customHeight="1">
      <c r="A390" s="44"/>
      <c r="B390" s="44"/>
      <c r="C390" s="44"/>
      <c r="D390" s="44"/>
      <c r="E390" s="44"/>
      <c r="F390" s="44"/>
      <c r="G390" s="44"/>
      <c r="H390" s="44"/>
      <c r="I390" s="44"/>
      <c r="J390" s="44"/>
      <c r="K390" s="44"/>
      <c r="L390" s="44"/>
      <c r="M390" s="44"/>
      <c r="N390" s="44"/>
      <c r="O390" s="44"/>
    </row>
    <row r="391" spans="1:15" ht="17.25" customHeight="1">
      <c r="A391" s="44"/>
      <c r="B391" s="44"/>
      <c r="C391" s="44"/>
      <c r="D391" s="44"/>
      <c r="E391" s="44"/>
      <c r="F391" s="44"/>
      <c r="G391" s="44"/>
      <c r="H391" s="44"/>
      <c r="I391" s="44"/>
      <c r="J391" s="44"/>
      <c r="K391" s="44"/>
      <c r="L391" s="44"/>
      <c r="M391" s="44"/>
      <c r="N391" s="44"/>
      <c r="O391" s="44"/>
    </row>
    <row r="392" spans="1:15" ht="17.25" customHeight="1">
      <c r="A392" s="44"/>
      <c r="B392" s="44"/>
      <c r="C392" s="44"/>
      <c r="D392" s="44"/>
      <c r="E392" s="44"/>
      <c r="F392" s="44"/>
      <c r="G392" s="44"/>
      <c r="H392" s="44"/>
      <c r="I392" s="44"/>
      <c r="J392" s="44"/>
      <c r="K392" s="44"/>
      <c r="L392" s="44"/>
      <c r="M392" s="44"/>
      <c r="N392" s="44"/>
      <c r="O392" s="44"/>
    </row>
    <row r="393" spans="1:15" ht="17.25" customHeight="1">
      <c r="A393" s="44"/>
      <c r="B393" s="44"/>
      <c r="C393" s="44"/>
      <c r="D393" s="44"/>
      <c r="E393" s="44"/>
      <c r="F393" s="44"/>
      <c r="G393" s="44"/>
      <c r="H393" s="44"/>
      <c r="I393" s="44"/>
      <c r="J393" s="44"/>
      <c r="K393" s="44"/>
      <c r="L393" s="44"/>
      <c r="M393" s="44"/>
      <c r="N393" s="44"/>
      <c r="O393" s="44"/>
    </row>
    <row r="394" spans="1:15" ht="17.25" customHeight="1">
      <c r="A394" s="44"/>
      <c r="B394" s="44"/>
      <c r="C394" s="44"/>
      <c r="D394" s="44"/>
      <c r="E394" s="44"/>
      <c r="F394" s="44"/>
      <c r="G394" s="44"/>
      <c r="H394" s="44"/>
      <c r="I394" s="44"/>
      <c r="J394" s="44"/>
      <c r="K394" s="44"/>
      <c r="L394" s="44"/>
      <c r="M394" s="44"/>
      <c r="N394" s="44"/>
      <c r="O394" s="44"/>
    </row>
    <row r="395" spans="1:15" ht="17.25" customHeight="1">
      <c r="A395" s="44"/>
      <c r="B395" s="44"/>
      <c r="C395" s="44"/>
      <c r="D395" s="44"/>
      <c r="E395" s="44"/>
      <c r="F395" s="44"/>
      <c r="G395" s="44"/>
      <c r="H395" s="44"/>
      <c r="I395" s="44"/>
      <c r="J395" s="44"/>
      <c r="K395" s="44"/>
      <c r="L395" s="44"/>
      <c r="M395" s="44"/>
      <c r="N395" s="44"/>
      <c r="O395" s="44"/>
    </row>
    <row r="396" spans="1:15" ht="17.25" customHeight="1">
      <c r="A396" s="44"/>
      <c r="B396" s="44"/>
      <c r="C396" s="44"/>
      <c r="D396" s="44"/>
      <c r="E396" s="44"/>
      <c r="F396" s="44"/>
      <c r="G396" s="44"/>
      <c r="H396" s="44"/>
      <c r="I396" s="44"/>
      <c r="J396" s="44"/>
      <c r="K396" s="44"/>
      <c r="L396" s="44"/>
      <c r="M396" s="44"/>
      <c r="N396" s="44"/>
      <c r="O396" s="44"/>
    </row>
    <row r="397" spans="1:15" ht="17.25" customHeight="1">
      <c r="A397" s="44"/>
      <c r="B397" s="44"/>
      <c r="C397" s="44"/>
      <c r="D397" s="44"/>
      <c r="E397" s="44"/>
      <c r="F397" s="44"/>
      <c r="G397" s="44"/>
      <c r="H397" s="44"/>
      <c r="I397" s="44"/>
      <c r="J397" s="44"/>
      <c r="K397" s="44"/>
      <c r="L397" s="44"/>
      <c r="M397" s="44"/>
      <c r="N397" s="44"/>
      <c r="O397" s="44"/>
    </row>
    <row r="398" spans="1:15" ht="17.25" customHeight="1">
      <c r="A398" s="44"/>
      <c r="B398" s="44"/>
      <c r="C398" s="44"/>
      <c r="D398" s="44"/>
      <c r="E398" s="44"/>
      <c r="F398" s="44"/>
      <c r="G398" s="44"/>
      <c r="H398" s="44"/>
      <c r="I398" s="44"/>
      <c r="J398" s="44"/>
      <c r="K398" s="44"/>
      <c r="L398" s="44"/>
      <c r="M398" s="44"/>
      <c r="N398" s="44"/>
      <c r="O398" s="44"/>
    </row>
    <row r="399" spans="1:15" ht="17.25" customHeight="1">
      <c r="A399" s="44"/>
      <c r="B399" s="44"/>
      <c r="C399" s="44"/>
      <c r="D399" s="44"/>
      <c r="E399" s="44"/>
      <c r="F399" s="44"/>
      <c r="G399" s="44"/>
      <c r="H399" s="44"/>
      <c r="I399" s="44"/>
      <c r="J399" s="44"/>
      <c r="K399" s="44"/>
      <c r="L399" s="44"/>
      <c r="M399" s="44"/>
      <c r="N399" s="44"/>
      <c r="O399" s="44"/>
    </row>
    <row r="400" spans="1:15" ht="17.25" customHeight="1">
      <c r="A400" s="44"/>
      <c r="B400" s="44"/>
      <c r="C400" s="44"/>
      <c r="D400" s="44"/>
      <c r="E400" s="44"/>
      <c r="F400" s="44"/>
      <c r="G400" s="44"/>
      <c r="H400" s="44"/>
      <c r="I400" s="44"/>
      <c r="J400" s="44"/>
      <c r="K400" s="44"/>
      <c r="L400" s="44"/>
      <c r="M400" s="44"/>
      <c r="N400" s="44"/>
      <c r="O400" s="44"/>
    </row>
    <row r="401" spans="1:15" ht="17.25" customHeight="1">
      <c r="A401" s="44"/>
      <c r="B401" s="44"/>
      <c r="C401" s="44"/>
      <c r="D401" s="44"/>
      <c r="E401" s="44"/>
      <c r="F401" s="44"/>
      <c r="G401" s="44"/>
      <c r="H401" s="44"/>
      <c r="I401" s="44"/>
      <c r="J401" s="44"/>
      <c r="K401" s="44"/>
      <c r="L401" s="44"/>
      <c r="M401" s="44"/>
      <c r="N401" s="44"/>
      <c r="O401" s="44"/>
    </row>
    <row r="402" spans="1:15" ht="17.25" customHeight="1">
      <c r="A402" s="44"/>
      <c r="B402" s="44"/>
      <c r="C402" s="44"/>
      <c r="D402" s="44"/>
      <c r="E402" s="44"/>
      <c r="F402" s="44"/>
      <c r="G402" s="44"/>
      <c r="H402" s="44"/>
      <c r="I402" s="44"/>
      <c r="J402" s="44"/>
      <c r="K402" s="44"/>
      <c r="L402" s="44"/>
      <c r="M402" s="44"/>
      <c r="N402" s="44"/>
      <c r="O402" s="44"/>
    </row>
    <row r="403" spans="1:15" ht="17.25" customHeight="1">
      <c r="A403" s="44"/>
      <c r="B403" s="44"/>
      <c r="C403" s="44"/>
      <c r="D403" s="44"/>
      <c r="E403" s="44"/>
      <c r="F403" s="44"/>
      <c r="G403" s="44"/>
      <c r="H403" s="44"/>
      <c r="I403" s="44"/>
      <c r="J403" s="44"/>
      <c r="K403" s="44"/>
      <c r="L403" s="44"/>
      <c r="M403" s="44"/>
      <c r="N403" s="44"/>
      <c r="O403" s="44"/>
    </row>
    <row r="404" spans="1:15" ht="17.25" customHeight="1">
      <c r="A404" s="44"/>
      <c r="B404" s="44"/>
      <c r="C404" s="44"/>
      <c r="D404" s="44"/>
      <c r="E404" s="44"/>
      <c r="F404" s="44"/>
      <c r="G404" s="44"/>
      <c r="H404" s="44"/>
      <c r="I404" s="44"/>
      <c r="J404" s="44"/>
      <c r="K404" s="44"/>
      <c r="L404" s="44"/>
      <c r="M404" s="44"/>
      <c r="N404" s="44"/>
      <c r="O404" s="44"/>
    </row>
    <row r="405" spans="1:15" ht="17.25" customHeight="1">
      <c r="A405" s="44"/>
      <c r="B405" s="44"/>
      <c r="C405" s="44"/>
      <c r="D405" s="44"/>
      <c r="E405" s="44"/>
      <c r="F405" s="44"/>
      <c r="G405" s="44"/>
      <c r="H405" s="44"/>
      <c r="I405" s="44"/>
      <c r="J405" s="44"/>
      <c r="K405" s="44"/>
      <c r="L405" s="44"/>
      <c r="M405" s="44"/>
      <c r="N405" s="44"/>
      <c r="O405" s="44"/>
    </row>
    <row r="406" spans="1:15" ht="17.25" customHeight="1">
      <c r="A406" s="44"/>
      <c r="B406" s="44"/>
      <c r="C406" s="44"/>
      <c r="D406" s="44"/>
      <c r="E406" s="44"/>
      <c r="F406" s="44"/>
      <c r="G406" s="44"/>
      <c r="H406" s="44"/>
      <c r="I406" s="44"/>
      <c r="J406" s="44"/>
      <c r="K406" s="44"/>
      <c r="L406" s="44"/>
      <c r="M406" s="44"/>
      <c r="N406" s="44"/>
      <c r="O406" s="44"/>
    </row>
    <row r="407" spans="1:15" ht="17.25" customHeight="1">
      <c r="A407" s="44"/>
      <c r="B407" s="44"/>
      <c r="C407" s="44"/>
      <c r="D407" s="44"/>
      <c r="E407" s="44"/>
      <c r="F407" s="44"/>
      <c r="G407" s="44"/>
      <c r="H407" s="44"/>
      <c r="I407" s="44"/>
      <c r="J407" s="44"/>
      <c r="K407" s="44"/>
      <c r="L407" s="44"/>
      <c r="M407" s="44"/>
      <c r="N407" s="44"/>
      <c r="O407" s="44"/>
    </row>
    <row r="408" spans="1:15" ht="17.25" customHeight="1">
      <c r="A408" s="44"/>
      <c r="B408" s="44"/>
      <c r="C408" s="44"/>
      <c r="D408" s="44"/>
      <c r="E408" s="44"/>
      <c r="F408" s="44"/>
      <c r="G408" s="44"/>
      <c r="H408" s="44"/>
      <c r="I408" s="44"/>
      <c r="J408" s="44"/>
      <c r="K408" s="44"/>
      <c r="L408" s="44"/>
      <c r="M408" s="44"/>
      <c r="N408" s="44"/>
      <c r="O408" s="44"/>
    </row>
    <row r="409" spans="1:15" ht="17.25" customHeight="1">
      <c r="A409" s="44"/>
      <c r="B409" s="44"/>
      <c r="C409" s="44"/>
      <c r="D409" s="44"/>
      <c r="E409" s="44"/>
      <c r="F409" s="44"/>
      <c r="G409" s="44"/>
      <c r="H409" s="44"/>
      <c r="I409" s="44"/>
      <c r="J409" s="44"/>
      <c r="K409" s="44"/>
      <c r="L409" s="44"/>
      <c r="M409" s="44"/>
      <c r="N409" s="44"/>
      <c r="O409" s="44"/>
    </row>
    <row r="410" spans="1:15" ht="17.25" customHeight="1">
      <c r="A410" s="44"/>
      <c r="B410" s="44"/>
      <c r="C410" s="44"/>
      <c r="D410" s="44"/>
      <c r="E410" s="44"/>
      <c r="F410" s="44"/>
      <c r="G410" s="44"/>
      <c r="H410" s="44"/>
      <c r="I410" s="44"/>
      <c r="J410" s="44"/>
      <c r="K410" s="44"/>
      <c r="L410" s="44"/>
      <c r="M410" s="44"/>
      <c r="N410" s="44"/>
      <c r="O410" s="44"/>
    </row>
    <row r="411" spans="1:15" ht="17.25" customHeight="1">
      <c r="A411" s="44"/>
      <c r="B411" s="44"/>
      <c r="C411" s="44"/>
      <c r="D411" s="44"/>
      <c r="E411" s="44"/>
      <c r="F411" s="44"/>
      <c r="G411" s="44"/>
      <c r="H411" s="44"/>
      <c r="I411" s="44"/>
      <c r="J411" s="44"/>
      <c r="K411" s="44"/>
      <c r="L411" s="44"/>
      <c r="M411" s="44"/>
      <c r="N411" s="44"/>
      <c r="O411" s="44"/>
    </row>
    <row r="412" spans="1:15" ht="17.25" customHeight="1">
      <c r="A412" s="44"/>
      <c r="B412" s="44"/>
      <c r="C412" s="44"/>
      <c r="D412" s="44"/>
      <c r="E412" s="44"/>
      <c r="F412" s="44"/>
      <c r="G412" s="44"/>
      <c r="H412" s="44"/>
      <c r="I412" s="44"/>
      <c r="J412" s="44"/>
      <c r="K412" s="44"/>
      <c r="L412" s="44"/>
      <c r="M412" s="44"/>
      <c r="N412" s="44"/>
      <c r="O412" s="44"/>
    </row>
    <row r="413" spans="1:15" ht="17.25" customHeight="1">
      <c r="A413" s="44"/>
      <c r="B413" s="44"/>
      <c r="C413" s="44"/>
      <c r="D413" s="44"/>
      <c r="E413" s="44"/>
      <c r="F413" s="44"/>
      <c r="G413" s="44"/>
      <c r="H413" s="44"/>
      <c r="I413" s="44"/>
      <c r="J413" s="44"/>
      <c r="K413" s="44"/>
      <c r="L413" s="44"/>
      <c r="M413" s="44"/>
      <c r="N413" s="44"/>
      <c r="O413" s="44"/>
    </row>
    <row r="414" spans="1:15" ht="17.25" customHeight="1">
      <c r="A414" s="44"/>
      <c r="B414" s="44"/>
      <c r="C414" s="44"/>
      <c r="D414" s="44"/>
      <c r="E414" s="44"/>
      <c r="F414" s="44"/>
      <c r="G414" s="44"/>
      <c r="H414" s="44"/>
      <c r="I414" s="44"/>
      <c r="J414" s="44"/>
      <c r="K414" s="44"/>
      <c r="L414" s="44"/>
      <c r="M414" s="44"/>
      <c r="N414" s="44"/>
      <c r="O414" s="44"/>
    </row>
    <row r="415" spans="1:15" ht="17.25" customHeight="1">
      <c r="A415" s="44"/>
      <c r="B415" s="44"/>
      <c r="C415" s="44"/>
      <c r="D415" s="44"/>
      <c r="E415" s="44"/>
      <c r="F415" s="44"/>
      <c r="G415" s="44"/>
      <c r="H415" s="44"/>
      <c r="I415" s="44"/>
      <c r="J415" s="44"/>
      <c r="K415" s="44"/>
      <c r="L415" s="44"/>
      <c r="M415" s="44"/>
      <c r="N415" s="44"/>
      <c r="O415" s="44"/>
    </row>
    <row r="416" spans="1:15" ht="17.25" customHeight="1">
      <c r="A416" s="44"/>
      <c r="B416" s="44"/>
      <c r="C416" s="44"/>
      <c r="D416" s="44"/>
      <c r="E416" s="44"/>
      <c r="F416" s="44"/>
      <c r="G416" s="44"/>
      <c r="H416" s="44"/>
      <c r="I416" s="44"/>
      <c r="J416" s="44"/>
      <c r="K416" s="44"/>
      <c r="L416" s="44"/>
      <c r="M416" s="44"/>
      <c r="N416" s="44"/>
      <c r="O416" s="44"/>
    </row>
    <row r="417" spans="1:15" ht="17.25" customHeight="1">
      <c r="A417" s="44"/>
      <c r="B417" s="44"/>
      <c r="C417" s="44"/>
      <c r="D417" s="44"/>
      <c r="E417" s="44"/>
      <c r="F417" s="44"/>
      <c r="G417" s="44"/>
      <c r="H417" s="44"/>
      <c r="I417" s="44"/>
      <c r="J417" s="44"/>
      <c r="K417" s="44"/>
      <c r="L417" s="44"/>
      <c r="M417" s="44"/>
      <c r="N417" s="44"/>
      <c r="O417" s="44"/>
    </row>
    <row r="418" spans="1:15" ht="17.25" customHeight="1">
      <c r="A418" s="44"/>
      <c r="B418" s="44"/>
      <c r="C418" s="44"/>
      <c r="D418" s="44"/>
      <c r="E418" s="44"/>
      <c r="F418" s="44"/>
      <c r="G418" s="44"/>
      <c r="H418" s="44"/>
      <c r="I418" s="44"/>
      <c r="J418" s="44"/>
      <c r="K418" s="44"/>
      <c r="L418" s="44"/>
      <c r="M418" s="44"/>
      <c r="N418" s="44"/>
      <c r="O418" s="44"/>
    </row>
    <row r="419" spans="1:15" ht="17.25" customHeight="1">
      <c r="A419" s="44"/>
      <c r="B419" s="44"/>
      <c r="C419" s="44"/>
      <c r="D419" s="44"/>
      <c r="E419" s="44"/>
      <c r="F419" s="44"/>
      <c r="G419" s="44"/>
      <c r="H419" s="44"/>
      <c r="I419" s="44"/>
      <c r="J419" s="44"/>
      <c r="K419" s="44"/>
      <c r="L419" s="44"/>
      <c r="M419" s="44"/>
      <c r="N419" s="44"/>
      <c r="O419" s="44"/>
    </row>
    <row r="420" spans="1:15" ht="17.25" customHeight="1">
      <c r="A420" s="44"/>
      <c r="B420" s="44"/>
      <c r="C420" s="44"/>
      <c r="D420" s="44"/>
      <c r="E420" s="44"/>
      <c r="F420" s="44"/>
      <c r="G420" s="44"/>
      <c r="H420" s="44"/>
      <c r="I420" s="44"/>
      <c r="J420" s="44"/>
      <c r="K420" s="44"/>
      <c r="L420" s="44"/>
      <c r="M420" s="44"/>
      <c r="N420" s="44"/>
      <c r="O420" s="44"/>
    </row>
    <row r="421" spans="1:15" ht="17.25" customHeight="1">
      <c r="A421" s="44"/>
      <c r="B421" s="44"/>
      <c r="C421" s="44"/>
      <c r="D421" s="44"/>
      <c r="E421" s="44"/>
      <c r="F421" s="44"/>
      <c r="G421" s="44"/>
      <c r="H421" s="44"/>
      <c r="I421" s="44"/>
      <c r="J421" s="44"/>
      <c r="K421" s="44"/>
      <c r="L421" s="44"/>
      <c r="M421" s="44"/>
      <c r="N421" s="44"/>
      <c r="O421" s="44"/>
    </row>
    <row r="422" spans="1:15" ht="17.25" customHeight="1">
      <c r="A422" s="44"/>
      <c r="B422" s="44"/>
      <c r="C422" s="44"/>
      <c r="D422" s="44"/>
      <c r="E422" s="44"/>
      <c r="F422" s="44"/>
      <c r="G422" s="44"/>
      <c r="H422" s="44"/>
      <c r="I422" s="44"/>
      <c r="J422" s="44"/>
      <c r="K422" s="44"/>
      <c r="L422" s="44"/>
      <c r="M422" s="44"/>
      <c r="N422" s="44"/>
      <c r="O422" s="44"/>
    </row>
    <row r="423" spans="1:15" ht="17.25" customHeight="1">
      <c r="A423" s="44"/>
      <c r="B423" s="44"/>
      <c r="C423" s="44"/>
      <c r="D423" s="44"/>
      <c r="E423" s="44"/>
      <c r="F423" s="44"/>
      <c r="G423" s="44"/>
      <c r="H423" s="44"/>
      <c r="I423" s="44"/>
      <c r="J423" s="44"/>
      <c r="K423" s="44"/>
      <c r="L423" s="44"/>
      <c r="M423" s="44"/>
      <c r="N423" s="44"/>
      <c r="O423" s="44"/>
    </row>
    <row r="424" spans="1:15" ht="17.25" customHeight="1">
      <c r="A424" s="44"/>
      <c r="B424" s="44"/>
      <c r="C424" s="44"/>
      <c r="D424" s="44"/>
      <c r="E424" s="44"/>
      <c r="F424" s="44"/>
      <c r="G424" s="44"/>
      <c r="H424" s="44"/>
      <c r="I424" s="44"/>
      <c r="J424" s="44"/>
      <c r="K424" s="44"/>
      <c r="L424" s="44"/>
      <c r="M424" s="44"/>
      <c r="N424" s="44"/>
      <c r="O424" s="44"/>
    </row>
    <row r="425" spans="1:15" ht="17.25" customHeight="1">
      <c r="A425" s="44"/>
      <c r="B425" s="44"/>
      <c r="C425" s="44"/>
      <c r="D425" s="44"/>
      <c r="E425" s="44"/>
      <c r="F425" s="44"/>
      <c r="G425" s="44"/>
      <c r="H425" s="44"/>
      <c r="I425" s="44"/>
      <c r="J425" s="44"/>
      <c r="K425" s="44"/>
      <c r="L425" s="44"/>
      <c r="M425" s="44"/>
      <c r="N425" s="44"/>
      <c r="O425" s="44"/>
    </row>
    <row r="426" spans="1:15" ht="17.25" customHeight="1">
      <c r="A426" s="44"/>
      <c r="B426" s="44"/>
      <c r="C426" s="44"/>
      <c r="D426" s="44"/>
      <c r="E426" s="44"/>
      <c r="F426" s="44"/>
      <c r="G426" s="44"/>
      <c r="H426" s="44"/>
      <c r="I426" s="44"/>
      <c r="J426" s="44"/>
      <c r="K426" s="44"/>
      <c r="L426" s="44"/>
      <c r="M426" s="44"/>
      <c r="N426" s="44"/>
      <c r="O426" s="44"/>
    </row>
    <row r="427" spans="1:15" ht="17.25" customHeight="1">
      <c r="A427" s="44"/>
      <c r="B427" s="44"/>
      <c r="C427" s="44"/>
      <c r="D427" s="44"/>
      <c r="E427" s="44"/>
      <c r="F427" s="44"/>
      <c r="G427" s="44"/>
      <c r="H427" s="44"/>
      <c r="I427" s="44"/>
      <c r="J427" s="44"/>
      <c r="K427" s="44"/>
      <c r="L427" s="44"/>
      <c r="M427" s="44"/>
      <c r="N427" s="44"/>
      <c r="O427" s="44"/>
    </row>
    <row r="428" spans="1:15" ht="17.25" customHeight="1">
      <c r="A428" s="44"/>
      <c r="B428" s="44"/>
      <c r="C428" s="44"/>
      <c r="D428" s="44"/>
      <c r="E428" s="44"/>
      <c r="F428" s="44"/>
      <c r="G428" s="44"/>
      <c r="H428" s="44"/>
      <c r="I428" s="44"/>
      <c r="J428" s="44"/>
      <c r="K428" s="44"/>
      <c r="L428" s="44"/>
      <c r="M428" s="44"/>
      <c r="N428" s="44"/>
      <c r="O428" s="44"/>
    </row>
    <row r="429" spans="1:15" ht="17.25" customHeight="1">
      <c r="A429" s="44"/>
      <c r="B429" s="44"/>
      <c r="C429" s="44"/>
      <c r="D429" s="44"/>
      <c r="E429" s="44"/>
      <c r="F429" s="44"/>
      <c r="G429" s="44"/>
      <c r="H429" s="44"/>
      <c r="I429" s="44"/>
      <c r="J429" s="44"/>
      <c r="K429" s="44"/>
      <c r="L429" s="44"/>
      <c r="M429" s="44"/>
      <c r="N429" s="44"/>
      <c r="O429" s="44"/>
    </row>
    <row r="430" spans="1:15" ht="17.25" customHeight="1">
      <c r="A430" s="44"/>
      <c r="B430" s="44"/>
      <c r="C430" s="44"/>
      <c r="D430" s="44"/>
      <c r="E430" s="44"/>
      <c r="F430" s="44"/>
      <c r="G430" s="44"/>
      <c r="H430" s="44"/>
      <c r="I430" s="44"/>
      <c r="J430" s="44"/>
      <c r="K430" s="44"/>
      <c r="L430" s="44"/>
      <c r="M430" s="44"/>
      <c r="N430" s="44"/>
      <c r="O430" s="44"/>
    </row>
    <row r="431" spans="1:15" ht="17.25" customHeight="1">
      <c r="A431" s="44"/>
      <c r="B431" s="44"/>
      <c r="C431" s="44"/>
      <c r="D431" s="44"/>
      <c r="E431" s="44"/>
      <c r="F431" s="44"/>
      <c r="G431" s="44"/>
      <c r="H431" s="44"/>
      <c r="I431" s="44"/>
      <c r="J431" s="44"/>
      <c r="K431" s="44"/>
      <c r="L431" s="44"/>
      <c r="M431" s="44"/>
      <c r="N431" s="44"/>
      <c r="O431" s="44"/>
    </row>
    <row r="432" spans="1:15" ht="17.25" customHeight="1">
      <c r="A432" s="44"/>
      <c r="B432" s="44"/>
      <c r="C432" s="44"/>
      <c r="D432" s="44"/>
      <c r="E432" s="44"/>
      <c r="F432" s="44"/>
      <c r="G432" s="44"/>
      <c r="H432" s="44"/>
      <c r="I432" s="44"/>
      <c r="J432" s="44"/>
      <c r="K432" s="44"/>
      <c r="L432" s="44"/>
      <c r="M432" s="44"/>
      <c r="N432" s="44"/>
      <c r="O432" s="44"/>
    </row>
    <row r="433" spans="1:15" ht="17.25" customHeight="1">
      <c r="A433" s="44"/>
      <c r="B433" s="44"/>
      <c r="C433" s="44"/>
      <c r="D433" s="44"/>
      <c r="E433" s="44"/>
      <c r="F433" s="44"/>
      <c r="G433" s="44"/>
      <c r="H433" s="44"/>
      <c r="I433" s="44"/>
      <c r="J433" s="44"/>
      <c r="K433" s="44"/>
      <c r="L433" s="44"/>
      <c r="M433" s="44"/>
      <c r="N433" s="44"/>
      <c r="O433" s="44"/>
    </row>
    <row r="434" spans="1:15" ht="17.25" customHeight="1">
      <c r="A434" s="44"/>
      <c r="B434" s="44"/>
      <c r="C434" s="44"/>
      <c r="D434" s="44"/>
      <c r="E434" s="44"/>
      <c r="F434" s="44"/>
      <c r="G434" s="44"/>
      <c r="H434" s="44"/>
      <c r="I434" s="44"/>
      <c r="J434" s="44"/>
      <c r="K434" s="44"/>
      <c r="L434" s="44"/>
      <c r="M434" s="44"/>
      <c r="N434" s="44"/>
      <c r="O434" s="44"/>
    </row>
    <row r="435" spans="1:15" ht="17.25" customHeight="1">
      <c r="A435" s="44"/>
      <c r="B435" s="44"/>
      <c r="C435" s="44"/>
      <c r="D435" s="44"/>
      <c r="E435" s="44"/>
      <c r="F435" s="44"/>
      <c r="G435" s="44"/>
      <c r="H435" s="44"/>
      <c r="I435" s="44"/>
      <c r="J435" s="44"/>
      <c r="K435" s="44"/>
      <c r="L435" s="44"/>
      <c r="M435" s="44"/>
      <c r="N435" s="44"/>
      <c r="O435" s="44"/>
    </row>
    <row r="436" spans="1:15" ht="17.25" customHeight="1">
      <c r="A436" s="44"/>
      <c r="B436" s="44"/>
      <c r="C436" s="44"/>
      <c r="D436" s="44"/>
      <c r="E436" s="44"/>
      <c r="F436" s="44"/>
      <c r="G436" s="44"/>
      <c r="H436" s="44"/>
      <c r="I436" s="44"/>
      <c r="J436" s="44"/>
      <c r="K436" s="44"/>
      <c r="L436" s="44"/>
      <c r="M436" s="44"/>
      <c r="N436" s="44"/>
      <c r="O436" s="44"/>
    </row>
    <row r="437" spans="1:15" ht="17.25" customHeight="1">
      <c r="A437" s="44"/>
      <c r="B437" s="44"/>
      <c r="C437" s="44"/>
      <c r="D437" s="44"/>
      <c r="E437" s="44"/>
      <c r="F437" s="44"/>
      <c r="G437" s="44"/>
      <c r="H437" s="44"/>
      <c r="I437" s="44"/>
      <c r="J437" s="44"/>
      <c r="K437" s="44"/>
      <c r="L437" s="44"/>
      <c r="M437" s="44"/>
      <c r="N437" s="44"/>
      <c r="O437" s="44"/>
    </row>
    <row r="438" spans="1:15" ht="17.25" customHeight="1">
      <c r="A438" s="44"/>
      <c r="B438" s="44"/>
      <c r="C438" s="44"/>
      <c r="D438" s="44"/>
      <c r="E438" s="44"/>
      <c r="F438" s="44"/>
      <c r="G438" s="44"/>
      <c r="H438" s="44"/>
      <c r="I438" s="44"/>
      <c r="J438" s="44"/>
      <c r="K438" s="44"/>
      <c r="L438" s="44"/>
      <c r="M438" s="44"/>
      <c r="N438" s="44"/>
      <c r="O438" s="44"/>
    </row>
    <row r="439" spans="1:15" ht="17.25" customHeight="1">
      <c r="A439" s="44"/>
      <c r="B439" s="44"/>
      <c r="C439" s="44"/>
      <c r="D439" s="44"/>
      <c r="E439" s="44"/>
      <c r="F439" s="44"/>
      <c r="G439" s="44"/>
      <c r="H439" s="44"/>
      <c r="I439" s="44"/>
      <c r="J439" s="44"/>
      <c r="K439" s="44"/>
      <c r="L439" s="44"/>
      <c r="M439" s="44"/>
      <c r="N439" s="44"/>
      <c r="O439" s="44"/>
    </row>
    <row r="440" spans="1:15" ht="17.25" customHeight="1">
      <c r="A440" s="44"/>
      <c r="B440" s="44"/>
      <c r="C440" s="44"/>
      <c r="D440" s="44"/>
      <c r="E440" s="44"/>
      <c r="F440" s="44"/>
      <c r="G440" s="44"/>
      <c r="H440" s="44"/>
      <c r="I440" s="44"/>
      <c r="J440" s="44"/>
      <c r="K440" s="44"/>
      <c r="L440" s="44"/>
      <c r="M440" s="44"/>
      <c r="N440" s="44"/>
      <c r="O440" s="44"/>
    </row>
    <row r="441" spans="1:15" ht="17.25" customHeight="1">
      <c r="A441" s="44"/>
      <c r="B441" s="44"/>
      <c r="C441" s="44"/>
      <c r="D441" s="44"/>
      <c r="E441" s="44"/>
      <c r="F441" s="44"/>
      <c r="G441" s="44"/>
      <c r="H441" s="44"/>
      <c r="I441" s="44"/>
      <c r="J441" s="44"/>
      <c r="K441" s="44"/>
      <c r="L441" s="44"/>
      <c r="M441" s="44"/>
      <c r="N441" s="44"/>
      <c r="O441" s="44"/>
    </row>
    <row r="442" spans="1:15" ht="17.25" customHeight="1">
      <c r="A442" s="44"/>
      <c r="B442" s="44"/>
      <c r="C442" s="44"/>
      <c r="D442" s="44"/>
      <c r="E442" s="44"/>
      <c r="F442" s="44"/>
      <c r="G442" s="44"/>
      <c r="H442" s="44"/>
      <c r="I442" s="44"/>
      <c r="J442" s="44"/>
      <c r="K442" s="44"/>
      <c r="L442" s="44"/>
      <c r="M442" s="44"/>
      <c r="N442" s="44"/>
      <c r="O442" s="44"/>
    </row>
    <row r="443" spans="1:15" ht="17.25" customHeight="1">
      <c r="A443" s="44"/>
      <c r="B443" s="44"/>
      <c r="C443" s="44"/>
      <c r="D443" s="44"/>
      <c r="E443" s="44"/>
      <c r="F443" s="44"/>
      <c r="G443" s="44"/>
      <c r="H443" s="44"/>
      <c r="I443" s="44"/>
      <c r="J443" s="44"/>
      <c r="K443" s="44"/>
      <c r="L443" s="44"/>
      <c r="M443" s="44"/>
      <c r="N443" s="44"/>
      <c r="O443" s="44"/>
    </row>
    <row r="444" spans="1:15" ht="17.25" customHeight="1">
      <c r="A444" s="44"/>
      <c r="B444" s="44"/>
      <c r="C444" s="44"/>
      <c r="D444" s="44"/>
      <c r="E444" s="44"/>
      <c r="F444" s="44"/>
      <c r="G444" s="44"/>
      <c r="H444" s="44"/>
      <c r="I444" s="44"/>
      <c r="J444" s="44"/>
      <c r="K444" s="44"/>
      <c r="L444" s="44"/>
      <c r="M444" s="44"/>
      <c r="N444" s="44"/>
      <c r="O444" s="44"/>
    </row>
    <row r="445" spans="1:15" ht="17.25" customHeight="1">
      <c r="A445" s="44"/>
      <c r="B445" s="44"/>
      <c r="C445" s="44"/>
      <c r="D445" s="44"/>
      <c r="E445" s="44"/>
      <c r="F445" s="44"/>
      <c r="G445" s="44"/>
      <c r="H445" s="44"/>
      <c r="I445" s="44"/>
      <c r="J445" s="44"/>
      <c r="K445" s="44"/>
      <c r="L445" s="44"/>
      <c r="M445" s="44"/>
      <c r="N445" s="44"/>
      <c r="O445" s="44"/>
    </row>
    <row r="446" spans="1:15" ht="17.25" customHeight="1">
      <c r="A446" s="44"/>
      <c r="B446" s="44"/>
      <c r="C446" s="44"/>
      <c r="D446" s="44"/>
      <c r="E446" s="44"/>
      <c r="F446" s="44"/>
      <c r="G446" s="44"/>
      <c r="H446" s="44"/>
      <c r="I446" s="44"/>
      <c r="J446" s="44"/>
      <c r="K446" s="44"/>
      <c r="L446" s="44"/>
      <c r="M446" s="44"/>
      <c r="N446" s="44"/>
      <c r="O446" s="44"/>
    </row>
    <row r="447" spans="1:15" ht="17.25" customHeight="1">
      <c r="A447" s="44"/>
      <c r="B447" s="44"/>
      <c r="C447" s="44"/>
      <c r="D447" s="44"/>
      <c r="E447" s="44"/>
      <c r="F447" s="44"/>
      <c r="G447" s="44"/>
      <c r="H447" s="44"/>
      <c r="I447" s="44"/>
      <c r="J447" s="44"/>
      <c r="K447" s="44"/>
      <c r="L447" s="44"/>
      <c r="M447" s="44"/>
      <c r="N447" s="44"/>
      <c r="O447" s="44"/>
    </row>
    <row r="448" spans="1:15" ht="17.25" customHeight="1">
      <c r="A448" s="44"/>
      <c r="B448" s="44"/>
      <c r="C448" s="44"/>
      <c r="D448" s="44"/>
      <c r="E448" s="44"/>
      <c r="F448" s="44"/>
      <c r="G448" s="44"/>
      <c r="H448" s="44"/>
      <c r="I448" s="44"/>
      <c r="J448" s="44"/>
      <c r="K448" s="44"/>
      <c r="L448" s="44"/>
      <c r="M448" s="44"/>
      <c r="N448" s="44"/>
      <c r="O448" s="44"/>
    </row>
    <row r="449" spans="1:15" ht="17.25" customHeight="1">
      <c r="A449" s="44"/>
      <c r="B449" s="44"/>
      <c r="C449" s="44"/>
      <c r="D449" s="44"/>
      <c r="E449" s="44"/>
      <c r="F449" s="44"/>
      <c r="G449" s="44"/>
      <c r="H449" s="44"/>
      <c r="I449" s="44"/>
      <c r="J449" s="44"/>
      <c r="K449" s="44"/>
      <c r="L449" s="44"/>
      <c r="M449" s="44"/>
      <c r="N449" s="44"/>
      <c r="O449" s="44"/>
    </row>
    <row r="450" spans="1:15" ht="17.25" customHeight="1">
      <c r="A450" s="44"/>
      <c r="B450" s="44"/>
      <c r="C450" s="44"/>
      <c r="D450" s="44"/>
      <c r="E450" s="44"/>
      <c r="F450" s="44"/>
      <c r="G450" s="44"/>
      <c r="H450" s="44"/>
      <c r="I450" s="44"/>
      <c r="J450" s="44"/>
      <c r="K450" s="44"/>
      <c r="L450" s="44"/>
      <c r="M450" s="44"/>
      <c r="N450" s="44"/>
      <c r="O450" s="44"/>
    </row>
    <row r="451" spans="1:15" ht="17.25" customHeight="1">
      <c r="A451" s="44"/>
      <c r="B451" s="44"/>
      <c r="C451" s="44"/>
      <c r="D451" s="44"/>
      <c r="E451" s="44"/>
      <c r="F451" s="44"/>
      <c r="G451" s="44"/>
      <c r="H451" s="44"/>
      <c r="I451" s="44"/>
      <c r="J451" s="44"/>
      <c r="K451" s="44"/>
      <c r="L451" s="44"/>
      <c r="M451" s="44"/>
      <c r="N451" s="44"/>
      <c r="O451" s="44"/>
    </row>
    <row r="452" spans="1:15" ht="17.25" customHeight="1">
      <c r="A452" s="44"/>
      <c r="B452" s="44"/>
      <c r="C452" s="44"/>
      <c r="D452" s="44"/>
      <c r="E452" s="44"/>
      <c r="F452" s="44"/>
      <c r="G452" s="44"/>
      <c r="H452" s="44"/>
      <c r="I452" s="44"/>
      <c r="J452" s="44"/>
      <c r="K452" s="44"/>
      <c r="L452" s="44"/>
      <c r="M452" s="44"/>
      <c r="N452" s="44"/>
      <c r="O452" s="44"/>
    </row>
    <row r="453" spans="1:15" ht="17.25" customHeight="1">
      <c r="A453" s="44"/>
      <c r="B453" s="44"/>
      <c r="C453" s="44"/>
      <c r="D453" s="44"/>
      <c r="E453" s="44"/>
      <c r="F453" s="44"/>
      <c r="G453" s="44"/>
      <c r="H453" s="44"/>
      <c r="I453" s="44"/>
      <c r="J453" s="44"/>
      <c r="K453" s="44"/>
      <c r="L453" s="44"/>
      <c r="M453" s="44"/>
      <c r="N453" s="44"/>
      <c r="O453" s="44"/>
    </row>
    <row r="454" spans="1:15" ht="17.25" customHeight="1">
      <c r="A454" s="44"/>
      <c r="B454" s="44"/>
      <c r="C454" s="44"/>
      <c r="D454" s="44"/>
      <c r="E454" s="44"/>
      <c r="F454" s="44"/>
      <c r="G454" s="44"/>
      <c r="H454" s="44"/>
      <c r="I454" s="44"/>
      <c r="J454" s="44"/>
      <c r="K454" s="44"/>
      <c r="L454" s="44"/>
      <c r="M454" s="44"/>
      <c r="N454" s="44"/>
      <c r="O454" s="44"/>
    </row>
    <row r="455" spans="1:15" ht="17.25" customHeight="1">
      <c r="A455" s="44"/>
      <c r="B455" s="44"/>
      <c r="C455" s="44"/>
      <c r="D455" s="44"/>
      <c r="E455" s="44"/>
      <c r="F455" s="44"/>
      <c r="G455" s="44"/>
      <c r="H455" s="44"/>
      <c r="I455" s="44"/>
      <c r="J455" s="44"/>
      <c r="K455" s="44"/>
      <c r="L455" s="44"/>
      <c r="M455" s="44"/>
      <c r="N455" s="44"/>
      <c r="O455" s="44"/>
    </row>
    <row r="456" spans="1:15" ht="17.25" customHeight="1">
      <c r="A456" s="44"/>
      <c r="B456" s="44"/>
      <c r="C456" s="44"/>
      <c r="D456" s="44"/>
      <c r="E456" s="44"/>
      <c r="F456" s="44"/>
      <c r="G456" s="44"/>
      <c r="H456" s="44"/>
      <c r="I456" s="44"/>
      <c r="J456" s="44"/>
      <c r="K456" s="44"/>
      <c r="L456" s="44"/>
      <c r="M456" s="44"/>
      <c r="N456" s="44"/>
      <c r="O456" s="44"/>
    </row>
    <row r="457" spans="1:15" ht="17.25" customHeight="1">
      <c r="A457" s="44"/>
      <c r="B457" s="44"/>
      <c r="C457" s="44"/>
      <c r="D457" s="44"/>
      <c r="E457" s="44"/>
      <c r="F457" s="44"/>
      <c r="G457" s="44"/>
      <c r="H457" s="44"/>
      <c r="I457" s="44"/>
      <c r="J457" s="44"/>
      <c r="K457" s="44"/>
      <c r="L457" s="44"/>
      <c r="M457" s="44"/>
      <c r="N457" s="44"/>
      <c r="O457" s="44"/>
    </row>
    <row r="458" spans="1:15" ht="17.25" customHeight="1">
      <c r="A458" s="44"/>
      <c r="B458" s="44"/>
      <c r="C458" s="44"/>
      <c r="D458" s="44"/>
      <c r="E458" s="44"/>
      <c r="F458" s="44"/>
      <c r="G458" s="44"/>
      <c r="H458" s="44"/>
      <c r="I458" s="44"/>
      <c r="J458" s="44"/>
      <c r="K458" s="44"/>
      <c r="L458" s="44"/>
      <c r="M458" s="44"/>
      <c r="N458" s="44"/>
      <c r="O458" s="44"/>
    </row>
    <row r="459" spans="1:15" ht="17.25" customHeight="1">
      <c r="A459" s="44"/>
      <c r="B459" s="44"/>
      <c r="C459" s="44"/>
      <c r="D459" s="44"/>
      <c r="E459" s="44"/>
      <c r="F459" s="44"/>
      <c r="G459" s="44"/>
      <c r="H459" s="44"/>
      <c r="I459" s="44"/>
      <c r="J459" s="44"/>
      <c r="K459" s="44"/>
      <c r="L459" s="44"/>
      <c r="M459" s="44"/>
      <c r="N459" s="44"/>
      <c r="O459" s="44"/>
    </row>
    <row r="460" spans="1:15" ht="17.25" customHeight="1">
      <c r="A460" s="44"/>
      <c r="B460" s="44"/>
      <c r="C460" s="44"/>
      <c r="D460" s="44"/>
      <c r="E460" s="44"/>
      <c r="F460" s="44"/>
      <c r="G460" s="44"/>
      <c r="H460" s="44"/>
      <c r="I460" s="44"/>
      <c r="J460" s="44"/>
      <c r="K460" s="44"/>
      <c r="L460" s="44"/>
      <c r="M460" s="44"/>
      <c r="N460" s="44"/>
      <c r="O460" s="44"/>
    </row>
    <row r="461" spans="1:15" ht="17.25" customHeight="1">
      <c r="A461" s="44"/>
      <c r="B461" s="44"/>
      <c r="C461" s="44"/>
      <c r="D461" s="44"/>
      <c r="E461" s="44"/>
      <c r="F461" s="44"/>
      <c r="G461" s="44"/>
      <c r="H461" s="44"/>
      <c r="I461" s="44"/>
      <c r="J461" s="44"/>
      <c r="K461" s="44"/>
      <c r="L461" s="44"/>
      <c r="M461" s="44"/>
      <c r="N461" s="44"/>
      <c r="O461" s="44"/>
    </row>
    <row r="462" spans="1:15" ht="17.25" customHeight="1">
      <c r="A462" s="44"/>
      <c r="B462" s="44"/>
      <c r="C462" s="44"/>
      <c r="D462" s="44"/>
      <c r="E462" s="44"/>
      <c r="F462" s="44"/>
      <c r="G462" s="44"/>
      <c r="H462" s="44"/>
      <c r="I462" s="44"/>
      <c r="J462" s="44"/>
      <c r="K462" s="44"/>
      <c r="L462" s="44"/>
      <c r="M462" s="44"/>
      <c r="N462" s="44"/>
      <c r="O462" s="44"/>
    </row>
    <row r="463" spans="1:15" ht="17.25" customHeight="1">
      <c r="A463" s="44"/>
      <c r="B463" s="44"/>
      <c r="C463" s="44"/>
      <c r="D463" s="44"/>
      <c r="E463" s="44"/>
      <c r="F463" s="44"/>
      <c r="G463" s="44"/>
      <c r="H463" s="44"/>
      <c r="I463" s="44"/>
      <c r="J463" s="44"/>
      <c r="K463" s="44"/>
      <c r="L463" s="44"/>
      <c r="M463" s="44"/>
      <c r="N463" s="44"/>
      <c r="O463" s="44"/>
    </row>
    <row r="464" spans="1:15" ht="17.25" customHeight="1">
      <c r="A464" s="44"/>
      <c r="B464" s="44"/>
      <c r="C464" s="44"/>
      <c r="D464" s="44"/>
      <c r="E464" s="44"/>
      <c r="F464" s="44"/>
      <c r="G464" s="44"/>
      <c r="H464" s="44"/>
      <c r="I464" s="44"/>
      <c r="J464" s="44"/>
      <c r="K464" s="44"/>
      <c r="L464" s="44"/>
      <c r="M464" s="44"/>
      <c r="N464" s="44"/>
      <c r="O464" s="44"/>
    </row>
    <row r="465" spans="1:15" ht="17.25" customHeight="1">
      <c r="A465" s="44"/>
      <c r="B465" s="44"/>
      <c r="C465" s="44"/>
      <c r="D465" s="44"/>
      <c r="E465" s="44"/>
      <c r="F465" s="44"/>
      <c r="G465" s="44"/>
      <c r="H465" s="44"/>
      <c r="I465" s="44"/>
      <c r="J465" s="44"/>
      <c r="K465" s="44"/>
      <c r="L465" s="44"/>
      <c r="M465" s="44"/>
      <c r="N465" s="44"/>
      <c r="O465" s="44"/>
    </row>
    <row r="466" spans="1:15" ht="17.25" customHeight="1">
      <c r="A466" s="44"/>
      <c r="B466" s="44"/>
      <c r="C466" s="44"/>
      <c r="D466" s="44"/>
      <c r="E466" s="44"/>
      <c r="F466" s="44"/>
      <c r="G466" s="44"/>
      <c r="H466" s="44"/>
      <c r="I466" s="44"/>
      <c r="J466" s="44"/>
      <c r="K466" s="44"/>
      <c r="L466" s="44"/>
      <c r="M466" s="44"/>
      <c r="N466" s="44"/>
      <c r="O466" s="44"/>
    </row>
    <row r="467" spans="1:15" ht="17.25" customHeight="1">
      <c r="A467" s="44"/>
      <c r="B467" s="44"/>
      <c r="C467" s="44"/>
      <c r="D467" s="44"/>
      <c r="E467" s="44"/>
      <c r="F467" s="44"/>
      <c r="G467" s="44"/>
      <c r="H467" s="44"/>
      <c r="I467" s="44"/>
      <c r="J467" s="44"/>
      <c r="K467" s="44"/>
      <c r="L467" s="44"/>
      <c r="M467" s="44"/>
      <c r="N467" s="44"/>
      <c r="O467" s="44"/>
    </row>
    <row r="468" spans="1:15" ht="17.25" customHeight="1">
      <c r="A468" s="44"/>
      <c r="B468" s="44"/>
      <c r="C468" s="44"/>
      <c r="D468" s="44"/>
      <c r="E468" s="44"/>
      <c r="F468" s="44"/>
      <c r="G468" s="44"/>
      <c r="H468" s="44"/>
      <c r="I468" s="44"/>
      <c r="J468" s="44"/>
      <c r="K468" s="44"/>
      <c r="L468" s="44"/>
      <c r="M468" s="44"/>
      <c r="N468" s="44"/>
      <c r="O468" s="44"/>
    </row>
    <row r="469" spans="1:15" ht="17.25" customHeight="1">
      <c r="A469" s="44"/>
      <c r="B469" s="44"/>
      <c r="C469" s="44"/>
      <c r="D469" s="44"/>
      <c r="E469" s="44"/>
      <c r="F469" s="44"/>
      <c r="G469" s="44"/>
      <c r="H469" s="44"/>
      <c r="I469" s="44"/>
      <c r="J469" s="44"/>
      <c r="K469" s="44"/>
      <c r="L469" s="44"/>
      <c r="M469" s="44"/>
      <c r="N469" s="44"/>
      <c r="O469" s="44"/>
    </row>
    <row r="470" spans="1:15" ht="17.25" customHeight="1">
      <c r="A470" s="44"/>
      <c r="B470" s="44"/>
      <c r="C470" s="44"/>
      <c r="D470" s="44"/>
      <c r="E470" s="44"/>
      <c r="F470" s="44"/>
      <c r="G470" s="44"/>
      <c r="H470" s="44"/>
      <c r="I470" s="44"/>
      <c r="J470" s="44"/>
      <c r="K470" s="44"/>
      <c r="L470" s="44"/>
      <c r="M470" s="44"/>
      <c r="N470" s="44"/>
      <c r="O470" s="44"/>
    </row>
    <row r="471" spans="1:15" ht="17.25" customHeight="1">
      <c r="A471" s="44"/>
      <c r="B471" s="44"/>
      <c r="C471" s="44"/>
      <c r="D471" s="44"/>
      <c r="E471" s="44"/>
      <c r="F471" s="44"/>
      <c r="G471" s="44"/>
      <c r="H471" s="44"/>
      <c r="I471" s="44"/>
      <c r="J471" s="44"/>
      <c r="K471" s="44"/>
      <c r="L471" s="44"/>
      <c r="M471" s="44"/>
      <c r="N471" s="44"/>
      <c r="O471" s="44"/>
    </row>
    <row r="472" spans="1:15" ht="17.25" customHeight="1">
      <c r="A472" s="44"/>
      <c r="B472" s="44"/>
      <c r="C472" s="44"/>
      <c r="D472" s="44"/>
      <c r="E472" s="44"/>
      <c r="F472" s="44"/>
      <c r="G472" s="44"/>
      <c r="H472" s="44"/>
      <c r="I472" s="44"/>
      <c r="J472" s="44"/>
      <c r="K472" s="44"/>
      <c r="L472" s="44"/>
      <c r="M472" s="44"/>
      <c r="N472" s="44"/>
      <c r="O472" s="44"/>
    </row>
    <row r="473" spans="1:15" ht="17.25" customHeight="1">
      <c r="A473" s="44"/>
      <c r="B473" s="44"/>
      <c r="C473" s="44"/>
      <c r="D473" s="44"/>
      <c r="E473" s="44"/>
      <c r="F473" s="44"/>
      <c r="G473" s="44"/>
      <c r="H473" s="44"/>
      <c r="I473" s="44"/>
      <c r="J473" s="44"/>
      <c r="K473" s="44"/>
      <c r="L473" s="44"/>
      <c r="M473" s="44"/>
      <c r="N473" s="44"/>
      <c r="O473" s="44"/>
    </row>
    <row r="474" spans="1:15" ht="17.25" customHeight="1">
      <c r="A474" s="44"/>
      <c r="B474" s="44"/>
      <c r="C474" s="44"/>
      <c r="D474" s="44"/>
      <c r="E474" s="44"/>
      <c r="F474" s="44"/>
      <c r="G474" s="44"/>
      <c r="H474" s="44"/>
      <c r="I474" s="44"/>
      <c r="J474" s="44"/>
      <c r="K474" s="44"/>
      <c r="L474" s="44"/>
      <c r="M474" s="44"/>
      <c r="N474" s="44"/>
      <c r="O474" s="44"/>
    </row>
    <row r="475" spans="1:15" ht="17.25" customHeight="1">
      <c r="A475" s="44"/>
      <c r="B475" s="44"/>
      <c r="C475" s="44"/>
      <c r="D475" s="44"/>
      <c r="E475" s="44"/>
      <c r="F475" s="44"/>
      <c r="G475" s="44"/>
      <c r="H475" s="44"/>
      <c r="I475" s="44"/>
      <c r="J475" s="44"/>
      <c r="K475" s="44"/>
      <c r="L475" s="44"/>
      <c r="M475" s="44"/>
      <c r="N475" s="44"/>
      <c r="O475" s="44"/>
    </row>
    <row r="476" spans="1:15" ht="17.25" customHeight="1">
      <c r="A476" s="44"/>
      <c r="B476" s="44"/>
      <c r="C476" s="44"/>
      <c r="D476" s="44"/>
      <c r="E476" s="44"/>
      <c r="F476" s="44"/>
      <c r="G476" s="44"/>
      <c r="H476" s="44"/>
      <c r="I476" s="44"/>
      <c r="J476" s="44"/>
      <c r="K476" s="44"/>
      <c r="L476" s="44"/>
      <c r="M476" s="44"/>
      <c r="N476" s="44"/>
      <c r="O476" s="44"/>
    </row>
    <row r="477" spans="1:15" ht="17.25" customHeight="1">
      <c r="A477" s="44"/>
      <c r="B477" s="44"/>
      <c r="C477" s="44"/>
      <c r="D477" s="44"/>
      <c r="E477" s="44"/>
      <c r="F477" s="44"/>
      <c r="G477" s="44"/>
      <c r="H477" s="44"/>
      <c r="I477" s="44"/>
      <c r="J477" s="44"/>
      <c r="K477" s="44"/>
      <c r="L477" s="44"/>
      <c r="M477" s="44"/>
      <c r="N477" s="44"/>
      <c r="O477" s="44"/>
    </row>
    <row r="478" spans="1:15" ht="17.25" customHeight="1">
      <c r="A478" s="44"/>
      <c r="B478" s="44"/>
      <c r="C478" s="44"/>
      <c r="D478" s="44"/>
      <c r="E478" s="44"/>
      <c r="F478" s="44"/>
      <c r="G478" s="44"/>
      <c r="H478" s="44"/>
      <c r="I478" s="44"/>
      <c r="J478" s="44"/>
      <c r="K478" s="44"/>
      <c r="L478" s="44"/>
      <c r="M478" s="44"/>
      <c r="N478" s="44"/>
      <c r="O478" s="44"/>
    </row>
    <row r="479" spans="1:15" ht="17.25" customHeight="1">
      <c r="A479" s="44"/>
      <c r="B479" s="44"/>
      <c r="C479" s="44"/>
      <c r="D479" s="44"/>
      <c r="E479" s="44"/>
      <c r="F479" s="44"/>
      <c r="G479" s="44"/>
      <c r="H479" s="44"/>
      <c r="I479" s="44"/>
      <c r="J479" s="44"/>
      <c r="K479" s="44"/>
      <c r="L479" s="44"/>
      <c r="M479" s="44"/>
      <c r="N479" s="44"/>
      <c r="O479" s="44"/>
    </row>
    <row r="480" spans="1:15" ht="17.25" customHeight="1">
      <c r="A480" s="44"/>
      <c r="B480" s="44"/>
      <c r="C480" s="44"/>
      <c r="D480" s="44"/>
      <c r="E480" s="44"/>
      <c r="F480" s="44"/>
      <c r="G480" s="44"/>
      <c r="H480" s="44"/>
      <c r="I480" s="44"/>
      <c r="J480" s="44"/>
      <c r="K480" s="44"/>
      <c r="L480" s="44"/>
      <c r="M480" s="44"/>
      <c r="N480" s="44"/>
      <c r="O480" s="44"/>
    </row>
    <row r="481" spans="1:15" ht="17.25" customHeight="1">
      <c r="A481" s="44"/>
      <c r="B481" s="44"/>
      <c r="C481" s="44"/>
      <c r="D481" s="44"/>
      <c r="E481" s="44"/>
      <c r="F481" s="44"/>
      <c r="G481" s="44"/>
      <c r="H481" s="44"/>
      <c r="I481" s="44"/>
      <c r="J481" s="44"/>
      <c r="K481" s="44"/>
      <c r="L481" s="44"/>
      <c r="M481" s="44"/>
      <c r="N481" s="44"/>
      <c r="O481" s="44"/>
    </row>
    <row r="482" spans="1:15" ht="17.25" customHeight="1">
      <c r="A482" s="44"/>
      <c r="B482" s="44"/>
      <c r="C482" s="44"/>
      <c r="D482" s="44"/>
      <c r="E482" s="44"/>
      <c r="F482" s="44"/>
      <c r="G482" s="44"/>
      <c r="H482" s="44"/>
      <c r="I482" s="44"/>
      <c r="J482" s="44"/>
      <c r="K482" s="44"/>
      <c r="L482" s="44"/>
      <c r="M482" s="44"/>
      <c r="N482" s="44"/>
      <c r="O482" s="44"/>
    </row>
    <row r="483" spans="1:15" ht="17.25" customHeight="1">
      <c r="A483" s="44"/>
      <c r="B483" s="44"/>
      <c r="C483" s="44"/>
      <c r="D483" s="44"/>
      <c r="E483" s="44"/>
      <c r="F483" s="44"/>
      <c r="G483" s="44"/>
      <c r="H483" s="44"/>
      <c r="I483" s="44"/>
      <c r="J483" s="44"/>
      <c r="K483" s="44"/>
      <c r="L483" s="44"/>
      <c r="M483" s="44"/>
      <c r="N483" s="44"/>
      <c r="O483" s="44"/>
    </row>
    <row r="484" spans="1:15" ht="17.25" customHeight="1">
      <c r="A484" s="44"/>
      <c r="B484" s="44"/>
      <c r="C484" s="44"/>
      <c r="D484" s="44"/>
      <c r="E484" s="44"/>
      <c r="F484" s="44"/>
      <c r="G484" s="44"/>
      <c r="H484" s="44"/>
      <c r="I484" s="44"/>
      <c r="J484" s="44"/>
      <c r="K484" s="44"/>
      <c r="L484" s="44"/>
      <c r="M484" s="44"/>
      <c r="N484" s="44"/>
      <c r="O484" s="44"/>
    </row>
    <row r="485" spans="1:15" ht="17.25" customHeight="1">
      <c r="A485" s="44"/>
      <c r="B485" s="44"/>
      <c r="C485" s="44"/>
      <c r="D485" s="44"/>
      <c r="E485" s="44"/>
      <c r="F485" s="44"/>
      <c r="G485" s="44"/>
      <c r="H485" s="44"/>
      <c r="I485" s="44"/>
      <c r="J485" s="44"/>
      <c r="K485" s="44"/>
      <c r="L485" s="44"/>
      <c r="M485" s="44"/>
      <c r="N485" s="44"/>
      <c r="O485" s="44"/>
    </row>
    <row r="486" spans="1:15" ht="17.25" customHeight="1">
      <c r="A486" s="44"/>
      <c r="B486" s="44"/>
      <c r="C486" s="44"/>
      <c r="D486" s="44"/>
      <c r="E486" s="44"/>
      <c r="F486" s="44"/>
      <c r="G486" s="44"/>
      <c r="H486" s="44"/>
      <c r="I486" s="44"/>
      <c r="J486" s="44"/>
      <c r="K486" s="44"/>
      <c r="L486" s="44"/>
      <c r="M486" s="44"/>
      <c r="N486" s="44"/>
      <c r="O486" s="44"/>
    </row>
    <row r="487" spans="1:15" ht="17.25" customHeight="1">
      <c r="A487" s="44"/>
      <c r="B487" s="44"/>
      <c r="C487" s="44"/>
      <c r="D487" s="44"/>
      <c r="E487" s="44"/>
      <c r="F487" s="44"/>
      <c r="G487" s="44"/>
      <c r="H487" s="44"/>
      <c r="I487" s="44"/>
      <c r="J487" s="44"/>
      <c r="K487" s="44"/>
      <c r="L487" s="44"/>
      <c r="M487" s="44"/>
      <c r="N487" s="44"/>
      <c r="O487" s="44"/>
    </row>
    <row r="488" spans="1:15" ht="17.25" customHeight="1">
      <c r="A488" s="44"/>
      <c r="B488" s="44"/>
      <c r="C488" s="44"/>
      <c r="D488" s="44"/>
      <c r="E488" s="44"/>
      <c r="F488" s="44"/>
      <c r="G488" s="44"/>
      <c r="H488" s="44"/>
      <c r="I488" s="44"/>
      <c r="J488" s="44"/>
      <c r="K488" s="44"/>
      <c r="L488" s="44"/>
      <c r="M488" s="44"/>
      <c r="N488" s="44"/>
      <c r="O488" s="44"/>
    </row>
    <row r="489" spans="1:15" ht="17.25" customHeight="1">
      <c r="A489" s="44"/>
      <c r="B489" s="44"/>
      <c r="C489" s="44"/>
      <c r="D489" s="44"/>
      <c r="E489" s="44"/>
      <c r="F489" s="44"/>
      <c r="G489" s="44"/>
      <c r="H489" s="44"/>
      <c r="I489" s="44"/>
      <c r="J489" s="44"/>
      <c r="K489" s="44"/>
      <c r="L489" s="44"/>
      <c r="M489" s="44"/>
      <c r="N489" s="44"/>
      <c r="O489" s="44"/>
    </row>
    <row r="490" spans="1:15" ht="17.25" customHeight="1">
      <c r="A490" s="44"/>
      <c r="B490" s="44"/>
      <c r="C490" s="44"/>
      <c r="D490" s="44"/>
      <c r="E490" s="44"/>
      <c r="F490" s="44"/>
      <c r="G490" s="44"/>
      <c r="H490" s="44"/>
      <c r="I490" s="44"/>
      <c r="J490" s="44"/>
      <c r="K490" s="44"/>
      <c r="L490" s="44"/>
      <c r="M490" s="44"/>
      <c r="N490" s="44"/>
      <c r="O490" s="44"/>
    </row>
    <row r="491" spans="1:15" ht="17.25" customHeight="1">
      <c r="A491" s="44"/>
      <c r="B491" s="44"/>
      <c r="C491" s="44"/>
      <c r="D491" s="44"/>
      <c r="E491" s="44"/>
      <c r="F491" s="44"/>
      <c r="G491" s="44"/>
      <c r="H491" s="44"/>
      <c r="I491" s="44"/>
      <c r="J491" s="44"/>
      <c r="K491" s="44"/>
      <c r="L491" s="44"/>
      <c r="M491" s="44"/>
      <c r="N491" s="44"/>
      <c r="O491" s="44"/>
    </row>
    <row r="492" spans="1:15" ht="17.25" customHeight="1">
      <c r="A492" s="44"/>
      <c r="B492" s="44"/>
      <c r="C492" s="44"/>
      <c r="D492" s="44"/>
      <c r="E492" s="44"/>
      <c r="F492" s="44"/>
      <c r="G492" s="44"/>
      <c r="H492" s="44"/>
      <c r="I492" s="44"/>
      <c r="J492" s="44"/>
      <c r="K492" s="44"/>
      <c r="L492" s="44"/>
      <c r="M492" s="44"/>
      <c r="N492" s="44"/>
      <c r="O492" s="44"/>
    </row>
    <row r="493" spans="1:15" ht="17.25" customHeight="1">
      <c r="A493" s="44"/>
      <c r="B493" s="44"/>
      <c r="C493" s="44"/>
      <c r="D493" s="44"/>
      <c r="E493" s="44"/>
      <c r="F493" s="44"/>
      <c r="G493" s="44"/>
      <c r="H493" s="44"/>
      <c r="I493" s="44"/>
      <c r="J493" s="44"/>
      <c r="K493" s="44"/>
      <c r="L493" s="44"/>
      <c r="M493" s="44"/>
      <c r="N493" s="44"/>
      <c r="O493" s="44"/>
    </row>
    <row r="494" spans="1:15" ht="17.25" customHeight="1">
      <c r="A494" s="44"/>
      <c r="B494" s="44"/>
      <c r="C494" s="44"/>
      <c r="D494" s="44"/>
      <c r="E494" s="44"/>
      <c r="F494" s="44"/>
      <c r="G494" s="44"/>
      <c r="H494" s="44"/>
      <c r="I494" s="44"/>
      <c r="J494" s="44"/>
      <c r="K494" s="44"/>
      <c r="L494" s="44"/>
      <c r="M494" s="44"/>
      <c r="N494" s="44"/>
      <c r="O494" s="44"/>
    </row>
    <row r="495" spans="1:15" ht="17.25" customHeight="1">
      <c r="A495" s="44"/>
      <c r="B495" s="44"/>
      <c r="C495" s="44"/>
      <c r="D495" s="44"/>
      <c r="E495" s="44"/>
      <c r="F495" s="44"/>
      <c r="G495" s="44"/>
      <c r="H495" s="44"/>
      <c r="I495" s="44"/>
      <c r="J495" s="44"/>
      <c r="K495" s="44"/>
      <c r="L495" s="44"/>
      <c r="M495" s="44"/>
      <c r="N495" s="44"/>
      <c r="O495" s="44"/>
    </row>
    <row r="496" spans="1:15" ht="17.25" customHeight="1">
      <c r="A496" s="44"/>
      <c r="B496" s="44"/>
      <c r="C496" s="44"/>
      <c r="D496" s="44"/>
      <c r="E496" s="44"/>
      <c r="F496" s="44"/>
      <c r="G496" s="44"/>
      <c r="H496" s="44"/>
      <c r="I496" s="44"/>
      <c r="J496" s="44"/>
      <c r="K496" s="44"/>
      <c r="L496" s="44"/>
      <c r="M496" s="44"/>
      <c r="N496" s="44"/>
      <c r="O496" s="44"/>
    </row>
    <row r="497" spans="1:15" ht="17.25" customHeight="1">
      <c r="A497" s="44"/>
      <c r="B497" s="44"/>
      <c r="C497" s="44"/>
      <c r="D497" s="44"/>
      <c r="E497" s="44"/>
      <c r="F497" s="44"/>
      <c r="G497" s="44"/>
      <c r="H497" s="44"/>
      <c r="I497" s="44"/>
      <c r="J497" s="44"/>
      <c r="K497" s="44"/>
      <c r="L497" s="44"/>
      <c r="M497" s="44"/>
      <c r="N497" s="44"/>
      <c r="O497" s="44"/>
    </row>
    <row r="498" spans="1:15" ht="17.25" customHeight="1">
      <c r="A498" s="44"/>
      <c r="B498" s="44"/>
      <c r="C498" s="44"/>
      <c r="D498" s="44"/>
      <c r="E498" s="44"/>
      <c r="F498" s="44"/>
      <c r="G498" s="44"/>
      <c r="H498" s="44"/>
      <c r="I498" s="44"/>
      <c r="J498" s="44"/>
      <c r="K498" s="44"/>
      <c r="L498" s="44"/>
      <c r="M498" s="44"/>
      <c r="N498" s="44"/>
      <c r="O498" s="44"/>
    </row>
    <row r="499" spans="1:15" ht="17.25" customHeight="1">
      <c r="A499" s="44"/>
      <c r="B499" s="44"/>
      <c r="C499" s="44"/>
      <c r="D499" s="44"/>
      <c r="E499" s="44"/>
      <c r="F499" s="44"/>
      <c r="G499" s="44"/>
      <c r="H499" s="44"/>
      <c r="I499" s="44"/>
      <c r="J499" s="44"/>
      <c r="K499" s="44"/>
      <c r="L499" s="44"/>
      <c r="M499" s="44"/>
      <c r="N499" s="44"/>
      <c r="O499" s="44"/>
    </row>
    <row r="500" spans="1:15" ht="17.25" customHeight="1">
      <c r="A500" s="44"/>
      <c r="B500" s="44"/>
      <c r="C500" s="44"/>
      <c r="D500" s="44"/>
      <c r="E500" s="44"/>
      <c r="F500" s="44"/>
      <c r="G500" s="44"/>
      <c r="H500" s="44"/>
      <c r="I500" s="44"/>
      <c r="J500" s="44"/>
      <c r="K500" s="44"/>
      <c r="L500" s="44"/>
      <c r="M500" s="44"/>
      <c r="N500" s="44"/>
      <c r="O500" s="44"/>
    </row>
    <row r="501" spans="1:15" ht="17.25" customHeight="1">
      <c r="A501" s="44"/>
      <c r="B501" s="44"/>
      <c r="C501" s="44"/>
      <c r="D501" s="44"/>
      <c r="E501" s="44"/>
      <c r="F501" s="44"/>
      <c r="G501" s="44"/>
      <c r="H501" s="44"/>
      <c r="I501" s="44"/>
      <c r="J501" s="44"/>
      <c r="K501" s="44"/>
      <c r="L501" s="44"/>
      <c r="M501" s="44"/>
      <c r="N501" s="44"/>
      <c r="O501" s="44"/>
    </row>
    <row r="502" spans="1:15" ht="17.25" customHeight="1">
      <c r="A502" s="44"/>
      <c r="B502" s="44"/>
      <c r="C502" s="44"/>
      <c r="D502" s="44"/>
      <c r="E502" s="44"/>
      <c r="F502" s="44"/>
      <c r="G502" s="44"/>
      <c r="H502" s="44"/>
      <c r="I502" s="44"/>
      <c r="J502" s="44"/>
      <c r="K502" s="44"/>
      <c r="L502" s="44"/>
      <c r="M502" s="44"/>
      <c r="N502" s="44"/>
      <c r="O502" s="44"/>
    </row>
    <row r="503" spans="1:15" ht="17.25" customHeight="1">
      <c r="A503" s="44"/>
      <c r="B503" s="44"/>
      <c r="C503" s="44"/>
      <c r="D503" s="44"/>
      <c r="E503" s="44"/>
      <c r="F503" s="44"/>
      <c r="G503" s="44"/>
      <c r="H503" s="44"/>
      <c r="I503" s="44"/>
      <c r="J503" s="44"/>
      <c r="K503" s="44"/>
      <c r="L503" s="44"/>
      <c r="M503" s="44"/>
      <c r="N503" s="44"/>
      <c r="O503" s="44"/>
    </row>
    <row r="504" spans="1:15" ht="17.25" customHeight="1">
      <c r="A504" s="44"/>
      <c r="B504" s="44"/>
      <c r="C504" s="44"/>
      <c r="D504" s="44"/>
      <c r="E504" s="44"/>
      <c r="F504" s="44"/>
      <c r="G504" s="44"/>
      <c r="H504" s="44"/>
      <c r="I504" s="44"/>
      <c r="J504" s="44"/>
      <c r="K504" s="44"/>
      <c r="L504" s="44"/>
      <c r="M504" s="44"/>
      <c r="N504" s="44"/>
      <c r="O504" s="44"/>
    </row>
    <row r="505" spans="1:15" ht="17.25" customHeight="1">
      <c r="A505" s="44"/>
      <c r="B505" s="44"/>
      <c r="C505" s="44"/>
      <c r="D505" s="44"/>
      <c r="E505" s="44"/>
      <c r="F505" s="44"/>
      <c r="G505" s="44"/>
      <c r="H505" s="44"/>
      <c r="I505" s="44"/>
      <c r="J505" s="44"/>
      <c r="K505" s="44"/>
      <c r="L505" s="44"/>
      <c r="M505" s="44"/>
      <c r="N505" s="44"/>
      <c r="O505" s="44"/>
    </row>
    <row r="506" spans="1:15" ht="17.25" customHeight="1">
      <c r="A506" s="44"/>
      <c r="B506" s="44"/>
      <c r="C506" s="44"/>
      <c r="D506" s="44"/>
      <c r="E506" s="44"/>
      <c r="F506" s="44"/>
      <c r="G506" s="44"/>
      <c r="H506" s="44"/>
      <c r="I506" s="44"/>
      <c r="J506" s="44"/>
      <c r="K506" s="44"/>
      <c r="L506" s="44"/>
      <c r="M506" s="44"/>
      <c r="N506" s="44"/>
      <c r="O506" s="44"/>
    </row>
    <row r="507" spans="1:15" ht="17.25" customHeight="1">
      <c r="A507" s="44"/>
      <c r="B507" s="44"/>
      <c r="C507" s="44"/>
      <c r="D507" s="44"/>
      <c r="E507" s="44"/>
      <c r="F507" s="44"/>
      <c r="G507" s="44"/>
      <c r="H507" s="44"/>
      <c r="I507" s="44"/>
      <c r="J507" s="44"/>
      <c r="K507" s="44"/>
      <c r="L507" s="44"/>
      <c r="M507" s="44"/>
      <c r="N507" s="44"/>
      <c r="O507" s="44"/>
    </row>
    <row r="508" spans="1:15" ht="17.25" customHeight="1">
      <c r="A508" s="44"/>
      <c r="B508" s="44"/>
      <c r="C508" s="44"/>
      <c r="D508" s="44"/>
      <c r="E508" s="44"/>
      <c r="F508" s="44"/>
      <c r="G508" s="44"/>
      <c r="H508" s="44"/>
      <c r="I508" s="44"/>
      <c r="J508" s="44"/>
      <c r="K508" s="44"/>
      <c r="L508" s="44"/>
      <c r="M508" s="44"/>
      <c r="N508" s="44"/>
      <c r="O508" s="44"/>
    </row>
    <row r="509" spans="1:15" ht="17.25" customHeight="1">
      <c r="A509" s="44"/>
      <c r="B509" s="44"/>
      <c r="C509" s="44"/>
      <c r="D509" s="44"/>
      <c r="E509" s="44"/>
      <c r="F509" s="44"/>
      <c r="G509" s="44"/>
      <c r="H509" s="44"/>
      <c r="I509" s="44"/>
      <c r="J509" s="44"/>
      <c r="K509" s="44"/>
      <c r="L509" s="44"/>
      <c r="M509" s="44"/>
      <c r="N509" s="44"/>
      <c r="O509" s="44"/>
    </row>
    <row r="510" spans="1:15" ht="17.25" customHeight="1">
      <c r="A510" s="44"/>
      <c r="B510" s="44"/>
      <c r="C510" s="44"/>
      <c r="D510" s="44"/>
      <c r="E510" s="44"/>
      <c r="F510" s="44"/>
      <c r="G510" s="44"/>
      <c r="H510" s="44"/>
      <c r="I510" s="44"/>
      <c r="J510" s="44"/>
      <c r="K510" s="44"/>
      <c r="L510" s="44"/>
      <c r="M510" s="44"/>
      <c r="N510" s="44"/>
      <c r="O510" s="44"/>
    </row>
    <row r="511" spans="1:15" ht="17.25" customHeight="1">
      <c r="A511" s="44"/>
      <c r="B511" s="44"/>
      <c r="C511" s="44"/>
      <c r="D511" s="44"/>
      <c r="E511" s="44"/>
      <c r="F511" s="44"/>
      <c r="G511" s="44"/>
      <c r="H511" s="44"/>
      <c r="I511" s="44"/>
      <c r="J511" s="44"/>
      <c r="K511" s="44"/>
      <c r="L511" s="44"/>
      <c r="M511" s="44"/>
      <c r="N511" s="44"/>
      <c r="O511" s="44"/>
    </row>
    <row r="512" spans="1:15" ht="17.25" customHeight="1">
      <c r="A512" s="44"/>
      <c r="B512" s="44"/>
      <c r="C512" s="44"/>
      <c r="D512" s="44"/>
      <c r="E512" s="44"/>
      <c r="F512" s="44"/>
      <c r="G512" s="44"/>
      <c r="H512" s="44"/>
      <c r="I512" s="44"/>
      <c r="J512" s="44"/>
      <c r="K512" s="44"/>
      <c r="L512" s="44"/>
      <c r="M512" s="44"/>
      <c r="N512" s="44"/>
      <c r="O512" s="44"/>
    </row>
    <row r="513" spans="1:15" ht="17.25" customHeight="1">
      <c r="A513" s="44"/>
      <c r="B513" s="44"/>
      <c r="C513" s="44"/>
      <c r="D513" s="44"/>
      <c r="E513" s="44"/>
      <c r="F513" s="44"/>
      <c r="G513" s="44"/>
      <c r="H513" s="44"/>
      <c r="I513" s="44"/>
      <c r="J513" s="44"/>
      <c r="K513" s="44"/>
      <c r="L513" s="44"/>
      <c r="M513" s="44"/>
      <c r="N513" s="44"/>
      <c r="O513" s="44"/>
    </row>
    <row r="514" spans="1:15" ht="17.25" customHeight="1">
      <c r="A514" s="44"/>
      <c r="B514" s="44"/>
      <c r="C514" s="44"/>
      <c r="D514" s="44"/>
      <c r="E514" s="44"/>
      <c r="F514" s="44"/>
      <c r="G514" s="44"/>
      <c r="H514" s="44"/>
      <c r="I514" s="44"/>
      <c r="J514" s="44"/>
      <c r="K514" s="44"/>
      <c r="L514" s="44"/>
      <c r="M514" s="44"/>
      <c r="N514" s="44"/>
      <c r="O514" s="44"/>
    </row>
    <row r="515" spans="1:15" ht="17.25" customHeight="1">
      <c r="A515" s="44"/>
      <c r="B515" s="44"/>
      <c r="C515" s="44"/>
      <c r="D515" s="44"/>
      <c r="E515" s="44"/>
      <c r="F515" s="44"/>
      <c r="G515" s="44"/>
      <c r="H515" s="44"/>
      <c r="I515" s="44"/>
      <c r="J515" s="44"/>
      <c r="K515" s="44"/>
      <c r="L515" s="44"/>
      <c r="M515" s="44"/>
      <c r="N515" s="44"/>
      <c r="O515" s="44"/>
    </row>
    <row r="516" spans="1:15" ht="17.25" customHeight="1">
      <c r="A516" s="44"/>
      <c r="B516" s="44"/>
      <c r="C516" s="44"/>
      <c r="D516" s="44"/>
      <c r="E516" s="44"/>
      <c r="F516" s="44"/>
      <c r="G516" s="44"/>
      <c r="H516" s="44"/>
      <c r="I516" s="44"/>
      <c r="J516" s="44"/>
      <c r="K516" s="44"/>
      <c r="L516" s="44"/>
      <c r="M516" s="44"/>
      <c r="N516" s="44"/>
      <c r="O516" s="44"/>
    </row>
    <row r="517" spans="1:15" ht="17.25" customHeight="1">
      <c r="A517" s="44"/>
      <c r="B517" s="44"/>
      <c r="C517" s="44"/>
      <c r="D517" s="44"/>
      <c r="E517" s="44"/>
      <c r="F517" s="44"/>
      <c r="G517" s="44"/>
      <c r="H517" s="44"/>
      <c r="I517" s="44"/>
      <c r="J517" s="44"/>
      <c r="K517" s="44"/>
      <c r="L517" s="44"/>
      <c r="M517" s="44"/>
      <c r="N517" s="44"/>
      <c r="O517" s="44"/>
    </row>
    <row r="518" spans="1:15" ht="17.25" customHeight="1">
      <c r="A518" s="44"/>
      <c r="B518" s="44"/>
      <c r="C518" s="44"/>
      <c r="D518" s="44"/>
      <c r="E518" s="44"/>
      <c r="F518" s="44"/>
      <c r="G518" s="44"/>
      <c r="H518" s="44"/>
      <c r="I518" s="44"/>
      <c r="J518" s="44"/>
      <c r="K518" s="44"/>
      <c r="L518" s="44"/>
      <c r="M518" s="44"/>
      <c r="N518" s="44"/>
      <c r="O518" s="44"/>
    </row>
    <row r="519" spans="1:15" ht="17.25" customHeight="1">
      <c r="A519" s="44"/>
      <c r="B519" s="44"/>
      <c r="C519" s="44"/>
      <c r="D519" s="44"/>
      <c r="E519" s="44"/>
      <c r="F519" s="44"/>
      <c r="G519" s="44"/>
      <c r="H519" s="44"/>
      <c r="I519" s="44"/>
      <c r="J519" s="44"/>
      <c r="K519" s="44"/>
      <c r="L519" s="44"/>
      <c r="M519" s="44"/>
      <c r="N519" s="44"/>
      <c r="O519" s="44"/>
    </row>
    <row r="520" spans="1:15" ht="17.25" customHeight="1">
      <c r="A520" s="44"/>
      <c r="B520" s="44"/>
      <c r="C520" s="44"/>
      <c r="D520" s="44"/>
      <c r="E520" s="44"/>
      <c r="F520" s="44"/>
      <c r="G520" s="44"/>
      <c r="H520" s="44"/>
      <c r="I520" s="44"/>
      <c r="J520" s="44"/>
      <c r="K520" s="44"/>
      <c r="L520" s="44"/>
      <c r="M520" s="44"/>
      <c r="N520" s="44"/>
      <c r="O520" s="44"/>
    </row>
    <row r="521" spans="1:15" ht="17.25" customHeight="1">
      <c r="A521" s="44"/>
      <c r="B521" s="44"/>
      <c r="C521" s="44"/>
      <c r="D521" s="44"/>
      <c r="E521" s="44"/>
      <c r="F521" s="44"/>
      <c r="G521" s="44"/>
      <c r="H521" s="44"/>
      <c r="I521" s="44"/>
      <c r="J521" s="44"/>
      <c r="K521" s="44"/>
      <c r="L521" s="44"/>
      <c r="M521" s="44"/>
      <c r="N521" s="44"/>
      <c r="O521" s="44"/>
    </row>
    <row r="522" spans="1:15" ht="17.25" customHeight="1">
      <c r="A522" s="44"/>
      <c r="B522" s="44"/>
      <c r="C522" s="44"/>
      <c r="D522" s="44"/>
      <c r="E522" s="44"/>
      <c r="F522" s="44"/>
      <c r="G522" s="44"/>
      <c r="H522" s="44"/>
      <c r="I522" s="44"/>
      <c r="J522" s="44"/>
      <c r="K522" s="44"/>
      <c r="L522" s="44"/>
      <c r="M522" s="44"/>
      <c r="N522" s="44"/>
      <c r="O522" s="44"/>
    </row>
    <row r="523" spans="1:15" ht="17.25" customHeight="1">
      <c r="A523" s="44"/>
      <c r="B523" s="44"/>
      <c r="C523" s="44"/>
      <c r="D523" s="44"/>
      <c r="E523" s="44"/>
      <c r="F523" s="44"/>
      <c r="G523" s="44"/>
      <c r="H523" s="44"/>
      <c r="I523" s="44"/>
      <c r="J523" s="44"/>
      <c r="K523" s="44"/>
      <c r="L523" s="44"/>
      <c r="M523" s="44"/>
      <c r="N523" s="44"/>
      <c r="O523" s="44"/>
    </row>
    <row r="524" spans="1:15" ht="17.25" customHeight="1">
      <c r="A524" s="44"/>
      <c r="B524" s="44"/>
      <c r="C524" s="44"/>
      <c r="D524" s="44"/>
      <c r="E524" s="44"/>
      <c r="F524" s="44"/>
      <c r="G524" s="44"/>
      <c r="H524" s="44"/>
      <c r="I524" s="44"/>
      <c r="J524" s="44"/>
      <c r="K524" s="44"/>
      <c r="L524" s="44"/>
      <c r="M524" s="44"/>
      <c r="N524" s="44"/>
      <c r="O524" s="44"/>
    </row>
    <row r="525" spans="1:15" ht="17.25" customHeight="1">
      <c r="A525" s="44"/>
      <c r="B525" s="44"/>
      <c r="C525" s="44"/>
      <c r="D525" s="44"/>
      <c r="E525" s="44"/>
      <c r="F525" s="44"/>
      <c r="G525" s="44"/>
      <c r="H525" s="44"/>
      <c r="I525" s="44"/>
      <c r="J525" s="44"/>
      <c r="K525" s="44"/>
      <c r="L525" s="44"/>
      <c r="M525" s="44"/>
      <c r="N525" s="44"/>
      <c r="O525" s="44"/>
    </row>
    <row r="526" spans="1:15" ht="17.25" customHeight="1">
      <c r="A526" s="44"/>
      <c r="B526" s="44"/>
      <c r="C526" s="44"/>
      <c r="D526" s="44"/>
      <c r="E526" s="44"/>
      <c r="F526" s="44"/>
      <c r="G526" s="44"/>
      <c r="H526" s="44"/>
      <c r="I526" s="44"/>
      <c r="J526" s="44"/>
      <c r="K526" s="44"/>
      <c r="L526" s="44"/>
      <c r="M526" s="44"/>
      <c r="N526" s="44"/>
      <c r="O526" s="44"/>
    </row>
    <row r="527" spans="1:15" ht="17.25" customHeight="1">
      <c r="A527" s="44"/>
      <c r="B527" s="44"/>
      <c r="C527" s="44"/>
      <c r="D527" s="44"/>
      <c r="E527" s="44"/>
      <c r="F527" s="44"/>
      <c r="G527" s="44"/>
      <c r="H527" s="44"/>
      <c r="I527" s="44"/>
      <c r="J527" s="44"/>
      <c r="K527" s="44"/>
      <c r="L527" s="44"/>
      <c r="M527" s="44"/>
      <c r="N527" s="44"/>
      <c r="O527" s="44"/>
    </row>
    <row r="528" spans="1:15" ht="17.25" customHeight="1">
      <c r="A528" s="44"/>
      <c r="B528" s="44"/>
      <c r="C528" s="44"/>
      <c r="D528" s="44"/>
      <c r="E528" s="44"/>
      <c r="F528" s="44"/>
      <c r="G528" s="44"/>
      <c r="H528" s="44"/>
      <c r="I528" s="44"/>
      <c r="J528" s="44"/>
      <c r="K528" s="44"/>
      <c r="L528" s="44"/>
      <c r="M528" s="44"/>
      <c r="N528" s="44"/>
      <c r="O528" s="44"/>
    </row>
    <row r="529" spans="1:15" ht="17.25" customHeight="1">
      <c r="A529" s="44"/>
      <c r="B529" s="44"/>
      <c r="C529" s="44"/>
      <c r="D529" s="44"/>
      <c r="E529" s="44"/>
      <c r="F529" s="44"/>
      <c r="G529" s="44"/>
      <c r="H529" s="44"/>
      <c r="I529" s="44"/>
      <c r="J529" s="44"/>
      <c r="K529" s="44"/>
      <c r="L529" s="44"/>
      <c r="M529" s="44"/>
      <c r="N529" s="44"/>
      <c r="O529" s="44"/>
    </row>
    <row r="530" spans="1:15" ht="17.25" customHeight="1">
      <c r="A530" s="44"/>
      <c r="B530" s="44"/>
      <c r="C530" s="44"/>
      <c r="D530" s="44"/>
      <c r="E530" s="44"/>
      <c r="F530" s="44"/>
      <c r="G530" s="44"/>
      <c r="H530" s="44"/>
      <c r="I530" s="44"/>
      <c r="J530" s="44"/>
      <c r="K530" s="44"/>
      <c r="L530" s="44"/>
      <c r="M530" s="44"/>
      <c r="N530" s="44"/>
      <c r="O530" s="44"/>
    </row>
    <row r="531" spans="1:15" ht="17.25" customHeight="1">
      <c r="A531" s="44"/>
      <c r="B531" s="44"/>
      <c r="C531" s="44"/>
      <c r="D531" s="44"/>
      <c r="E531" s="44"/>
      <c r="F531" s="44"/>
      <c r="G531" s="44"/>
      <c r="H531" s="44"/>
      <c r="I531" s="44"/>
      <c r="J531" s="44"/>
      <c r="K531" s="44"/>
      <c r="L531" s="44"/>
      <c r="M531" s="44"/>
      <c r="N531" s="44"/>
      <c r="O531" s="44"/>
    </row>
    <row r="532" spans="1:15" ht="17.25" customHeight="1">
      <c r="A532" s="44"/>
      <c r="B532" s="44"/>
      <c r="C532" s="44"/>
      <c r="D532" s="44"/>
      <c r="E532" s="44"/>
      <c r="F532" s="44"/>
      <c r="G532" s="44"/>
      <c r="H532" s="44"/>
      <c r="I532" s="44"/>
      <c r="J532" s="44"/>
      <c r="K532" s="44"/>
      <c r="L532" s="44"/>
      <c r="M532" s="44"/>
      <c r="N532" s="44"/>
      <c r="O532" s="44"/>
    </row>
    <row r="533" spans="1:15" ht="17.25" customHeight="1">
      <c r="A533" s="44"/>
      <c r="B533" s="44"/>
      <c r="C533" s="44"/>
      <c r="D533" s="44"/>
      <c r="E533" s="44"/>
      <c r="F533" s="44"/>
      <c r="G533" s="44"/>
      <c r="H533" s="44"/>
      <c r="I533" s="44"/>
      <c r="J533" s="44"/>
      <c r="K533" s="44"/>
      <c r="L533" s="44"/>
      <c r="M533" s="44"/>
      <c r="N533" s="44"/>
      <c r="O533" s="44"/>
    </row>
    <row r="534" spans="1:15" ht="17.25" customHeight="1">
      <c r="A534" s="44"/>
      <c r="B534" s="44"/>
      <c r="C534" s="44"/>
      <c r="D534" s="44"/>
      <c r="E534" s="44"/>
      <c r="F534" s="44"/>
      <c r="G534" s="44"/>
      <c r="H534" s="44"/>
      <c r="I534" s="44"/>
      <c r="J534" s="44"/>
      <c r="K534" s="44"/>
      <c r="L534" s="44"/>
      <c r="M534" s="44"/>
      <c r="N534" s="44"/>
      <c r="O534" s="44"/>
    </row>
    <row r="535" spans="1:15" ht="17.25" customHeight="1">
      <c r="A535" s="44"/>
      <c r="B535" s="44"/>
      <c r="C535" s="44"/>
      <c r="D535" s="44"/>
      <c r="E535" s="44"/>
      <c r="F535" s="44"/>
      <c r="G535" s="44"/>
      <c r="H535" s="44"/>
      <c r="I535" s="44"/>
      <c r="J535" s="44"/>
      <c r="K535" s="44"/>
      <c r="L535" s="44"/>
      <c r="M535" s="44"/>
      <c r="N535" s="44"/>
      <c r="O535" s="44"/>
    </row>
    <row r="536" spans="1:15" ht="17.25" customHeight="1">
      <c r="A536" s="44"/>
      <c r="B536" s="44"/>
      <c r="C536" s="44"/>
      <c r="D536" s="44"/>
      <c r="E536" s="44"/>
      <c r="F536" s="44"/>
      <c r="G536" s="44"/>
      <c r="H536" s="44"/>
      <c r="I536" s="44"/>
      <c r="J536" s="44"/>
      <c r="K536" s="44"/>
      <c r="L536" s="44"/>
      <c r="M536" s="44"/>
      <c r="N536" s="44"/>
      <c r="O536" s="44"/>
    </row>
    <row r="537" spans="1:15" ht="17.25" customHeight="1">
      <c r="A537" s="44"/>
      <c r="B537" s="44"/>
      <c r="C537" s="44"/>
      <c r="D537" s="44"/>
      <c r="E537" s="44"/>
      <c r="F537" s="44"/>
      <c r="G537" s="44"/>
      <c r="H537" s="44"/>
      <c r="I537" s="44"/>
      <c r="J537" s="44"/>
      <c r="K537" s="44"/>
      <c r="L537" s="44"/>
      <c r="M537" s="44"/>
      <c r="N537" s="44"/>
      <c r="O537" s="44"/>
    </row>
    <row r="538" spans="1:15" ht="17.25" customHeight="1">
      <c r="A538" s="44"/>
      <c r="B538" s="44"/>
      <c r="C538" s="44"/>
      <c r="D538" s="44"/>
      <c r="E538" s="44"/>
      <c r="F538" s="44"/>
      <c r="G538" s="44"/>
      <c r="H538" s="44"/>
      <c r="I538" s="44"/>
      <c r="J538" s="44"/>
      <c r="K538" s="44"/>
      <c r="L538" s="44"/>
      <c r="M538" s="44"/>
      <c r="N538" s="44"/>
      <c r="O538" s="44"/>
    </row>
    <row r="539" spans="1:15" ht="17.25" customHeight="1">
      <c r="A539" s="44"/>
      <c r="B539" s="44"/>
      <c r="C539" s="44"/>
      <c r="D539" s="44"/>
      <c r="E539" s="44"/>
      <c r="F539" s="44"/>
      <c r="G539" s="44"/>
      <c r="H539" s="44"/>
      <c r="I539" s="44"/>
      <c r="J539" s="44"/>
      <c r="K539" s="44"/>
      <c r="L539" s="44"/>
      <c r="M539" s="44"/>
      <c r="N539" s="44"/>
      <c r="O539" s="44"/>
    </row>
    <row r="540" spans="1:15" ht="17.25" customHeight="1">
      <c r="A540" s="44"/>
      <c r="B540" s="44"/>
      <c r="C540" s="44"/>
      <c r="D540" s="44"/>
      <c r="E540" s="44"/>
      <c r="F540" s="44"/>
      <c r="G540" s="44"/>
      <c r="H540" s="44"/>
      <c r="I540" s="44"/>
      <c r="J540" s="44"/>
      <c r="K540" s="44"/>
      <c r="L540" s="44"/>
      <c r="M540" s="44"/>
      <c r="N540" s="44"/>
      <c r="O540" s="44"/>
    </row>
    <row r="541" spans="1:15" ht="17.25" customHeight="1">
      <c r="A541" s="44"/>
      <c r="B541" s="44"/>
      <c r="C541" s="44"/>
      <c r="D541" s="44"/>
      <c r="E541" s="44"/>
      <c r="F541" s="44"/>
      <c r="G541" s="44"/>
      <c r="H541" s="44"/>
      <c r="I541" s="44"/>
      <c r="J541" s="44"/>
      <c r="K541" s="44"/>
      <c r="L541" s="44"/>
      <c r="M541" s="44"/>
      <c r="N541" s="44"/>
      <c r="O541" s="44"/>
    </row>
    <row r="542" spans="1:15" ht="17.25" customHeight="1">
      <c r="A542" s="44"/>
      <c r="B542" s="44"/>
      <c r="C542" s="44"/>
      <c r="D542" s="44"/>
      <c r="E542" s="44"/>
      <c r="F542" s="44"/>
      <c r="G542" s="44"/>
      <c r="H542" s="44"/>
      <c r="I542" s="44"/>
      <c r="J542" s="44"/>
      <c r="K542" s="44"/>
      <c r="L542" s="44"/>
      <c r="M542" s="44"/>
      <c r="N542" s="44"/>
      <c r="O542" s="44"/>
    </row>
    <row r="543" spans="1:15" ht="17.25" customHeight="1">
      <c r="A543" s="44"/>
      <c r="B543" s="44"/>
      <c r="C543" s="44"/>
      <c r="D543" s="44"/>
      <c r="E543" s="44"/>
      <c r="F543" s="44"/>
      <c r="G543" s="44"/>
      <c r="H543" s="44"/>
      <c r="I543" s="44"/>
      <c r="J543" s="44"/>
      <c r="K543" s="44"/>
      <c r="L543" s="44"/>
      <c r="M543" s="44"/>
      <c r="N543" s="44"/>
      <c r="O543" s="44"/>
    </row>
    <row r="544" spans="1:15" ht="17.25" customHeight="1">
      <c r="A544" s="44"/>
      <c r="B544" s="44"/>
      <c r="C544" s="44"/>
      <c r="D544" s="44"/>
      <c r="E544" s="44"/>
      <c r="F544" s="44"/>
      <c r="G544" s="44"/>
      <c r="H544" s="44"/>
      <c r="I544" s="44"/>
      <c r="J544" s="44"/>
      <c r="K544" s="44"/>
      <c r="L544" s="44"/>
      <c r="M544" s="44"/>
      <c r="N544" s="44"/>
      <c r="O544" s="44"/>
    </row>
    <row r="545" spans="1:15" ht="17.25" customHeight="1">
      <c r="A545" s="44"/>
      <c r="B545" s="44"/>
      <c r="C545" s="44"/>
      <c r="D545" s="44"/>
      <c r="E545" s="44"/>
      <c r="F545" s="44"/>
      <c r="G545" s="44"/>
      <c r="H545" s="44"/>
      <c r="I545" s="44"/>
      <c r="J545" s="44"/>
      <c r="K545" s="44"/>
      <c r="L545" s="44"/>
      <c r="M545" s="44"/>
      <c r="N545" s="44"/>
      <c r="O545" s="44"/>
    </row>
    <row r="546" spans="1:15" ht="17.25" customHeight="1">
      <c r="A546" s="44"/>
      <c r="B546" s="44"/>
      <c r="C546" s="44"/>
      <c r="D546" s="44"/>
      <c r="E546" s="44"/>
      <c r="F546" s="44"/>
      <c r="G546" s="44"/>
      <c r="H546" s="44"/>
      <c r="I546" s="44"/>
      <c r="J546" s="44"/>
      <c r="K546" s="44"/>
      <c r="L546" s="44"/>
      <c r="M546" s="44"/>
      <c r="N546" s="44"/>
      <c r="O546" s="44"/>
    </row>
    <row r="547" spans="1:15" ht="17.25" customHeight="1">
      <c r="A547" s="44"/>
      <c r="B547" s="44"/>
      <c r="C547" s="44"/>
      <c r="D547" s="44"/>
      <c r="E547" s="44"/>
      <c r="F547" s="44"/>
      <c r="G547" s="44"/>
      <c r="H547" s="44"/>
      <c r="I547" s="44"/>
      <c r="J547" s="44"/>
      <c r="K547" s="44"/>
      <c r="L547" s="44"/>
      <c r="M547" s="44"/>
      <c r="N547" s="44"/>
      <c r="O547" s="44"/>
    </row>
    <row r="548" spans="1:15" ht="17.25" customHeight="1">
      <c r="A548" s="44"/>
      <c r="B548" s="44"/>
      <c r="C548" s="44"/>
      <c r="D548" s="44"/>
      <c r="E548" s="44"/>
      <c r="F548" s="44"/>
      <c r="G548" s="44"/>
      <c r="H548" s="44"/>
      <c r="I548" s="44"/>
      <c r="J548" s="44"/>
      <c r="K548" s="44"/>
      <c r="L548" s="44"/>
      <c r="M548" s="44"/>
      <c r="N548" s="44"/>
      <c r="O548" s="44"/>
    </row>
    <row r="549" spans="1:15" ht="17.25" customHeight="1">
      <c r="A549" s="44"/>
      <c r="B549" s="44"/>
      <c r="C549" s="44"/>
      <c r="D549" s="44"/>
      <c r="E549" s="44"/>
      <c r="F549" s="44"/>
      <c r="G549" s="44"/>
      <c r="H549" s="44"/>
      <c r="I549" s="44"/>
      <c r="J549" s="44"/>
      <c r="K549" s="44"/>
      <c r="L549" s="44"/>
      <c r="M549" s="44"/>
      <c r="N549" s="44"/>
      <c r="O549" s="44"/>
    </row>
    <row r="550" spans="1:15" ht="17.25" customHeight="1">
      <c r="A550" s="44"/>
      <c r="B550" s="44"/>
      <c r="C550" s="44"/>
      <c r="D550" s="44"/>
      <c r="E550" s="44"/>
      <c r="F550" s="44"/>
      <c r="G550" s="44"/>
      <c r="H550" s="44"/>
      <c r="I550" s="44"/>
      <c r="J550" s="44"/>
      <c r="K550" s="44"/>
      <c r="L550" s="44"/>
      <c r="M550" s="44"/>
      <c r="N550" s="44"/>
      <c r="O550" s="44"/>
    </row>
    <row r="551" spans="1:15" ht="17.25" customHeight="1">
      <c r="A551" s="44"/>
      <c r="B551" s="44"/>
      <c r="C551" s="44"/>
      <c r="D551" s="44"/>
      <c r="E551" s="44"/>
      <c r="F551" s="44"/>
      <c r="G551" s="44"/>
      <c r="H551" s="44"/>
      <c r="I551" s="44"/>
      <c r="J551" s="44"/>
      <c r="K551" s="44"/>
      <c r="L551" s="44"/>
      <c r="M551" s="44"/>
      <c r="N551" s="44"/>
      <c r="O551" s="44"/>
    </row>
    <row r="552" spans="1:15" ht="17.25" customHeight="1">
      <c r="A552" s="44"/>
      <c r="B552" s="44"/>
      <c r="C552" s="44"/>
      <c r="D552" s="44"/>
      <c r="E552" s="44"/>
      <c r="F552" s="44"/>
      <c r="G552" s="44"/>
      <c r="H552" s="44"/>
      <c r="I552" s="44"/>
      <c r="J552" s="44"/>
      <c r="K552" s="44"/>
      <c r="L552" s="44"/>
      <c r="M552" s="44"/>
      <c r="N552" s="44"/>
      <c r="O552" s="44"/>
    </row>
    <row r="553" spans="1:15" ht="17.25" customHeight="1">
      <c r="A553" s="44"/>
      <c r="B553" s="44"/>
      <c r="C553" s="44"/>
      <c r="D553" s="44"/>
      <c r="E553" s="44"/>
      <c r="F553" s="44"/>
      <c r="G553" s="44"/>
      <c r="H553" s="44"/>
      <c r="I553" s="44"/>
      <c r="J553" s="44"/>
      <c r="K553" s="44"/>
      <c r="L553" s="44"/>
      <c r="M553" s="44"/>
      <c r="N553" s="44"/>
      <c r="O553" s="44"/>
    </row>
    <row r="554" spans="1:15" ht="17.25" customHeight="1">
      <c r="A554" s="44"/>
      <c r="B554" s="44"/>
      <c r="C554" s="44"/>
      <c r="D554" s="44"/>
      <c r="E554" s="44"/>
      <c r="F554" s="44"/>
      <c r="G554" s="44"/>
      <c r="H554" s="44"/>
      <c r="I554" s="44"/>
      <c r="J554" s="44"/>
      <c r="K554" s="44"/>
      <c r="L554" s="44"/>
      <c r="M554" s="44"/>
      <c r="N554" s="44"/>
      <c r="O554" s="44"/>
    </row>
    <row r="555" spans="1:15" ht="17.25" customHeight="1">
      <c r="A555" s="44"/>
      <c r="B555" s="44"/>
      <c r="C555" s="44"/>
      <c r="D555" s="44"/>
      <c r="E555" s="44"/>
      <c r="F555" s="44"/>
      <c r="G555" s="44"/>
      <c r="H555" s="44"/>
      <c r="I555" s="44"/>
      <c r="J555" s="44"/>
      <c r="K555" s="44"/>
      <c r="L555" s="44"/>
      <c r="M555" s="44"/>
      <c r="N555" s="44"/>
      <c r="O555" s="44"/>
    </row>
    <row r="556" spans="1:15" ht="17.25" customHeight="1">
      <c r="A556" s="44"/>
      <c r="B556" s="44"/>
      <c r="C556" s="44"/>
      <c r="D556" s="44"/>
      <c r="E556" s="44"/>
      <c r="F556" s="44"/>
      <c r="G556" s="44"/>
      <c r="H556" s="44"/>
      <c r="I556" s="44"/>
      <c r="J556" s="44"/>
      <c r="K556" s="44"/>
      <c r="L556" s="44"/>
      <c r="M556" s="44"/>
      <c r="N556" s="44"/>
      <c r="O556" s="44"/>
    </row>
    <row r="557" spans="1:15" ht="17.25" customHeight="1">
      <c r="A557" s="44"/>
      <c r="B557" s="44"/>
      <c r="C557" s="44"/>
      <c r="D557" s="44"/>
      <c r="E557" s="44"/>
      <c r="F557" s="44"/>
      <c r="G557" s="44"/>
      <c r="H557" s="44"/>
      <c r="I557" s="44"/>
      <c r="J557" s="44"/>
      <c r="K557" s="44"/>
      <c r="L557" s="44"/>
      <c r="M557" s="44"/>
      <c r="N557" s="44"/>
      <c r="O557" s="44"/>
    </row>
    <row r="558" spans="1:15" ht="17.25" customHeight="1">
      <c r="A558" s="44"/>
      <c r="B558" s="44"/>
      <c r="C558" s="44"/>
      <c r="D558" s="44"/>
      <c r="E558" s="44"/>
      <c r="F558" s="44"/>
      <c r="G558" s="44"/>
      <c r="H558" s="44"/>
      <c r="I558" s="44"/>
      <c r="J558" s="44"/>
      <c r="K558" s="44"/>
      <c r="L558" s="44"/>
      <c r="M558" s="44"/>
      <c r="N558" s="44"/>
      <c r="O558" s="44"/>
    </row>
    <row r="559" spans="1:15" ht="17.25" customHeight="1">
      <c r="A559" s="44"/>
      <c r="B559" s="44"/>
      <c r="C559" s="44"/>
      <c r="D559" s="44"/>
      <c r="E559" s="44"/>
      <c r="F559" s="44"/>
      <c r="G559" s="44"/>
      <c r="H559" s="44"/>
      <c r="I559" s="44"/>
      <c r="J559" s="44"/>
      <c r="K559" s="44"/>
      <c r="L559" s="44"/>
      <c r="M559" s="44"/>
      <c r="N559" s="44"/>
      <c r="O559" s="44"/>
    </row>
    <row r="560" spans="1:15" ht="17.25" customHeight="1">
      <c r="A560" s="44"/>
      <c r="B560" s="44"/>
      <c r="C560" s="44"/>
      <c r="D560" s="44"/>
      <c r="E560" s="44"/>
      <c r="F560" s="44"/>
      <c r="G560" s="44"/>
      <c r="H560" s="44"/>
      <c r="I560" s="44"/>
      <c r="J560" s="44"/>
      <c r="K560" s="44"/>
      <c r="L560" s="44"/>
      <c r="M560" s="44"/>
      <c r="N560" s="44"/>
      <c r="O560" s="44"/>
    </row>
    <row r="561" spans="1:15" ht="17.25" customHeight="1">
      <c r="A561" s="44"/>
      <c r="B561" s="44"/>
      <c r="C561" s="44"/>
      <c r="D561" s="44"/>
      <c r="E561" s="44"/>
      <c r="F561" s="44"/>
      <c r="G561" s="44"/>
      <c r="H561" s="44"/>
      <c r="I561" s="44"/>
      <c r="J561" s="44"/>
      <c r="K561" s="44"/>
      <c r="L561" s="44"/>
      <c r="M561" s="44"/>
      <c r="N561" s="44"/>
      <c r="O561" s="44"/>
    </row>
    <row r="562" spans="1:15" ht="17.25" customHeight="1">
      <c r="A562" s="44"/>
      <c r="B562" s="44"/>
      <c r="C562" s="44"/>
      <c r="D562" s="44"/>
      <c r="E562" s="44"/>
      <c r="F562" s="44"/>
      <c r="G562" s="44"/>
      <c r="H562" s="44"/>
      <c r="I562" s="44"/>
      <c r="J562" s="44"/>
      <c r="K562" s="44"/>
      <c r="L562" s="44"/>
      <c r="M562" s="44"/>
      <c r="N562" s="44"/>
      <c r="O562" s="44"/>
    </row>
    <row r="563" spans="1:15" ht="17.25" customHeight="1">
      <c r="A563" s="44"/>
      <c r="B563" s="44"/>
      <c r="C563" s="44"/>
      <c r="D563" s="44"/>
      <c r="E563" s="44"/>
      <c r="F563" s="44"/>
      <c r="G563" s="44"/>
      <c r="H563" s="44"/>
      <c r="I563" s="44"/>
      <c r="J563" s="44"/>
      <c r="K563" s="44"/>
      <c r="L563" s="44"/>
      <c r="M563" s="44"/>
      <c r="N563" s="44"/>
      <c r="O563" s="44"/>
    </row>
    <row r="564" spans="1:15" ht="17.25" customHeight="1">
      <c r="A564" s="44"/>
      <c r="B564" s="44"/>
      <c r="C564" s="44"/>
      <c r="D564" s="44"/>
      <c r="E564" s="44"/>
      <c r="F564" s="44"/>
      <c r="G564" s="44"/>
      <c r="H564" s="44"/>
      <c r="I564" s="44"/>
      <c r="J564" s="44"/>
      <c r="K564" s="44"/>
      <c r="L564" s="44"/>
      <c r="M564" s="44"/>
      <c r="N564" s="44"/>
      <c r="O564" s="44"/>
    </row>
    <row r="565" spans="1:15" ht="17.25" customHeight="1">
      <c r="A565" s="44"/>
      <c r="B565" s="44"/>
      <c r="C565" s="44"/>
      <c r="D565" s="44"/>
      <c r="E565" s="44"/>
      <c r="F565" s="44"/>
      <c r="G565" s="44"/>
      <c r="H565" s="44"/>
      <c r="I565" s="44"/>
      <c r="J565" s="44"/>
      <c r="K565" s="44"/>
      <c r="L565" s="44"/>
      <c r="M565" s="44"/>
      <c r="N565" s="44"/>
      <c r="O565" s="44"/>
    </row>
    <row r="566" spans="1:15" ht="17.25" customHeight="1">
      <c r="A566" s="44"/>
      <c r="B566" s="44"/>
      <c r="C566" s="44"/>
      <c r="D566" s="44"/>
      <c r="E566" s="44"/>
      <c r="F566" s="44"/>
      <c r="G566" s="44"/>
      <c r="H566" s="44"/>
      <c r="I566" s="44"/>
      <c r="J566" s="44"/>
      <c r="K566" s="44"/>
      <c r="L566" s="44"/>
      <c r="M566" s="44"/>
      <c r="N566" s="44"/>
      <c r="O566" s="44"/>
    </row>
    <row r="567" spans="1:15" ht="17.25" customHeight="1">
      <c r="A567" s="44"/>
      <c r="B567" s="44"/>
      <c r="C567" s="44"/>
      <c r="D567" s="44"/>
      <c r="E567" s="44"/>
      <c r="F567" s="44"/>
      <c r="G567" s="44"/>
      <c r="H567" s="44"/>
      <c r="I567" s="44"/>
      <c r="J567" s="44"/>
      <c r="K567" s="44"/>
      <c r="L567" s="44"/>
      <c r="M567" s="44"/>
      <c r="N567" s="44"/>
      <c r="O567" s="44"/>
    </row>
    <row r="568" spans="1:15" ht="17.25" customHeight="1">
      <c r="A568" s="44"/>
      <c r="B568" s="44"/>
      <c r="C568" s="44"/>
      <c r="D568" s="44"/>
      <c r="E568" s="44"/>
      <c r="F568" s="44"/>
      <c r="G568" s="44"/>
      <c r="H568" s="44"/>
      <c r="I568" s="44"/>
      <c r="J568" s="44"/>
      <c r="K568" s="44"/>
      <c r="L568" s="44"/>
      <c r="M568" s="44"/>
      <c r="N568" s="44"/>
      <c r="O568" s="44"/>
    </row>
    <row r="569" spans="1:15" ht="17.25" customHeight="1">
      <c r="A569" s="44"/>
      <c r="B569" s="44"/>
      <c r="C569" s="44"/>
      <c r="D569" s="44"/>
      <c r="E569" s="44"/>
      <c r="F569" s="44"/>
      <c r="G569" s="44"/>
      <c r="H569" s="44"/>
      <c r="I569" s="44"/>
      <c r="J569" s="44"/>
      <c r="K569" s="44"/>
      <c r="L569" s="44"/>
      <c r="M569" s="44"/>
      <c r="N569" s="44"/>
      <c r="O569" s="44"/>
    </row>
    <row r="570" spans="1:15" ht="17.25" customHeight="1">
      <c r="A570" s="44"/>
      <c r="B570" s="44"/>
      <c r="C570" s="44"/>
      <c r="D570" s="44"/>
      <c r="E570" s="44"/>
      <c r="F570" s="44"/>
      <c r="G570" s="44"/>
      <c r="H570" s="44"/>
      <c r="I570" s="44"/>
      <c r="J570" s="44"/>
      <c r="K570" s="44"/>
      <c r="L570" s="44"/>
      <c r="M570" s="44"/>
      <c r="N570" s="44"/>
      <c r="O570" s="44"/>
    </row>
    <row r="571" spans="1:15" ht="17.25" customHeight="1">
      <c r="A571" s="44"/>
      <c r="B571" s="44"/>
      <c r="C571" s="44"/>
      <c r="D571" s="44"/>
      <c r="E571" s="44"/>
      <c r="F571" s="44"/>
      <c r="G571" s="44"/>
      <c r="H571" s="44"/>
      <c r="I571" s="44"/>
      <c r="J571" s="44"/>
      <c r="K571" s="44"/>
      <c r="L571" s="44"/>
      <c r="M571" s="44"/>
      <c r="N571" s="44"/>
      <c r="O571" s="44"/>
    </row>
    <row r="572" spans="1:15" ht="17.25" customHeight="1">
      <c r="A572" s="44"/>
      <c r="B572" s="44"/>
      <c r="C572" s="44"/>
      <c r="D572" s="44"/>
      <c r="E572" s="44"/>
      <c r="F572" s="44"/>
      <c r="G572" s="44"/>
      <c r="H572" s="44"/>
      <c r="I572" s="44"/>
      <c r="J572" s="44"/>
      <c r="K572" s="44"/>
      <c r="L572" s="44"/>
      <c r="M572" s="44"/>
      <c r="N572" s="44"/>
      <c r="O572" s="44"/>
    </row>
    <row r="573" spans="1:15" ht="17.25" customHeight="1">
      <c r="A573" s="44"/>
      <c r="B573" s="44"/>
      <c r="C573" s="44"/>
      <c r="D573" s="44"/>
      <c r="E573" s="44"/>
      <c r="F573" s="44"/>
      <c r="G573" s="44"/>
      <c r="H573" s="44"/>
      <c r="I573" s="44"/>
      <c r="J573" s="44"/>
      <c r="K573" s="44"/>
      <c r="L573" s="44"/>
      <c r="M573" s="44"/>
      <c r="N573" s="44"/>
      <c r="O573" s="44"/>
    </row>
    <row r="574" spans="1:15" ht="17.25" customHeight="1">
      <c r="A574" s="44"/>
      <c r="B574" s="44"/>
      <c r="C574" s="44"/>
      <c r="D574" s="44"/>
      <c r="E574" s="44"/>
      <c r="F574" s="44"/>
      <c r="G574" s="44"/>
      <c r="H574" s="44"/>
      <c r="I574" s="44"/>
      <c r="J574" s="44"/>
      <c r="K574" s="44"/>
      <c r="L574" s="44"/>
      <c r="M574" s="44"/>
      <c r="N574" s="44"/>
      <c r="O574" s="44"/>
    </row>
    <row r="575" spans="1:15" ht="17.25" customHeight="1">
      <c r="A575" s="44"/>
      <c r="B575" s="44"/>
      <c r="C575" s="44"/>
      <c r="D575" s="44"/>
      <c r="E575" s="44"/>
      <c r="F575" s="44"/>
      <c r="G575" s="44"/>
      <c r="H575" s="44"/>
      <c r="I575" s="44"/>
      <c r="J575" s="44"/>
      <c r="K575" s="44"/>
      <c r="L575" s="44"/>
      <c r="M575" s="44"/>
      <c r="N575" s="44"/>
      <c r="O575" s="44"/>
    </row>
    <row r="576" spans="1:15" ht="17.25" customHeight="1">
      <c r="A576" s="44"/>
      <c r="B576" s="44"/>
      <c r="C576" s="44"/>
      <c r="D576" s="44"/>
      <c r="E576" s="44"/>
      <c r="F576" s="44"/>
      <c r="G576" s="44"/>
      <c r="H576" s="44"/>
      <c r="I576" s="44"/>
      <c r="J576" s="44"/>
      <c r="K576" s="44"/>
      <c r="L576" s="44"/>
      <c r="M576" s="44"/>
      <c r="N576" s="44"/>
      <c r="O576" s="44"/>
    </row>
    <row r="577" spans="1:15" ht="17.25" customHeight="1">
      <c r="A577" s="44"/>
      <c r="B577" s="44"/>
      <c r="C577" s="44"/>
      <c r="D577" s="44"/>
      <c r="E577" s="44"/>
      <c r="F577" s="44"/>
      <c r="G577" s="44"/>
      <c r="H577" s="44"/>
      <c r="I577" s="44"/>
      <c r="J577" s="44"/>
      <c r="K577" s="44"/>
      <c r="L577" s="44"/>
      <c r="M577" s="44"/>
      <c r="N577" s="44"/>
      <c r="O577" s="44"/>
    </row>
    <row r="578" spans="1:15" ht="17.25" customHeight="1">
      <c r="A578" s="44"/>
      <c r="B578" s="44"/>
      <c r="C578" s="44"/>
      <c r="D578" s="44"/>
      <c r="E578" s="44"/>
      <c r="F578" s="44"/>
      <c r="G578" s="44"/>
      <c r="H578" s="44"/>
      <c r="I578" s="44"/>
      <c r="J578" s="44"/>
      <c r="K578" s="44"/>
      <c r="L578" s="44"/>
      <c r="M578" s="44"/>
      <c r="N578" s="44"/>
      <c r="O578" s="44"/>
    </row>
    <row r="579" spans="1:15" ht="17.25" customHeight="1">
      <c r="A579" s="44"/>
      <c r="B579" s="44"/>
      <c r="C579" s="44"/>
      <c r="D579" s="44"/>
      <c r="E579" s="44"/>
      <c r="F579" s="44"/>
      <c r="G579" s="44"/>
      <c r="H579" s="44"/>
      <c r="I579" s="44"/>
      <c r="J579" s="44"/>
      <c r="K579" s="44"/>
      <c r="L579" s="44"/>
      <c r="M579" s="44"/>
      <c r="N579" s="44"/>
      <c r="O579" s="44"/>
    </row>
    <row r="580" spans="1:15" ht="17.25" customHeight="1">
      <c r="A580" s="44"/>
      <c r="B580" s="44"/>
      <c r="C580" s="44"/>
      <c r="D580" s="44"/>
      <c r="E580" s="44"/>
      <c r="F580" s="44"/>
      <c r="G580" s="44"/>
      <c r="H580" s="44"/>
      <c r="I580" s="44"/>
      <c r="J580" s="44"/>
      <c r="K580" s="44"/>
      <c r="L580" s="44"/>
      <c r="M580" s="44"/>
      <c r="N580" s="44"/>
      <c r="O580" s="44"/>
    </row>
    <row r="581" spans="1:15" ht="17.25" customHeight="1">
      <c r="A581" s="44"/>
      <c r="B581" s="44"/>
      <c r="C581" s="44"/>
      <c r="D581" s="44"/>
      <c r="E581" s="44"/>
      <c r="F581" s="44"/>
      <c r="G581" s="44"/>
      <c r="H581" s="44"/>
      <c r="I581" s="44"/>
      <c r="J581" s="44"/>
      <c r="K581" s="44"/>
      <c r="L581" s="44"/>
      <c r="M581" s="44"/>
      <c r="N581" s="44"/>
      <c r="O581" s="44"/>
    </row>
    <row r="582" spans="1:15" ht="17.25" customHeight="1">
      <c r="A582" s="44"/>
      <c r="B582" s="44"/>
      <c r="C582" s="44"/>
      <c r="D582" s="44"/>
      <c r="E582" s="44"/>
      <c r="F582" s="44"/>
      <c r="G582" s="44"/>
      <c r="H582" s="44"/>
      <c r="I582" s="44"/>
      <c r="J582" s="44"/>
      <c r="K582" s="44"/>
      <c r="L582" s="44"/>
      <c r="M582" s="44"/>
      <c r="N582" s="44"/>
      <c r="O582" s="44"/>
    </row>
    <row r="583" spans="1:15" ht="17.25" customHeight="1">
      <c r="A583" s="44"/>
      <c r="B583" s="44"/>
      <c r="C583" s="44"/>
      <c r="D583" s="44"/>
      <c r="E583" s="44"/>
      <c r="F583" s="44"/>
      <c r="G583" s="44"/>
      <c r="H583" s="44"/>
      <c r="I583" s="44"/>
      <c r="J583" s="44"/>
      <c r="K583" s="44"/>
      <c r="L583" s="44"/>
      <c r="M583" s="44"/>
      <c r="N583" s="44"/>
      <c r="O583" s="44"/>
    </row>
    <row r="584" spans="1:15" ht="17.25" customHeight="1">
      <c r="A584" s="44"/>
      <c r="B584" s="44"/>
      <c r="C584" s="44"/>
      <c r="D584" s="44"/>
      <c r="E584" s="44"/>
      <c r="F584" s="44"/>
      <c r="G584" s="44"/>
      <c r="H584" s="44"/>
      <c r="I584" s="44"/>
      <c r="J584" s="44"/>
      <c r="K584" s="44"/>
      <c r="L584" s="44"/>
      <c r="M584" s="44"/>
      <c r="N584" s="44"/>
      <c r="O584" s="44"/>
    </row>
    <row r="585" spans="1:15" ht="17.25" customHeight="1">
      <c r="A585" s="44"/>
      <c r="B585" s="44"/>
      <c r="C585" s="44"/>
      <c r="D585" s="44"/>
      <c r="E585" s="44"/>
      <c r="F585" s="44"/>
      <c r="G585" s="44"/>
      <c r="H585" s="44"/>
      <c r="I585" s="44"/>
      <c r="J585" s="44"/>
      <c r="K585" s="44"/>
      <c r="L585" s="44"/>
      <c r="M585" s="44"/>
      <c r="N585" s="44"/>
      <c r="O585" s="44"/>
    </row>
    <row r="586" spans="1:15" ht="17.25" customHeight="1">
      <c r="A586" s="44"/>
      <c r="B586" s="44"/>
      <c r="C586" s="44"/>
      <c r="D586" s="44"/>
      <c r="E586" s="44"/>
      <c r="F586" s="44"/>
      <c r="G586" s="44"/>
      <c r="H586" s="44"/>
      <c r="I586" s="44"/>
      <c r="J586" s="44"/>
      <c r="K586" s="44"/>
      <c r="L586" s="44"/>
      <c r="M586" s="44"/>
      <c r="N586" s="44"/>
      <c r="O586" s="44"/>
    </row>
    <row r="587" spans="1:15" ht="17.25" customHeight="1">
      <c r="A587" s="44"/>
      <c r="B587" s="44"/>
      <c r="C587" s="44"/>
      <c r="D587" s="44"/>
      <c r="E587" s="44"/>
      <c r="F587" s="44"/>
      <c r="G587" s="44"/>
      <c r="H587" s="44"/>
      <c r="I587" s="44"/>
      <c r="J587" s="44"/>
      <c r="K587" s="44"/>
      <c r="L587" s="44"/>
      <c r="M587" s="44"/>
      <c r="N587" s="44"/>
      <c r="O587" s="44"/>
    </row>
    <row r="588" spans="1:15" ht="17.25" customHeight="1">
      <c r="A588" s="44"/>
      <c r="B588" s="44"/>
      <c r="C588" s="44"/>
      <c r="D588" s="44"/>
      <c r="E588" s="44"/>
      <c r="F588" s="44"/>
      <c r="G588" s="44"/>
      <c r="H588" s="44"/>
      <c r="I588" s="44"/>
      <c r="J588" s="44"/>
      <c r="K588" s="44"/>
      <c r="L588" s="44"/>
      <c r="M588" s="44"/>
      <c r="N588" s="44"/>
      <c r="O588" s="44"/>
    </row>
    <row r="589" spans="1:15" ht="17.25" customHeight="1">
      <c r="A589" s="44"/>
      <c r="B589" s="44"/>
      <c r="C589" s="44"/>
      <c r="D589" s="44"/>
      <c r="E589" s="44"/>
      <c r="F589" s="44"/>
      <c r="G589" s="44"/>
      <c r="H589" s="44"/>
      <c r="I589" s="44"/>
      <c r="J589" s="44"/>
      <c r="K589" s="44"/>
      <c r="L589" s="44"/>
      <c r="M589" s="44"/>
      <c r="N589" s="44"/>
      <c r="O589" s="44"/>
    </row>
    <row r="590" spans="1:15" ht="17.25" customHeight="1">
      <c r="A590" s="44"/>
      <c r="B590" s="44"/>
      <c r="C590" s="44"/>
      <c r="D590" s="44"/>
      <c r="E590" s="44"/>
      <c r="F590" s="44"/>
      <c r="G590" s="44"/>
      <c r="H590" s="44"/>
      <c r="I590" s="44"/>
      <c r="J590" s="44"/>
      <c r="K590" s="44"/>
      <c r="L590" s="44"/>
      <c r="M590" s="44"/>
      <c r="N590" s="44"/>
      <c r="O590" s="44"/>
    </row>
    <row r="591" spans="1:15" ht="17.25" customHeight="1">
      <c r="A591" s="44"/>
      <c r="B591" s="44"/>
      <c r="C591" s="44"/>
      <c r="D591" s="44"/>
      <c r="E591" s="44"/>
      <c r="F591" s="44"/>
      <c r="G591" s="44"/>
      <c r="H591" s="44"/>
      <c r="I591" s="44"/>
      <c r="J591" s="44"/>
      <c r="K591" s="44"/>
      <c r="L591" s="44"/>
      <c r="M591" s="44"/>
      <c r="N591" s="44"/>
      <c r="O591" s="44"/>
    </row>
    <row r="592" spans="1:15" ht="17.25" customHeight="1">
      <c r="A592" s="44"/>
      <c r="B592" s="44"/>
      <c r="C592" s="44"/>
      <c r="D592" s="44"/>
      <c r="E592" s="44"/>
      <c r="F592" s="44"/>
      <c r="G592" s="44"/>
      <c r="H592" s="44"/>
      <c r="I592" s="44"/>
      <c r="J592" s="44"/>
      <c r="K592" s="44"/>
      <c r="L592" s="44"/>
      <c r="M592" s="44"/>
      <c r="N592" s="44"/>
      <c r="O592" s="44"/>
    </row>
    <row r="593" spans="1:15" ht="17.25" customHeight="1">
      <c r="A593" s="44"/>
      <c r="B593" s="44"/>
      <c r="C593" s="44"/>
      <c r="D593" s="44"/>
      <c r="E593" s="44"/>
      <c r="F593" s="44"/>
      <c r="G593" s="44"/>
      <c r="H593" s="44"/>
      <c r="I593" s="44"/>
      <c r="J593" s="44"/>
      <c r="K593" s="44"/>
      <c r="L593" s="44"/>
      <c r="M593" s="44"/>
      <c r="N593" s="44"/>
      <c r="O593" s="44"/>
    </row>
    <row r="594" spans="1:15" ht="17.25" customHeight="1">
      <c r="A594" s="44"/>
      <c r="B594" s="44"/>
      <c r="C594" s="44"/>
      <c r="D594" s="44"/>
      <c r="E594" s="44"/>
      <c r="F594" s="44"/>
      <c r="G594" s="44"/>
      <c r="H594" s="44"/>
      <c r="I594" s="44"/>
      <c r="J594" s="44"/>
      <c r="K594" s="44"/>
      <c r="L594" s="44"/>
      <c r="M594" s="44"/>
      <c r="N594" s="44"/>
      <c r="O594" s="44"/>
    </row>
    <row r="595" spans="1:15" ht="17.25" customHeight="1">
      <c r="A595" s="44"/>
      <c r="B595" s="44"/>
      <c r="C595" s="44"/>
      <c r="D595" s="44"/>
      <c r="E595" s="44"/>
      <c r="F595" s="44"/>
      <c r="G595" s="44"/>
      <c r="H595" s="44"/>
      <c r="I595" s="44"/>
      <c r="J595" s="44"/>
      <c r="K595" s="44"/>
      <c r="L595" s="44"/>
      <c r="M595" s="44"/>
      <c r="N595" s="44"/>
      <c r="O595" s="44"/>
    </row>
    <row r="596" spans="1:15" ht="17.25" customHeight="1">
      <c r="A596" s="44"/>
      <c r="B596" s="44"/>
      <c r="C596" s="44"/>
      <c r="D596" s="44"/>
      <c r="E596" s="44"/>
      <c r="F596" s="44"/>
      <c r="G596" s="44"/>
      <c r="H596" s="44"/>
      <c r="I596" s="44"/>
      <c r="J596" s="44"/>
      <c r="K596" s="44"/>
      <c r="L596" s="44"/>
      <c r="M596" s="44"/>
      <c r="N596" s="44"/>
      <c r="O596" s="44"/>
    </row>
    <row r="597" spans="1:15" ht="17.25" customHeight="1">
      <c r="A597" s="44"/>
      <c r="B597" s="44"/>
      <c r="C597" s="44"/>
      <c r="D597" s="44"/>
      <c r="E597" s="44"/>
      <c r="F597" s="44"/>
      <c r="G597" s="44"/>
      <c r="H597" s="44"/>
      <c r="I597" s="44"/>
      <c r="J597" s="44"/>
      <c r="K597" s="44"/>
      <c r="L597" s="44"/>
      <c r="M597" s="44"/>
      <c r="N597" s="44"/>
      <c r="O597" s="44"/>
    </row>
    <row r="598" spans="1:15" ht="17.25" customHeight="1">
      <c r="A598" s="44"/>
      <c r="B598" s="44"/>
      <c r="C598" s="44"/>
      <c r="D598" s="44"/>
      <c r="E598" s="44"/>
      <c r="F598" s="44"/>
      <c r="G598" s="44"/>
      <c r="H598" s="44"/>
      <c r="I598" s="44"/>
      <c r="J598" s="44"/>
      <c r="K598" s="44"/>
      <c r="L598" s="44"/>
      <c r="M598" s="44"/>
      <c r="N598" s="44"/>
      <c r="O598" s="44"/>
    </row>
    <row r="599" spans="1:15" ht="17.25" customHeight="1">
      <c r="A599" s="44"/>
      <c r="B599" s="44"/>
      <c r="C599" s="44"/>
      <c r="D599" s="44"/>
      <c r="E599" s="44"/>
      <c r="F599" s="44"/>
      <c r="G599" s="44"/>
      <c r="H599" s="44"/>
      <c r="I599" s="44"/>
      <c r="J599" s="44"/>
      <c r="K599" s="44"/>
      <c r="L599" s="44"/>
      <c r="M599" s="44"/>
      <c r="N599" s="44"/>
      <c r="O599" s="44"/>
    </row>
    <row r="600" spans="1:15" ht="17.25" customHeight="1">
      <c r="A600" s="44"/>
      <c r="B600" s="44"/>
      <c r="C600" s="44"/>
      <c r="D600" s="44"/>
      <c r="E600" s="44"/>
      <c r="F600" s="44"/>
      <c r="G600" s="44"/>
      <c r="H600" s="44"/>
      <c r="I600" s="44"/>
      <c r="J600" s="44"/>
      <c r="K600" s="44"/>
      <c r="L600" s="44"/>
      <c r="M600" s="44"/>
      <c r="N600" s="44"/>
      <c r="O600" s="44"/>
    </row>
    <row r="601" spans="1:15" ht="17.25" customHeight="1">
      <c r="A601" s="44"/>
      <c r="B601" s="44"/>
      <c r="C601" s="44"/>
      <c r="D601" s="44"/>
      <c r="E601" s="44"/>
      <c r="F601" s="44"/>
      <c r="G601" s="44"/>
      <c r="H601" s="44"/>
      <c r="I601" s="44"/>
      <c r="J601" s="44"/>
      <c r="K601" s="44"/>
      <c r="L601" s="44"/>
      <c r="M601" s="44"/>
      <c r="N601" s="44"/>
      <c r="O601" s="44"/>
    </row>
    <row r="602" spans="1:15" ht="17.25" customHeight="1">
      <c r="A602" s="44"/>
      <c r="B602" s="44"/>
      <c r="C602" s="44"/>
      <c r="D602" s="44"/>
      <c r="E602" s="44"/>
      <c r="F602" s="44"/>
      <c r="G602" s="44"/>
      <c r="H602" s="44"/>
      <c r="I602" s="44"/>
      <c r="J602" s="44"/>
      <c r="K602" s="44"/>
      <c r="L602" s="44"/>
      <c r="M602" s="44"/>
      <c r="N602" s="44"/>
      <c r="O602" s="44"/>
    </row>
    <row r="603" spans="1:15" ht="17.25" customHeight="1">
      <c r="A603" s="44"/>
      <c r="B603" s="44"/>
      <c r="C603" s="44"/>
      <c r="D603" s="44"/>
      <c r="E603" s="44"/>
      <c r="F603" s="44"/>
      <c r="G603" s="44"/>
      <c r="H603" s="44"/>
      <c r="I603" s="44"/>
      <c r="J603" s="44"/>
      <c r="K603" s="44"/>
      <c r="L603" s="44"/>
      <c r="M603" s="44"/>
      <c r="N603" s="44"/>
      <c r="O603" s="44"/>
    </row>
    <row r="604" spans="1:15" ht="17.25" customHeight="1">
      <c r="A604" s="44"/>
      <c r="B604" s="44"/>
      <c r="C604" s="44"/>
      <c r="D604" s="44"/>
      <c r="E604" s="44"/>
      <c r="F604" s="44"/>
      <c r="G604" s="44"/>
      <c r="H604" s="44"/>
      <c r="I604" s="44"/>
      <c r="J604" s="44"/>
      <c r="K604" s="44"/>
      <c r="L604" s="44"/>
      <c r="M604" s="44"/>
      <c r="N604" s="44"/>
      <c r="O604" s="44"/>
    </row>
    <row r="605" spans="1:15" ht="17.25" customHeight="1">
      <c r="A605" s="44"/>
      <c r="B605" s="44"/>
      <c r="C605" s="44"/>
      <c r="D605" s="44"/>
      <c r="E605" s="44"/>
      <c r="F605" s="44"/>
      <c r="G605" s="44"/>
      <c r="H605" s="44"/>
      <c r="I605" s="44"/>
      <c r="J605" s="44"/>
      <c r="K605" s="44"/>
      <c r="L605" s="44"/>
      <c r="M605" s="44"/>
      <c r="N605" s="44"/>
      <c r="O605" s="44"/>
    </row>
    <row r="606" spans="1:15" ht="17.25" customHeight="1">
      <c r="A606" s="44"/>
      <c r="B606" s="44"/>
      <c r="C606" s="44"/>
      <c r="D606" s="44"/>
      <c r="E606" s="44"/>
      <c r="F606" s="44"/>
      <c r="G606" s="44"/>
      <c r="H606" s="44"/>
      <c r="I606" s="44"/>
      <c r="J606" s="44"/>
      <c r="K606" s="44"/>
      <c r="L606" s="44"/>
      <c r="M606" s="44"/>
      <c r="N606" s="44"/>
      <c r="O606" s="44"/>
    </row>
    <row r="607" spans="1:15" ht="17.25" customHeight="1">
      <c r="A607" s="44"/>
      <c r="B607" s="44"/>
      <c r="C607" s="44"/>
      <c r="D607" s="44"/>
      <c r="E607" s="44"/>
      <c r="F607" s="44"/>
      <c r="G607" s="44"/>
      <c r="H607" s="44"/>
      <c r="I607" s="44"/>
      <c r="J607" s="44"/>
      <c r="K607" s="44"/>
      <c r="L607" s="44"/>
      <c r="M607" s="44"/>
      <c r="N607" s="44"/>
      <c r="O607" s="44"/>
    </row>
    <row r="608" spans="1:15" ht="17.25" customHeight="1">
      <c r="A608" s="44"/>
      <c r="B608" s="44"/>
      <c r="C608" s="44"/>
      <c r="D608" s="44"/>
      <c r="E608" s="44"/>
      <c r="F608" s="44"/>
      <c r="G608" s="44"/>
      <c r="H608" s="44"/>
      <c r="I608" s="44"/>
      <c r="J608" s="44"/>
      <c r="K608" s="44"/>
      <c r="L608" s="44"/>
      <c r="M608" s="44"/>
      <c r="N608" s="44"/>
      <c r="O608" s="44"/>
    </row>
    <row r="609" spans="1:15" ht="17.25" customHeight="1">
      <c r="A609" s="44"/>
      <c r="B609" s="44"/>
      <c r="C609" s="44"/>
      <c r="D609" s="44"/>
      <c r="E609" s="44"/>
      <c r="F609" s="44"/>
      <c r="G609" s="44"/>
      <c r="H609" s="44"/>
      <c r="I609" s="44"/>
      <c r="J609" s="44"/>
      <c r="K609" s="44"/>
      <c r="L609" s="44"/>
      <c r="M609" s="44"/>
      <c r="N609" s="44"/>
      <c r="O609" s="44"/>
    </row>
    <row r="610" spans="1:15" ht="17.25" customHeight="1">
      <c r="A610" s="44"/>
      <c r="B610" s="44"/>
      <c r="C610" s="44"/>
      <c r="D610" s="44"/>
      <c r="E610" s="44"/>
      <c r="F610" s="44"/>
      <c r="G610" s="44"/>
      <c r="H610" s="44"/>
      <c r="I610" s="44"/>
      <c r="J610" s="44"/>
      <c r="K610" s="44"/>
      <c r="L610" s="44"/>
      <c r="M610" s="44"/>
      <c r="N610" s="44"/>
      <c r="O610" s="44"/>
    </row>
    <row r="611" spans="1:15" ht="17.25" customHeight="1">
      <c r="A611" s="44"/>
      <c r="B611" s="44"/>
      <c r="C611" s="44"/>
      <c r="D611" s="44"/>
      <c r="E611" s="44"/>
      <c r="F611" s="44"/>
      <c r="G611" s="44"/>
      <c r="H611" s="44"/>
      <c r="I611" s="44"/>
      <c r="J611" s="44"/>
      <c r="K611" s="44"/>
      <c r="L611" s="44"/>
      <c r="M611" s="44"/>
      <c r="N611" s="44"/>
      <c r="O611" s="44"/>
    </row>
    <row r="612" spans="1:15" ht="17.25" customHeight="1">
      <c r="A612" s="44"/>
      <c r="B612" s="44"/>
      <c r="C612" s="44"/>
      <c r="D612" s="44"/>
      <c r="E612" s="44"/>
      <c r="F612" s="44"/>
      <c r="G612" s="44"/>
      <c r="H612" s="44"/>
      <c r="I612" s="44"/>
      <c r="J612" s="44"/>
      <c r="K612" s="44"/>
      <c r="L612" s="44"/>
      <c r="M612" s="44"/>
      <c r="N612" s="44"/>
      <c r="O612" s="44"/>
    </row>
    <row r="613" spans="1:15" ht="17.25" customHeight="1">
      <c r="A613" s="44"/>
      <c r="B613" s="44"/>
      <c r="C613" s="44"/>
      <c r="D613" s="44"/>
      <c r="E613" s="44"/>
      <c r="F613" s="44"/>
      <c r="G613" s="44"/>
      <c r="H613" s="44"/>
      <c r="I613" s="44"/>
      <c r="J613" s="44"/>
      <c r="K613" s="44"/>
      <c r="L613" s="44"/>
      <c r="M613" s="44"/>
      <c r="N613" s="44"/>
      <c r="O613" s="44"/>
    </row>
    <row r="614" spans="1:15" ht="17.25" customHeight="1">
      <c r="A614" s="44"/>
      <c r="B614" s="44"/>
      <c r="C614" s="44"/>
      <c r="D614" s="44"/>
      <c r="E614" s="44"/>
      <c r="F614" s="44"/>
      <c r="G614" s="44"/>
      <c r="H614" s="44"/>
      <c r="I614" s="44"/>
      <c r="J614" s="44"/>
      <c r="K614" s="44"/>
      <c r="L614" s="44"/>
      <c r="M614" s="44"/>
      <c r="N614" s="44"/>
      <c r="O614" s="44"/>
    </row>
    <row r="615" spans="1:15" ht="17.25" customHeight="1">
      <c r="A615" s="44"/>
      <c r="B615" s="44"/>
      <c r="C615" s="44"/>
      <c r="D615" s="44"/>
      <c r="E615" s="44"/>
      <c r="F615" s="44"/>
      <c r="G615" s="44"/>
      <c r="H615" s="44"/>
      <c r="I615" s="44"/>
      <c r="J615" s="44"/>
      <c r="K615" s="44"/>
      <c r="L615" s="44"/>
      <c r="M615" s="44"/>
      <c r="N615" s="44"/>
      <c r="O615" s="44"/>
    </row>
    <row r="616" spans="1:15" ht="17.25" customHeight="1">
      <c r="A616" s="44"/>
      <c r="B616" s="44"/>
      <c r="C616" s="44"/>
      <c r="D616" s="44"/>
      <c r="E616" s="44"/>
      <c r="F616" s="44"/>
      <c r="G616" s="44"/>
      <c r="H616" s="44"/>
      <c r="I616" s="44"/>
      <c r="J616" s="44"/>
      <c r="K616" s="44"/>
      <c r="L616" s="44"/>
      <c r="M616" s="44"/>
      <c r="N616" s="44"/>
      <c r="O616" s="44"/>
    </row>
    <row r="617" spans="1:15" ht="17.25" customHeight="1">
      <c r="A617" s="44"/>
      <c r="B617" s="44"/>
      <c r="C617" s="44"/>
      <c r="D617" s="44"/>
      <c r="E617" s="44"/>
      <c r="F617" s="44"/>
      <c r="G617" s="44"/>
      <c r="H617" s="44"/>
      <c r="I617" s="44"/>
      <c r="J617" s="44"/>
      <c r="K617" s="44"/>
      <c r="L617" s="44"/>
      <c r="M617" s="44"/>
      <c r="N617" s="44"/>
      <c r="O617" s="44"/>
    </row>
    <row r="618" spans="1:15" ht="17.25" customHeight="1">
      <c r="A618" s="44"/>
      <c r="B618" s="44"/>
      <c r="C618" s="44"/>
      <c r="D618" s="44"/>
      <c r="E618" s="44"/>
      <c r="F618" s="44"/>
      <c r="G618" s="44"/>
      <c r="H618" s="44"/>
      <c r="I618" s="44"/>
      <c r="J618" s="44"/>
      <c r="K618" s="44"/>
      <c r="L618" s="44"/>
      <c r="M618" s="44"/>
      <c r="N618" s="44"/>
      <c r="O618" s="44"/>
    </row>
    <row r="619" spans="1:15" ht="17.25" customHeight="1">
      <c r="A619" s="44"/>
      <c r="B619" s="44"/>
      <c r="C619" s="44"/>
      <c r="D619" s="44"/>
      <c r="E619" s="44"/>
      <c r="F619" s="44"/>
      <c r="G619" s="44"/>
      <c r="H619" s="44"/>
      <c r="I619" s="44"/>
      <c r="J619" s="44"/>
      <c r="K619" s="44"/>
      <c r="L619" s="44"/>
      <c r="M619" s="44"/>
      <c r="N619" s="44"/>
      <c r="O619" s="44"/>
    </row>
    <row r="620" spans="1:15" ht="17.25" customHeight="1">
      <c r="A620" s="44"/>
      <c r="B620" s="44"/>
      <c r="C620" s="44"/>
      <c r="D620" s="44"/>
      <c r="E620" s="44"/>
      <c r="F620" s="44"/>
      <c r="G620" s="44"/>
      <c r="H620" s="44"/>
      <c r="I620" s="44"/>
      <c r="J620" s="44"/>
      <c r="K620" s="44"/>
      <c r="L620" s="44"/>
      <c r="M620" s="44"/>
      <c r="N620" s="44"/>
      <c r="O620" s="44"/>
    </row>
    <row r="621" spans="1:15" ht="17.25" customHeight="1">
      <c r="A621" s="44"/>
      <c r="B621" s="44"/>
      <c r="C621" s="44"/>
      <c r="D621" s="44"/>
      <c r="E621" s="44"/>
      <c r="F621" s="44"/>
      <c r="G621" s="44"/>
      <c r="H621" s="44"/>
      <c r="I621" s="44"/>
      <c r="J621" s="44"/>
      <c r="K621" s="44"/>
      <c r="L621" s="44"/>
      <c r="M621" s="44"/>
      <c r="N621" s="44"/>
      <c r="O621" s="44"/>
    </row>
    <row r="622" spans="1:15" ht="17.25" customHeight="1">
      <c r="A622" s="44"/>
      <c r="B622" s="44"/>
      <c r="C622" s="44"/>
      <c r="D622" s="44"/>
      <c r="E622" s="44"/>
      <c r="F622" s="44"/>
      <c r="G622" s="44"/>
      <c r="H622" s="44"/>
      <c r="I622" s="44"/>
      <c r="J622" s="44"/>
      <c r="K622" s="44"/>
      <c r="L622" s="44"/>
      <c r="M622" s="44"/>
      <c r="N622" s="44"/>
      <c r="O622" s="44"/>
    </row>
    <row r="623" spans="1:15" ht="17.25" customHeight="1">
      <c r="A623" s="44"/>
      <c r="B623" s="44"/>
      <c r="C623" s="44"/>
      <c r="D623" s="44"/>
      <c r="E623" s="44"/>
      <c r="F623" s="44"/>
      <c r="G623" s="44"/>
      <c r="H623" s="44"/>
      <c r="I623" s="44"/>
      <c r="J623" s="44"/>
      <c r="K623" s="44"/>
      <c r="L623" s="44"/>
      <c r="M623" s="44"/>
      <c r="N623" s="44"/>
      <c r="O623" s="44"/>
    </row>
    <row r="624" spans="1:15" ht="17.25" customHeight="1">
      <c r="A624" s="44"/>
      <c r="B624" s="44"/>
      <c r="C624" s="44"/>
      <c r="D624" s="44"/>
      <c r="E624" s="44"/>
      <c r="F624" s="44"/>
      <c r="G624" s="44"/>
      <c r="H624" s="44"/>
      <c r="I624" s="44"/>
      <c r="J624" s="44"/>
      <c r="K624" s="44"/>
      <c r="L624" s="44"/>
      <c r="M624" s="44"/>
      <c r="N624" s="44"/>
      <c r="O624" s="44"/>
    </row>
    <row r="625" spans="1:15" ht="17.25" customHeight="1">
      <c r="A625" s="44"/>
      <c r="B625" s="44"/>
      <c r="C625" s="44"/>
      <c r="D625" s="44"/>
      <c r="E625" s="44"/>
      <c r="F625" s="44"/>
      <c r="G625" s="44"/>
      <c r="H625" s="44"/>
      <c r="I625" s="44"/>
      <c r="J625" s="44"/>
      <c r="K625" s="44"/>
      <c r="L625" s="44"/>
      <c r="M625" s="44"/>
      <c r="N625" s="44"/>
      <c r="O625" s="44"/>
    </row>
    <row r="626" spans="1:15" ht="17.25" customHeight="1">
      <c r="A626" s="44"/>
      <c r="B626" s="44"/>
      <c r="C626" s="44"/>
      <c r="D626" s="44"/>
      <c r="E626" s="44"/>
      <c r="F626" s="44"/>
      <c r="G626" s="44"/>
      <c r="H626" s="44"/>
      <c r="I626" s="44"/>
      <c r="J626" s="44"/>
      <c r="K626" s="44"/>
      <c r="L626" s="44"/>
      <c r="M626" s="44"/>
      <c r="N626" s="44"/>
      <c r="O626" s="44"/>
    </row>
    <row r="627" spans="1:15" ht="17.25" customHeight="1">
      <c r="A627" s="44"/>
      <c r="B627" s="44"/>
      <c r="C627" s="44"/>
      <c r="D627" s="44"/>
      <c r="E627" s="44"/>
      <c r="F627" s="44"/>
      <c r="G627" s="44"/>
      <c r="H627" s="44"/>
      <c r="I627" s="44"/>
      <c r="J627" s="44"/>
      <c r="K627" s="44"/>
      <c r="L627" s="44"/>
      <c r="M627" s="44"/>
      <c r="N627" s="44"/>
      <c r="O627" s="44"/>
    </row>
    <row r="628" spans="1:15" ht="17.25" customHeight="1">
      <c r="A628" s="44"/>
      <c r="B628" s="44"/>
      <c r="C628" s="44"/>
      <c r="D628" s="44"/>
      <c r="E628" s="44"/>
      <c r="F628" s="44"/>
      <c r="G628" s="44"/>
      <c r="H628" s="44"/>
      <c r="I628" s="44"/>
      <c r="J628" s="44"/>
      <c r="K628" s="44"/>
      <c r="L628" s="44"/>
      <c r="M628" s="44"/>
      <c r="N628" s="44"/>
      <c r="O628" s="44"/>
    </row>
    <row r="629" spans="1:15" ht="17.25" customHeight="1">
      <c r="A629" s="44"/>
      <c r="B629" s="44"/>
      <c r="C629" s="44"/>
      <c r="D629" s="44"/>
      <c r="E629" s="44"/>
      <c r="F629" s="44"/>
      <c r="G629" s="44"/>
      <c r="H629" s="44"/>
      <c r="I629" s="44"/>
      <c r="J629" s="44"/>
      <c r="K629" s="44"/>
      <c r="L629" s="44"/>
      <c r="M629" s="44"/>
      <c r="N629" s="44"/>
      <c r="O629" s="44"/>
    </row>
    <row r="630" spans="1:15" ht="17.25" customHeight="1">
      <c r="A630" s="44"/>
      <c r="B630" s="44"/>
      <c r="C630" s="44"/>
      <c r="D630" s="44"/>
      <c r="E630" s="44"/>
      <c r="F630" s="44"/>
      <c r="G630" s="44"/>
      <c r="H630" s="44"/>
      <c r="I630" s="44"/>
      <c r="J630" s="44"/>
      <c r="K630" s="44"/>
      <c r="L630" s="44"/>
      <c r="M630" s="44"/>
      <c r="N630" s="44"/>
      <c r="O630" s="44"/>
    </row>
    <row r="631" spans="1:15" ht="17.25" customHeight="1">
      <c r="A631" s="44"/>
      <c r="B631" s="44"/>
      <c r="C631" s="44"/>
      <c r="D631" s="44"/>
      <c r="E631" s="44"/>
      <c r="F631" s="44"/>
      <c r="G631" s="44"/>
      <c r="H631" s="44"/>
      <c r="I631" s="44"/>
      <c r="J631" s="44"/>
      <c r="K631" s="44"/>
      <c r="L631" s="44"/>
      <c r="M631" s="44"/>
      <c r="N631" s="44"/>
      <c r="O631" s="44"/>
    </row>
    <row r="632" spans="1:15" ht="17.25" customHeight="1">
      <c r="A632" s="44"/>
      <c r="B632" s="44"/>
      <c r="C632" s="44"/>
      <c r="D632" s="44"/>
      <c r="E632" s="44"/>
      <c r="F632" s="44"/>
      <c r="G632" s="44"/>
      <c r="H632" s="44"/>
      <c r="I632" s="44"/>
      <c r="J632" s="44"/>
      <c r="K632" s="44"/>
      <c r="L632" s="44"/>
      <c r="M632" s="44"/>
      <c r="N632" s="44"/>
      <c r="O632" s="44"/>
    </row>
    <row r="633" spans="1:15" ht="17.25" customHeight="1">
      <c r="A633" s="44"/>
      <c r="B633" s="44"/>
      <c r="C633" s="44"/>
      <c r="D633" s="44"/>
      <c r="E633" s="44"/>
      <c r="F633" s="44"/>
      <c r="G633" s="44"/>
      <c r="H633" s="44"/>
      <c r="I633" s="44"/>
      <c r="J633" s="44"/>
      <c r="K633" s="44"/>
      <c r="L633" s="44"/>
      <c r="M633" s="44"/>
      <c r="N633" s="44"/>
      <c r="O633" s="44"/>
    </row>
    <row r="634" spans="1:15" ht="17.25" customHeight="1">
      <c r="A634" s="44"/>
      <c r="B634" s="44"/>
      <c r="C634" s="44"/>
      <c r="D634" s="44"/>
      <c r="E634" s="44"/>
      <c r="F634" s="44"/>
      <c r="G634" s="44"/>
      <c r="H634" s="44"/>
      <c r="I634" s="44"/>
      <c r="J634" s="44"/>
      <c r="K634" s="44"/>
      <c r="L634" s="44"/>
      <c r="M634" s="44"/>
      <c r="N634" s="44"/>
      <c r="O634" s="44"/>
    </row>
    <row r="635" spans="1:15" ht="17.25" customHeight="1">
      <c r="A635" s="44"/>
      <c r="B635" s="44"/>
      <c r="C635" s="44"/>
      <c r="D635" s="44"/>
      <c r="E635" s="44"/>
      <c r="F635" s="44"/>
      <c r="G635" s="44"/>
      <c r="H635" s="44"/>
      <c r="I635" s="44"/>
      <c r="J635" s="44"/>
      <c r="K635" s="44"/>
      <c r="L635" s="44"/>
      <c r="M635" s="44"/>
      <c r="N635" s="44"/>
      <c r="O635" s="44"/>
    </row>
    <row r="636" spans="1:15" ht="17.25" customHeight="1">
      <c r="A636" s="44"/>
      <c r="B636" s="44"/>
      <c r="C636" s="44"/>
      <c r="D636" s="44"/>
      <c r="E636" s="44"/>
      <c r="F636" s="44"/>
      <c r="G636" s="44"/>
      <c r="H636" s="44"/>
      <c r="I636" s="44"/>
      <c r="J636" s="44"/>
      <c r="K636" s="44"/>
      <c r="L636" s="44"/>
      <c r="M636" s="44"/>
      <c r="N636" s="44"/>
      <c r="O636" s="44"/>
    </row>
    <row r="637" spans="1:15" ht="17.25" customHeight="1">
      <c r="A637" s="44"/>
      <c r="B637" s="44"/>
      <c r="C637" s="44"/>
      <c r="D637" s="44"/>
      <c r="E637" s="44"/>
      <c r="F637" s="44"/>
      <c r="G637" s="44"/>
      <c r="H637" s="44"/>
      <c r="I637" s="44"/>
      <c r="J637" s="44"/>
      <c r="K637" s="44"/>
      <c r="L637" s="44"/>
      <c r="M637" s="44"/>
      <c r="N637" s="44"/>
      <c r="O637" s="44"/>
    </row>
    <row r="638" spans="1:15" ht="17.25" customHeight="1">
      <c r="A638" s="44"/>
      <c r="B638" s="44"/>
      <c r="C638" s="44"/>
      <c r="D638" s="44"/>
      <c r="E638" s="44"/>
      <c r="F638" s="44"/>
      <c r="G638" s="44"/>
      <c r="H638" s="44"/>
      <c r="I638" s="44"/>
      <c r="J638" s="44"/>
      <c r="K638" s="44"/>
      <c r="L638" s="44"/>
      <c r="M638" s="44"/>
      <c r="N638" s="44"/>
      <c r="O638" s="44"/>
    </row>
    <row r="639" spans="1:15" ht="17.25" customHeight="1">
      <c r="A639" s="44"/>
      <c r="B639" s="44"/>
      <c r="C639" s="44"/>
      <c r="D639" s="44"/>
      <c r="E639" s="44"/>
      <c r="F639" s="44"/>
      <c r="G639" s="44"/>
      <c r="H639" s="44"/>
      <c r="I639" s="44"/>
      <c r="J639" s="44"/>
      <c r="K639" s="44"/>
      <c r="L639" s="44"/>
      <c r="M639" s="44"/>
      <c r="N639" s="44"/>
      <c r="O639" s="44"/>
    </row>
    <row r="640" spans="1:15" ht="17.25" customHeight="1">
      <c r="A640" s="44"/>
      <c r="B640" s="44"/>
      <c r="C640" s="44"/>
      <c r="D640" s="44"/>
      <c r="E640" s="44"/>
      <c r="F640" s="44"/>
      <c r="G640" s="44"/>
      <c r="H640" s="44"/>
      <c r="I640" s="44"/>
      <c r="J640" s="44"/>
      <c r="K640" s="44"/>
      <c r="L640" s="44"/>
      <c r="M640" s="44"/>
      <c r="N640" s="44"/>
      <c r="O640" s="44"/>
    </row>
    <row r="641" spans="1:15" ht="17.25" customHeight="1">
      <c r="A641" s="44"/>
      <c r="B641" s="44"/>
      <c r="C641" s="44"/>
      <c r="D641" s="44"/>
      <c r="E641" s="44"/>
      <c r="F641" s="44"/>
      <c r="G641" s="44"/>
      <c r="H641" s="44"/>
      <c r="I641" s="44"/>
      <c r="J641" s="44"/>
      <c r="K641" s="44"/>
      <c r="L641" s="44"/>
      <c r="M641" s="44"/>
      <c r="N641" s="44"/>
      <c r="O641" s="44"/>
    </row>
    <row r="642" spans="1:15" ht="17.25" customHeight="1">
      <c r="A642" s="44"/>
      <c r="B642" s="44"/>
      <c r="C642" s="44"/>
      <c r="D642" s="44"/>
      <c r="E642" s="44"/>
      <c r="F642" s="44"/>
      <c r="G642" s="44"/>
      <c r="H642" s="44"/>
      <c r="I642" s="44"/>
      <c r="J642" s="44"/>
      <c r="K642" s="44"/>
      <c r="L642" s="44"/>
      <c r="M642" s="44"/>
      <c r="N642" s="44"/>
      <c r="O642" s="44"/>
    </row>
    <row r="643" spans="1:15" ht="17.25" customHeight="1">
      <c r="A643" s="44"/>
      <c r="B643" s="44"/>
      <c r="C643" s="44"/>
      <c r="D643" s="44"/>
      <c r="E643" s="44"/>
      <c r="F643" s="44"/>
      <c r="G643" s="44"/>
      <c r="H643" s="44"/>
      <c r="I643" s="44"/>
      <c r="J643" s="44"/>
      <c r="K643" s="44"/>
      <c r="L643" s="44"/>
      <c r="M643" s="44"/>
      <c r="N643" s="44"/>
      <c r="O643" s="44"/>
    </row>
    <row r="644" spans="1:15" ht="17.25" customHeight="1">
      <c r="A644" s="44"/>
      <c r="B644" s="44"/>
      <c r="C644" s="44"/>
      <c r="D644" s="44"/>
      <c r="E644" s="44"/>
      <c r="F644" s="44"/>
      <c r="G644" s="44"/>
      <c r="H644" s="44"/>
      <c r="I644" s="44"/>
      <c r="J644" s="44"/>
      <c r="K644" s="44"/>
      <c r="L644" s="44"/>
      <c r="M644" s="44"/>
      <c r="N644" s="44"/>
      <c r="O644" s="44"/>
    </row>
    <row r="645" spans="1:15" ht="17.25" customHeight="1">
      <c r="A645" s="44"/>
      <c r="B645" s="44"/>
      <c r="C645" s="44"/>
      <c r="D645" s="44"/>
      <c r="E645" s="44"/>
      <c r="F645" s="44"/>
      <c r="G645" s="44"/>
      <c r="H645" s="44"/>
      <c r="I645" s="44"/>
      <c r="J645" s="44"/>
      <c r="K645" s="44"/>
      <c r="L645" s="44"/>
      <c r="M645" s="44"/>
      <c r="N645" s="44"/>
      <c r="O645" s="44"/>
    </row>
    <row r="646" spans="1:15" ht="17.25" customHeight="1">
      <c r="A646" s="44"/>
      <c r="B646" s="44"/>
      <c r="C646" s="44"/>
      <c r="D646" s="44"/>
      <c r="E646" s="44"/>
      <c r="F646" s="44"/>
      <c r="G646" s="44"/>
      <c r="H646" s="44"/>
      <c r="I646" s="44"/>
      <c r="J646" s="44"/>
      <c r="K646" s="44"/>
      <c r="L646" s="44"/>
      <c r="M646" s="44"/>
      <c r="N646" s="44"/>
      <c r="O646" s="44"/>
    </row>
    <row r="647" spans="1:15" ht="17.25" customHeight="1">
      <c r="A647" s="44"/>
      <c r="B647" s="44"/>
      <c r="C647" s="44"/>
      <c r="D647" s="44"/>
      <c r="E647" s="44"/>
      <c r="F647" s="44"/>
      <c r="G647" s="44"/>
      <c r="H647" s="44"/>
      <c r="I647" s="44"/>
      <c r="J647" s="44"/>
      <c r="K647" s="44"/>
      <c r="L647" s="44"/>
      <c r="M647" s="44"/>
      <c r="N647" s="44"/>
      <c r="O647" s="44"/>
    </row>
    <row r="648" spans="1:15" ht="17.25" customHeight="1">
      <c r="A648" s="44"/>
      <c r="B648" s="44"/>
      <c r="C648" s="44"/>
      <c r="D648" s="44"/>
      <c r="E648" s="44"/>
      <c r="F648" s="44"/>
      <c r="G648" s="44"/>
      <c r="H648" s="44"/>
      <c r="I648" s="44"/>
      <c r="J648" s="44"/>
      <c r="K648" s="44"/>
      <c r="L648" s="44"/>
      <c r="M648" s="44"/>
      <c r="N648" s="44"/>
      <c r="O648" s="44"/>
    </row>
    <row r="649" spans="1:15" ht="17.25" customHeight="1">
      <c r="A649" s="44"/>
      <c r="B649" s="44"/>
      <c r="C649" s="44"/>
      <c r="D649" s="44"/>
      <c r="E649" s="44"/>
      <c r="F649" s="44"/>
      <c r="G649" s="44"/>
      <c r="H649" s="44"/>
      <c r="I649" s="44"/>
      <c r="J649" s="44"/>
      <c r="K649" s="44"/>
      <c r="L649" s="44"/>
      <c r="M649" s="44"/>
      <c r="N649" s="44"/>
      <c r="O649" s="44"/>
    </row>
    <row r="650" spans="1:15" ht="17.25" customHeight="1">
      <c r="A650" s="44"/>
      <c r="B650" s="44"/>
      <c r="C650" s="44"/>
      <c r="D650" s="44"/>
      <c r="E650" s="44"/>
      <c r="F650" s="44"/>
      <c r="G650" s="44"/>
      <c r="H650" s="44"/>
      <c r="I650" s="44"/>
      <c r="J650" s="44"/>
      <c r="K650" s="44"/>
      <c r="L650" s="44"/>
      <c r="M650" s="44"/>
      <c r="N650" s="44"/>
      <c r="O650" s="44"/>
    </row>
    <row r="651" spans="1:15" ht="17.25" customHeight="1">
      <c r="A651" s="44"/>
      <c r="B651" s="44"/>
      <c r="C651" s="44"/>
      <c r="D651" s="44"/>
      <c r="E651" s="44"/>
      <c r="F651" s="44"/>
      <c r="G651" s="44"/>
      <c r="H651" s="44"/>
      <c r="I651" s="44"/>
      <c r="J651" s="44"/>
      <c r="K651" s="44"/>
      <c r="L651" s="44"/>
      <c r="M651" s="44"/>
      <c r="N651" s="44"/>
      <c r="O651" s="44"/>
    </row>
    <row r="652" spans="1:15" ht="17.25" customHeight="1">
      <c r="A652" s="44"/>
      <c r="B652" s="44"/>
      <c r="C652" s="44"/>
      <c r="D652" s="44"/>
      <c r="E652" s="44"/>
      <c r="F652" s="44"/>
      <c r="G652" s="44"/>
      <c r="H652" s="44"/>
      <c r="I652" s="44"/>
      <c r="J652" s="44"/>
      <c r="K652" s="44"/>
      <c r="L652" s="44"/>
      <c r="M652" s="44"/>
      <c r="N652" s="44"/>
      <c r="O652" s="44"/>
    </row>
    <row r="653" spans="1:15" ht="17.25" customHeight="1">
      <c r="A653" s="44"/>
      <c r="B653" s="44"/>
      <c r="C653" s="44"/>
      <c r="D653" s="44"/>
      <c r="E653" s="44"/>
      <c r="F653" s="44"/>
      <c r="G653" s="44"/>
      <c r="H653" s="44"/>
      <c r="I653" s="44"/>
      <c r="J653" s="44"/>
      <c r="K653" s="44"/>
      <c r="L653" s="44"/>
      <c r="M653" s="44"/>
      <c r="N653" s="44"/>
      <c r="O653" s="44"/>
    </row>
    <row r="654" spans="1:15" ht="17.25" customHeight="1">
      <c r="A654" s="44"/>
      <c r="B654" s="44"/>
      <c r="C654" s="44"/>
      <c r="D654" s="44"/>
      <c r="E654" s="44"/>
      <c r="F654" s="44"/>
      <c r="G654" s="44"/>
      <c r="H654" s="44"/>
      <c r="I654" s="44"/>
      <c r="J654" s="44"/>
      <c r="K654" s="44"/>
      <c r="L654" s="44"/>
      <c r="M654" s="44"/>
      <c r="N654" s="44"/>
      <c r="O654" s="44"/>
    </row>
    <row r="655" spans="1:15" ht="17.25" customHeight="1">
      <c r="A655" s="44"/>
      <c r="B655" s="44"/>
      <c r="C655" s="44"/>
      <c r="D655" s="44"/>
      <c r="E655" s="44"/>
      <c r="F655" s="44"/>
      <c r="G655" s="44"/>
      <c r="H655" s="44"/>
      <c r="I655" s="44"/>
      <c r="J655" s="44"/>
      <c r="K655" s="44"/>
      <c r="L655" s="44"/>
      <c r="M655" s="44"/>
      <c r="N655" s="44"/>
      <c r="O655" s="44"/>
    </row>
    <row r="656" spans="1:15" ht="17.25" customHeight="1">
      <c r="A656" s="44"/>
      <c r="B656" s="44"/>
      <c r="C656" s="44"/>
      <c r="D656" s="44"/>
      <c r="E656" s="44"/>
      <c r="F656" s="44"/>
      <c r="G656" s="44"/>
      <c r="H656" s="44"/>
      <c r="I656" s="44"/>
      <c r="J656" s="44"/>
      <c r="K656" s="44"/>
      <c r="L656" s="44"/>
      <c r="M656" s="44"/>
      <c r="N656" s="44"/>
      <c r="O656" s="44"/>
    </row>
    <row r="657" spans="1:15" ht="17.25" customHeight="1">
      <c r="A657" s="44"/>
      <c r="B657" s="44"/>
      <c r="C657" s="44"/>
      <c r="D657" s="44"/>
      <c r="E657" s="44"/>
      <c r="F657" s="44"/>
      <c r="G657" s="44"/>
      <c r="H657" s="44"/>
      <c r="I657" s="44"/>
      <c r="J657" s="44"/>
      <c r="K657" s="44"/>
      <c r="L657" s="44"/>
      <c r="M657" s="44"/>
      <c r="N657" s="44"/>
      <c r="O657" s="44"/>
    </row>
    <row r="658" spans="1:15" ht="17.25" customHeight="1">
      <c r="A658" s="44"/>
      <c r="B658" s="44"/>
      <c r="C658" s="44"/>
      <c r="D658" s="44"/>
      <c r="E658" s="44"/>
      <c r="F658" s="44"/>
      <c r="G658" s="44"/>
      <c r="H658" s="44"/>
      <c r="I658" s="44"/>
      <c r="J658" s="44"/>
      <c r="K658" s="44"/>
      <c r="L658" s="44"/>
      <c r="M658" s="44"/>
      <c r="N658" s="44"/>
      <c r="O658" s="44"/>
    </row>
    <row r="659" spans="1:15" ht="17.25" customHeight="1">
      <c r="A659" s="44"/>
      <c r="B659" s="44"/>
      <c r="C659" s="44"/>
      <c r="D659" s="44"/>
      <c r="E659" s="44"/>
      <c r="F659" s="44"/>
      <c r="G659" s="44"/>
      <c r="H659" s="44"/>
      <c r="I659" s="44"/>
      <c r="J659" s="44"/>
      <c r="K659" s="44"/>
      <c r="L659" s="44"/>
      <c r="M659" s="44"/>
      <c r="N659" s="44"/>
      <c r="O659" s="44"/>
    </row>
    <row r="660" spans="1:15" ht="17.25" customHeight="1">
      <c r="A660" s="44"/>
      <c r="B660" s="44"/>
      <c r="C660" s="44"/>
      <c r="D660" s="44"/>
      <c r="E660" s="44"/>
      <c r="F660" s="44"/>
      <c r="G660" s="44"/>
      <c r="H660" s="44"/>
      <c r="I660" s="44"/>
      <c r="J660" s="44"/>
      <c r="K660" s="44"/>
      <c r="L660" s="44"/>
      <c r="M660" s="44"/>
      <c r="N660" s="44"/>
      <c r="O660" s="44"/>
    </row>
    <row r="661" spans="1:15" ht="17.25" customHeight="1">
      <c r="A661" s="44"/>
      <c r="B661" s="44"/>
      <c r="C661" s="44"/>
      <c r="D661" s="44"/>
      <c r="E661" s="44"/>
      <c r="F661" s="44"/>
      <c r="G661" s="44"/>
      <c r="H661" s="44"/>
      <c r="I661" s="44"/>
      <c r="J661" s="44"/>
      <c r="K661" s="44"/>
      <c r="L661" s="44"/>
      <c r="M661" s="44"/>
      <c r="N661" s="44"/>
      <c r="O661" s="44"/>
    </row>
    <row r="662" spans="1:15" ht="17.25" customHeight="1">
      <c r="A662" s="44"/>
      <c r="B662" s="44"/>
      <c r="C662" s="44"/>
      <c r="D662" s="44"/>
      <c r="E662" s="44"/>
      <c r="F662" s="44"/>
      <c r="G662" s="44"/>
      <c r="H662" s="44"/>
      <c r="I662" s="44"/>
      <c r="J662" s="44"/>
      <c r="K662" s="44"/>
      <c r="L662" s="44"/>
      <c r="M662" s="44"/>
      <c r="N662" s="44"/>
      <c r="O662" s="44"/>
    </row>
    <row r="663" spans="1:15" ht="17.25" customHeight="1">
      <c r="A663" s="44"/>
      <c r="B663" s="44"/>
      <c r="C663" s="44"/>
      <c r="D663" s="44"/>
      <c r="E663" s="44"/>
      <c r="F663" s="44"/>
      <c r="G663" s="44"/>
      <c r="H663" s="44"/>
      <c r="I663" s="44"/>
      <c r="J663" s="44"/>
      <c r="K663" s="44"/>
      <c r="L663" s="44"/>
      <c r="M663" s="44"/>
      <c r="N663" s="44"/>
      <c r="O663" s="44"/>
    </row>
    <row r="664" spans="1:15" ht="17.25" customHeight="1">
      <c r="A664" s="44"/>
      <c r="B664" s="44"/>
      <c r="C664" s="44"/>
      <c r="D664" s="44"/>
      <c r="E664" s="44"/>
      <c r="F664" s="44"/>
      <c r="G664" s="44"/>
      <c r="H664" s="44"/>
      <c r="I664" s="44"/>
      <c r="J664" s="44"/>
      <c r="K664" s="44"/>
      <c r="L664" s="44"/>
      <c r="M664" s="44"/>
      <c r="N664" s="44"/>
      <c r="O664" s="44"/>
    </row>
    <row r="665" spans="1:15" ht="17.25" customHeight="1">
      <c r="A665" s="44"/>
      <c r="B665" s="44"/>
      <c r="C665" s="44"/>
      <c r="D665" s="44"/>
      <c r="E665" s="44"/>
      <c r="F665" s="44"/>
      <c r="G665" s="44"/>
      <c r="H665" s="44"/>
      <c r="I665" s="44"/>
      <c r="J665" s="44"/>
      <c r="K665" s="44"/>
      <c r="L665" s="44"/>
      <c r="M665" s="44"/>
      <c r="N665" s="44"/>
      <c r="O665" s="44"/>
    </row>
    <row r="666" spans="1:15" ht="17.25" customHeight="1">
      <c r="A666" s="44"/>
      <c r="B666" s="44"/>
      <c r="C666" s="44"/>
      <c r="D666" s="44"/>
      <c r="E666" s="44"/>
      <c r="F666" s="44"/>
      <c r="G666" s="44"/>
      <c r="H666" s="44"/>
      <c r="I666" s="44"/>
      <c r="J666" s="44"/>
      <c r="K666" s="44"/>
      <c r="L666" s="44"/>
      <c r="M666" s="44"/>
      <c r="N666" s="44"/>
      <c r="O666" s="44"/>
    </row>
    <row r="667" spans="1:15" ht="17.25" customHeight="1">
      <c r="A667" s="44"/>
      <c r="B667" s="44"/>
      <c r="C667" s="44"/>
      <c r="D667" s="44"/>
      <c r="E667" s="44"/>
      <c r="F667" s="44"/>
      <c r="G667" s="44"/>
      <c r="H667" s="44"/>
      <c r="I667" s="44"/>
      <c r="J667" s="44"/>
      <c r="K667" s="44"/>
      <c r="L667" s="44"/>
      <c r="M667" s="44"/>
      <c r="N667" s="44"/>
      <c r="O667" s="44"/>
    </row>
    <row r="668" spans="1:15" ht="17.25" customHeight="1">
      <c r="A668" s="44"/>
      <c r="B668" s="44"/>
      <c r="C668" s="44"/>
      <c r="D668" s="44"/>
      <c r="E668" s="44"/>
      <c r="F668" s="44"/>
      <c r="G668" s="44"/>
      <c r="H668" s="44"/>
      <c r="I668" s="44"/>
      <c r="J668" s="44"/>
      <c r="K668" s="44"/>
      <c r="L668" s="44"/>
      <c r="M668" s="44"/>
      <c r="N668" s="44"/>
      <c r="O668" s="44"/>
    </row>
    <row r="669" spans="1:15" ht="17.25" customHeight="1">
      <c r="A669" s="44"/>
      <c r="B669" s="44"/>
      <c r="C669" s="44"/>
      <c r="D669" s="44"/>
      <c r="E669" s="44"/>
      <c r="F669" s="44"/>
      <c r="G669" s="44"/>
      <c r="H669" s="44"/>
      <c r="I669" s="44"/>
      <c r="J669" s="44"/>
      <c r="K669" s="44"/>
      <c r="L669" s="44"/>
      <c r="M669" s="44"/>
      <c r="N669" s="44"/>
      <c r="O669" s="44"/>
    </row>
    <row r="670" spans="1:15" ht="17.25" customHeight="1">
      <c r="A670" s="44"/>
      <c r="B670" s="44"/>
      <c r="C670" s="44"/>
      <c r="D670" s="44"/>
      <c r="E670" s="44"/>
      <c r="F670" s="44"/>
      <c r="G670" s="44"/>
      <c r="H670" s="44"/>
      <c r="I670" s="44"/>
      <c r="J670" s="44"/>
      <c r="K670" s="44"/>
      <c r="L670" s="44"/>
      <c r="M670" s="44"/>
      <c r="N670" s="44"/>
      <c r="O670" s="44"/>
    </row>
    <row r="671" spans="1:15" ht="17.25" customHeight="1">
      <c r="A671" s="44"/>
      <c r="B671" s="44"/>
      <c r="C671" s="44"/>
      <c r="D671" s="44"/>
      <c r="E671" s="44"/>
      <c r="F671" s="44"/>
      <c r="G671" s="44"/>
      <c r="H671" s="44"/>
      <c r="I671" s="44"/>
      <c r="J671" s="44"/>
      <c r="K671" s="44"/>
      <c r="L671" s="44"/>
      <c r="M671" s="44"/>
      <c r="N671" s="44"/>
      <c r="O671" s="44"/>
    </row>
    <row r="672" spans="1:15" ht="17.25" customHeight="1">
      <c r="A672" s="44"/>
      <c r="B672" s="44"/>
      <c r="C672" s="44"/>
      <c r="D672" s="44"/>
      <c r="E672" s="44"/>
      <c r="F672" s="44"/>
      <c r="G672" s="44"/>
      <c r="H672" s="44"/>
      <c r="I672" s="44"/>
      <c r="J672" s="44"/>
      <c r="K672" s="44"/>
      <c r="L672" s="44"/>
      <c r="M672" s="44"/>
      <c r="N672" s="44"/>
      <c r="O672" s="44"/>
    </row>
    <row r="673" spans="1:15" ht="17.25" customHeight="1">
      <c r="A673" s="44"/>
      <c r="B673" s="44"/>
      <c r="C673" s="44"/>
      <c r="D673" s="44"/>
      <c r="E673" s="44"/>
      <c r="F673" s="44"/>
      <c r="G673" s="44"/>
      <c r="H673" s="44"/>
      <c r="I673" s="44"/>
      <c r="J673" s="44"/>
      <c r="K673" s="44"/>
      <c r="L673" s="44"/>
      <c r="M673" s="44"/>
      <c r="N673" s="44"/>
      <c r="O673" s="44"/>
    </row>
    <row r="674" spans="1:15" ht="17.25" customHeight="1">
      <c r="A674" s="44"/>
      <c r="B674" s="44"/>
      <c r="C674" s="44"/>
      <c r="D674" s="44"/>
      <c r="E674" s="44"/>
      <c r="F674" s="44"/>
      <c r="G674" s="44"/>
      <c r="H674" s="44"/>
      <c r="I674" s="44"/>
      <c r="J674" s="44"/>
      <c r="K674" s="44"/>
      <c r="L674" s="44"/>
      <c r="M674" s="44"/>
      <c r="N674" s="44"/>
      <c r="O674" s="44"/>
    </row>
    <row r="675" spans="1:15" ht="17.25" customHeight="1">
      <c r="A675" s="44"/>
      <c r="B675" s="44"/>
      <c r="C675" s="44"/>
      <c r="D675" s="44"/>
      <c r="E675" s="44"/>
      <c r="F675" s="44"/>
      <c r="G675" s="44"/>
      <c r="H675" s="44"/>
      <c r="I675" s="44"/>
      <c r="J675" s="44"/>
      <c r="K675" s="44"/>
      <c r="L675" s="44"/>
      <c r="M675" s="44"/>
      <c r="N675" s="44"/>
      <c r="O675" s="44"/>
    </row>
    <row r="676" spans="1:15" ht="17.25" customHeight="1">
      <c r="A676" s="44"/>
      <c r="B676" s="44"/>
      <c r="C676" s="44"/>
      <c r="D676" s="44"/>
      <c r="E676" s="44"/>
      <c r="F676" s="44"/>
      <c r="G676" s="44"/>
      <c r="H676" s="44"/>
      <c r="I676" s="44"/>
      <c r="J676" s="44"/>
      <c r="K676" s="44"/>
      <c r="L676" s="44"/>
      <c r="M676" s="44"/>
      <c r="N676" s="44"/>
      <c r="O676" s="44"/>
    </row>
    <row r="677" spans="1:15" ht="17.25" customHeight="1">
      <c r="A677" s="44"/>
      <c r="B677" s="44"/>
      <c r="C677" s="44"/>
      <c r="D677" s="44"/>
      <c r="E677" s="44"/>
      <c r="F677" s="44"/>
      <c r="G677" s="44"/>
      <c r="H677" s="44"/>
      <c r="I677" s="44"/>
      <c r="J677" s="44"/>
      <c r="K677" s="44"/>
      <c r="L677" s="44"/>
      <c r="M677" s="44"/>
      <c r="N677" s="44"/>
      <c r="O677" s="44"/>
    </row>
    <row r="678" spans="1:15" ht="17.25" customHeight="1">
      <c r="A678" s="44"/>
      <c r="B678" s="44"/>
      <c r="C678" s="44"/>
      <c r="D678" s="44"/>
      <c r="E678" s="44"/>
      <c r="F678" s="44"/>
      <c r="G678" s="44"/>
      <c r="H678" s="44"/>
      <c r="I678" s="44"/>
      <c r="J678" s="44"/>
      <c r="K678" s="44"/>
      <c r="L678" s="44"/>
      <c r="M678" s="44"/>
      <c r="N678" s="44"/>
      <c r="O678" s="44"/>
    </row>
    <row r="679" spans="1:15" ht="17.25" customHeight="1">
      <c r="A679" s="44"/>
      <c r="B679" s="44"/>
      <c r="C679" s="44"/>
      <c r="D679" s="44"/>
      <c r="E679" s="44"/>
      <c r="F679" s="44"/>
      <c r="G679" s="44"/>
      <c r="H679" s="44"/>
      <c r="I679" s="44"/>
      <c r="J679" s="44"/>
      <c r="K679" s="44"/>
      <c r="L679" s="44"/>
      <c r="M679" s="44"/>
      <c r="N679" s="44"/>
      <c r="O679" s="44"/>
    </row>
    <row r="680" spans="1:15" ht="17.25" customHeight="1">
      <c r="A680" s="44"/>
      <c r="B680" s="44"/>
      <c r="C680" s="44"/>
      <c r="D680" s="44"/>
      <c r="E680" s="44"/>
      <c r="F680" s="44"/>
      <c r="G680" s="44"/>
      <c r="H680" s="44"/>
      <c r="I680" s="44"/>
      <c r="J680" s="44"/>
      <c r="K680" s="44"/>
      <c r="L680" s="44"/>
      <c r="M680" s="44"/>
      <c r="N680" s="44"/>
      <c r="O680" s="44"/>
    </row>
    <row r="681" spans="1:15" ht="17.25" customHeight="1">
      <c r="A681" s="44"/>
      <c r="B681" s="44"/>
      <c r="C681" s="44"/>
      <c r="D681" s="44"/>
      <c r="E681" s="44"/>
      <c r="F681" s="44"/>
      <c r="G681" s="44"/>
      <c r="H681" s="44"/>
      <c r="I681" s="44"/>
      <c r="J681" s="44"/>
      <c r="K681" s="44"/>
      <c r="L681" s="44"/>
      <c r="M681" s="44"/>
      <c r="N681" s="44"/>
      <c r="O681" s="44"/>
    </row>
    <row r="682" spans="1:15" ht="17.25" customHeight="1">
      <c r="A682" s="44"/>
      <c r="B682" s="44"/>
      <c r="C682" s="44"/>
      <c r="D682" s="44"/>
      <c r="E682" s="44"/>
      <c r="F682" s="44"/>
      <c r="G682" s="44"/>
      <c r="H682" s="44"/>
      <c r="I682" s="44"/>
      <c r="J682" s="44"/>
      <c r="K682" s="44"/>
      <c r="L682" s="44"/>
      <c r="M682" s="44"/>
      <c r="N682" s="44"/>
      <c r="O682" s="44"/>
    </row>
    <row r="683" spans="1:15" ht="17.25" customHeight="1">
      <c r="A683" s="44"/>
      <c r="B683" s="44"/>
      <c r="C683" s="44"/>
      <c r="D683" s="44"/>
      <c r="E683" s="44"/>
      <c r="F683" s="44"/>
      <c r="G683" s="44"/>
      <c r="H683" s="44"/>
      <c r="I683" s="44"/>
      <c r="J683" s="44"/>
      <c r="K683" s="44"/>
      <c r="L683" s="44"/>
      <c r="M683" s="44"/>
      <c r="N683" s="44"/>
      <c r="O683" s="44"/>
    </row>
    <row r="684" spans="1:15" ht="17.25" customHeight="1">
      <c r="A684" s="44"/>
      <c r="B684" s="44"/>
      <c r="C684" s="44"/>
      <c r="D684" s="44"/>
      <c r="E684" s="44"/>
      <c r="F684" s="44"/>
      <c r="G684" s="44"/>
      <c r="H684" s="44"/>
      <c r="I684" s="44"/>
      <c r="J684" s="44"/>
      <c r="K684" s="44"/>
      <c r="L684" s="44"/>
      <c r="M684" s="44"/>
      <c r="N684" s="44"/>
      <c r="O684" s="44"/>
    </row>
    <row r="685" spans="1:15" ht="17.25" customHeight="1">
      <c r="A685" s="44"/>
      <c r="B685" s="44"/>
      <c r="C685" s="44"/>
      <c r="D685" s="44"/>
      <c r="E685" s="44"/>
      <c r="F685" s="44"/>
      <c r="G685" s="44"/>
      <c r="H685" s="44"/>
      <c r="I685" s="44"/>
      <c r="J685" s="44"/>
      <c r="K685" s="44"/>
      <c r="L685" s="44"/>
      <c r="M685" s="44"/>
      <c r="N685" s="44"/>
      <c r="O685" s="44"/>
    </row>
    <row r="686" spans="1:15" ht="17.25" customHeight="1">
      <c r="A686" s="44"/>
      <c r="B686" s="44"/>
      <c r="C686" s="44"/>
      <c r="D686" s="44"/>
      <c r="E686" s="44"/>
      <c r="F686" s="44"/>
      <c r="G686" s="44"/>
      <c r="H686" s="44"/>
      <c r="I686" s="44"/>
      <c r="J686" s="44"/>
      <c r="K686" s="44"/>
      <c r="L686" s="44"/>
      <c r="M686" s="44"/>
      <c r="N686" s="44"/>
      <c r="O686" s="44"/>
    </row>
    <row r="687" spans="1:15" ht="17.25" customHeight="1">
      <c r="A687" s="44"/>
      <c r="B687" s="44"/>
      <c r="C687" s="44"/>
      <c r="D687" s="44"/>
      <c r="E687" s="44"/>
      <c r="F687" s="44"/>
      <c r="G687" s="44"/>
      <c r="H687" s="44"/>
      <c r="I687" s="44"/>
      <c r="J687" s="44"/>
      <c r="K687" s="44"/>
      <c r="L687" s="44"/>
      <c r="M687" s="44"/>
      <c r="N687" s="44"/>
      <c r="O687" s="44"/>
    </row>
    <row r="688" spans="1:15" ht="17.25" customHeight="1">
      <c r="A688" s="44"/>
      <c r="B688" s="44"/>
      <c r="C688" s="44"/>
      <c r="D688" s="44"/>
      <c r="E688" s="44"/>
      <c r="F688" s="44"/>
      <c r="G688" s="44"/>
      <c r="H688" s="44"/>
      <c r="I688" s="44"/>
      <c r="J688" s="44"/>
      <c r="K688" s="44"/>
      <c r="L688" s="44"/>
      <c r="M688" s="44"/>
      <c r="N688" s="44"/>
      <c r="O688" s="44"/>
    </row>
    <row r="689" spans="1:15" ht="17.25" customHeight="1">
      <c r="A689" s="44"/>
      <c r="B689" s="44"/>
      <c r="C689" s="44"/>
      <c r="D689" s="44"/>
      <c r="E689" s="44"/>
      <c r="F689" s="44"/>
      <c r="G689" s="44"/>
      <c r="H689" s="44"/>
      <c r="I689" s="44"/>
      <c r="J689" s="44"/>
      <c r="K689" s="44"/>
      <c r="L689" s="44"/>
      <c r="M689" s="44"/>
      <c r="N689" s="44"/>
      <c r="O689" s="44"/>
    </row>
    <row r="690" spans="1:15" ht="17.25" customHeight="1">
      <c r="A690" s="44"/>
      <c r="B690" s="44"/>
      <c r="C690" s="44"/>
      <c r="D690" s="44"/>
      <c r="E690" s="44"/>
      <c r="F690" s="44"/>
      <c r="G690" s="44"/>
      <c r="H690" s="44"/>
      <c r="I690" s="44"/>
      <c r="J690" s="44"/>
      <c r="K690" s="44"/>
      <c r="L690" s="44"/>
      <c r="M690" s="44"/>
      <c r="N690" s="44"/>
      <c r="O690" s="44"/>
    </row>
    <row r="691" spans="1:15" ht="17.25" customHeight="1">
      <c r="A691" s="44"/>
      <c r="B691" s="44"/>
      <c r="C691" s="44"/>
      <c r="D691" s="44"/>
      <c r="E691" s="44"/>
      <c r="F691" s="44"/>
      <c r="G691" s="44"/>
      <c r="H691" s="44"/>
      <c r="I691" s="44"/>
      <c r="J691" s="44"/>
      <c r="K691" s="44"/>
      <c r="L691" s="44"/>
      <c r="M691" s="44"/>
      <c r="N691" s="44"/>
      <c r="O691" s="44"/>
    </row>
    <row r="692" spans="1:15" ht="17.25" customHeight="1">
      <c r="A692" s="44"/>
      <c r="B692" s="44"/>
      <c r="C692" s="44"/>
      <c r="D692" s="44"/>
      <c r="E692" s="44"/>
      <c r="F692" s="44"/>
      <c r="G692" s="44"/>
      <c r="H692" s="44"/>
      <c r="I692" s="44"/>
      <c r="J692" s="44"/>
      <c r="K692" s="44"/>
      <c r="L692" s="44"/>
      <c r="M692" s="44"/>
      <c r="N692" s="44"/>
      <c r="O692" s="44"/>
    </row>
    <row r="693" spans="1:15" ht="17.25" customHeight="1">
      <c r="A693" s="44"/>
      <c r="B693" s="44"/>
      <c r="C693" s="44"/>
      <c r="D693" s="44"/>
      <c r="E693" s="44"/>
      <c r="F693" s="44"/>
      <c r="G693" s="44"/>
      <c r="H693" s="44"/>
      <c r="I693" s="44"/>
      <c r="J693" s="44"/>
      <c r="K693" s="44"/>
      <c r="L693" s="44"/>
      <c r="M693" s="44"/>
      <c r="N693" s="44"/>
      <c r="O693" s="44"/>
    </row>
    <row r="694" spans="1:15" ht="17.25" customHeight="1">
      <c r="A694" s="44"/>
      <c r="B694" s="44"/>
      <c r="C694" s="44"/>
      <c r="D694" s="44"/>
      <c r="E694" s="44"/>
      <c r="F694" s="44"/>
      <c r="G694" s="44"/>
      <c r="H694" s="44"/>
      <c r="I694" s="44"/>
      <c r="J694" s="44"/>
      <c r="K694" s="44"/>
      <c r="L694" s="44"/>
      <c r="M694" s="44"/>
      <c r="N694" s="44"/>
      <c r="O694" s="44"/>
    </row>
    <row r="695" spans="1:15" ht="17.25" customHeight="1">
      <c r="A695" s="44"/>
      <c r="B695" s="44"/>
      <c r="C695" s="44"/>
      <c r="D695" s="44"/>
      <c r="E695" s="44"/>
      <c r="F695" s="44"/>
      <c r="G695" s="44"/>
      <c r="H695" s="44"/>
      <c r="I695" s="44"/>
      <c r="J695" s="44"/>
      <c r="K695" s="44"/>
      <c r="L695" s="44"/>
      <c r="M695" s="44"/>
      <c r="N695" s="44"/>
      <c r="O695" s="44"/>
    </row>
    <row r="696" spans="1:15" ht="17.25" customHeight="1">
      <c r="A696" s="44"/>
      <c r="B696" s="44"/>
      <c r="C696" s="44"/>
      <c r="D696" s="44"/>
      <c r="E696" s="44"/>
      <c r="F696" s="44"/>
      <c r="G696" s="44"/>
      <c r="H696" s="44"/>
      <c r="I696" s="44"/>
      <c r="J696" s="44"/>
      <c r="K696" s="44"/>
      <c r="L696" s="44"/>
      <c r="M696" s="44"/>
      <c r="N696" s="44"/>
      <c r="O696" s="44"/>
    </row>
    <row r="697" spans="1:15" ht="17.25" customHeight="1">
      <c r="A697" s="44"/>
      <c r="B697" s="44"/>
      <c r="C697" s="44"/>
      <c r="D697" s="44"/>
      <c r="E697" s="44"/>
      <c r="F697" s="44"/>
      <c r="G697" s="44"/>
      <c r="H697" s="44"/>
      <c r="I697" s="44"/>
      <c r="J697" s="44"/>
      <c r="K697" s="44"/>
      <c r="L697" s="44"/>
      <c r="M697" s="44"/>
      <c r="N697" s="44"/>
      <c r="O697" s="44"/>
    </row>
    <row r="698" spans="1:15" ht="17.25" customHeight="1">
      <c r="A698" s="44"/>
      <c r="B698" s="44"/>
      <c r="C698" s="44"/>
      <c r="D698" s="44"/>
      <c r="E698" s="44"/>
      <c r="F698" s="44"/>
      <c r="G698" s="44"/>
      <c r="H698" s="44"/>
      <c r="I698" s="44"/>
      <c r="J698" s="44"/>
      <c r="K698" s="44"/>
      <c r="L698" s="44"/>
      <c r="M698" s="44"/>
      <c r="N698" s="44"/>
      <c r="O698" s="44"/>
    </row>
    <row r="699" spans="1:15" ht="17.25" customHeight="1">
      <c r="A699" s="44"/>
      <c r="B699" s="44"/>
      <c r="C699" s="44"/>
      <c r="D699" s="44"/>
      <c r="E699" s="44"/>
      <c r="F699" s="44"/>
      <c r="G699" s="44"/>
      <c r="H699" s="44"/>
      <c r="I699" s="44"/>
      <c r="J699" s="44"/>
      <c r="K699" s="44"/>
      <c r="L699" s="44"/>
      <c r="M699" s="44"/>
      <c r="N699" s="44"/>
      <c r="O699" s="44"/>
    </row>
    <row r="700" spans="1:15" ht="17.25" customHeight="1">
      <c r="A700" s="44"/>
      <c r="B700" s="44"/>
      <c r="C700" s="44"/>
      <c r="D700" s="44"/>
      <c r="E700" s="44"/>
      <c r="F700" s="44"/>
      <c r="G700" s="44"/>
      <c r="H700" s="44"/>
      <c r="I700" s="44"/>
      <c r="J700" s="44"/>
      <c r="K700" s="44"/>
      <c r="L700" s="44"/>
      <c r="M700" s="44"/>
      <c r="N700" s="44"/>
      <c r="O700" s="44"/>
    </row>
    <row r="701" spans="1:15" ht="17.25" customHeight="1">
      <c r="A701" s="44"/>
      <c r="B701" s="44"/>
      <c r="C701" s="44"/>
      <c r="D701" s="44"/>
      <c r="E701" s="44"/>
      <c r="F701" s="44"/>
      <c r="G701" s="44"/>
      <c r="H701" s="44"/>
      <c r="I701" s="44"/>
      <c r="J701" s="44"/>
      <c r="K701" s="44"/>
      <c r="L701" s="44"/>
      <c r="M701" s="44"/>
      <c r="N701" s="44"/>
      <c r="O701" s="44"/>
    </row>
    <row r="702" spans="1:15" ht="17.25" customHeight="1">
      <c r="A702" s="44"/>
      <c r="B702" s="44"/>
      <c r="C702" s="44"/>
      <c r="D702" s="44"/>
      <c r="E702" s="44"/>
      <c r="F702" s="44"/>
      <c r="G702" s="44"/>
      <c r="H702" s="44"/>
      <c r="I702" s="44"/>
      <c r="J702" s="44"/>
      <c r="K702" s="44"/>
      <c r="L702" s="44"/>
      <c r="M702" s="44"/>
      <c r="N702" s="44"/>
      <c r="O702" s="44"/>
    </row>
    <row r="703" spans="1:15" ht="17.25" customHeight="1">
      <c r="A703" s="44"/>
      <c r="B703" s="44"/>
      <c r="C703" s="44"/>
      <c r="D703" s="44"/>
      <c r="E703" s="44"/>
      <c r="F703" s="44"/>
      <c r="G703" s="44"/>
      <c r="H703" s="44"/>
      <c r="I703" s="44"/>
      <c r="J703" s="44"/>
      <c r="K703" s="44"/>
      <c r="L703" s="44"/>
      <c r="M703" s="44"/>
      <c r="N703" s="44"/>
      <c r="O703" s="44"/>
    </row>
    <row r="704" spans="1:15" ht="17.25" customHeight="1">
      <c r="A704" s="44"/>
      <c r="B704" s="44"/>
      <c r="C704" s="44"/>
      <c r="D704" s="44"/>
      <c r="E704" s="44"/>
      <c r="F704" s="44"/>
      <c r="G704" s="44"/>
      <c r="H704" s="44"/>
      <c r="I704" s="44"/>
      <c r="J704" s="44"/>
      <c r="K704" s="44"/>
      <c r="L704" s="44"/>
      <c r="M704" s="44"/>
      <c r="N704" s="44"/>
      <c r="O704" s="44"/>
    </row>
    <row r="705" spans="1:15" ht="17.25" customHeight="1">
      <c r="A705" s="44"/>
      <c r="B705" s="44"/>
      <c r="C705" s="44"/>
      <c r="D705" s="44"/>
      <c r="E705" s="44"/>
      <c r="F705" s="44"/>
      <c r="G705" s="44"/>
      <c r="H705" s="44"/>
      <c r="I705" s="44"/>
      <c r="J705" s="44"/>
      <c r="K705" s="44"/>
      <c r="L705" s="44"/>
      <c r="M705" s="44"/>
      <c r="N705" s="44"/>
      <c r="O705" s="44"/>
    </row>
    <row r="706" spans="1:15" ht="17.25" customHeight="1">
      <c r="A706" s="44"/>
      <c r="B706" s="44"/>
      <c r="C706" s="44"/>
      <c r="D706" s="44"/>
      <c r="E706" s="44"/>
      <c r="F706" s="44"/>
      <c r="G706" s="44"/>
      <c r="H706" s="44"/>
      <c r="I706" s="44"/>
      <c r="J706" s="44"/>
      <c r="K706" s="44"/>
      <c r="L706" s="44"/>
      <c r="M706" s="44"/>
      <c r="N706" s="44"/>
      <c r="O706" s="44"/>
    </row>
    <row r="707" spans="1:15" ht="17.25" customHeight="1">
      <c r="A707" s="44"/>
      <c r="B707" s="44"/>
      <c r="C707" s="44"/>
      <c r="D707" s="44"/>
      <c r="E707" s="44"/>
      <c r="F707" s="44"/>
      <c r="G707" s="44"/>
      <c r="H707" s="44"/>
      <c r="I707" s="44"/>
      <c r="J707" s="44"/>
      <c r="K707" s="44"/>
      <c r="L707" s="44"/>
      <c r="M707" s="44"/>
      <c r="N707" s="44"/>
      <c r="O707" s="44"/>
    </row>
    <row r="708" spans="1:15" ht="17.25" customHeight="1">
      <c r="A708" s="44"/>
      <c r="B708" s="44"/>
      <c r="C708" s="44"/>
      <c r="D708" s="44"/>
      <c r="E708" s="44"/>
      <c r="F708" s="44"/>
      <c r="G708" s="44"/>
      <c r="H708" s="44"/>
      <c r="I708" s="44"/>
      <c r="J708" s="44"/>
      <c r="K708" s="44"/>
      <c r="L708" s="44"/>
      <c r="M708" s="44"/>
      <c r="N708" s="44"/>
      <c r="O708" s="44"/>
    </row>
    <row r="709" spans="1:15" ht="17.25" customHeight="1">
      <c r="A709" s="44"/>
      <c r="B709" s="44"/>
      <c r="C709" s="44"/>
      <c r="D709" s="44"/>
      <c r="E709" s="44"/>
      <c r="F709" s="44"/>
      <c r="G709" s="44"/>
      <c r="H709" s="44"/>
      <c r="I709" s="44"/>
      <c r="J709" s="44"/>
      <c r="K709" s="44"/>
      <c r="L709" s="44"/>
      <c r="M709" s="44"/>
      <c r="N709" s="44"/>
      <c r="O709" s="44"/>
    </row>
    <row r="710" spans="1:15" ht="17.25" customHeight="1">
      <c r="A710" s="44"/>
      <c r="B710" s="44"/>
      <c r="C710" s="44"/>
      <c r="D710" s="44"/>
      <c r="E710" s="44"/>
      <c r="F710" s="44"/>
      <c r="G710" s="44"/>
      <c r="H710" s="44"/>
      <c r="I710" s="44"/>
      <c r="J710" s="44"/>
      <c r="K710" s="44"/>
      <c r="L710" s="44"/>
      <c r="M710" s="44"/>
      <c r="N710" s="44"/>
      <c r="O710" s="44"/>
    </row>
    <row r="711" spans="1:15" ht="17.25" customHeight="1">
      <c r="A711" s="44"/>
      <c r="B711" s="44"/>
      <c r="C711" s="44"/>
      <c r="D711" s="44"/>
      <c r="E711" s="44"/>
      <c r="F711" s="44"/>
      <c r="G711" s="44"/>
      <c r="H711" s="44"/>
      <c r="I711" s="44"/>
      <c r="J711" s="44"/>
      <c r="K711" s="44"/>
      <c r="L711" s="44"/>
      <c r="M711" s="44"/>
      <c r="N711" s="44"/>
      <c r="O711" s="44"/>
    </row>
    <row r="712" spans="1:15" ht="17.25" customHeight="1">
      <c r="A712" s="44"/>
      <c r="B712" s="44"/>
      <c r="C712" s="44"/>
      <c r="D712" s="44"/>
      <c r="E712" s="44"/>
      <c r="F712" s="44"/>
      <c r="G712" s="44"/>
      <c r="H712" s="44"/>
      <c r="I712" s="44"/>
      <c r="J712" s="44"/>
      <c r="K712" s="44"/>
      <c r="L712" s="44"/>
      <c r="M712" s="44"/>
      <c r="N712" s="44"/>
      <c r="O712" s="44"/>
    </row>
    <row r="713" spans="1:15" ht="17.25" customHeight="1">
      <c r="A713" s="44"/>
      <c r="B713" s="44"/>
      <c r="C713" s="44"/>
      <c r="D713" s="44"/>
      <c r="E713" s="44"/>
      <c r="F713" s="44"/>
      <c r="G713" s="44"/>
      <c r="H713" s="44"/>
      <c r="I713" s="44"/>
      <c r="J713" s="44"/>
      <c r="K713" s="44"/>
      <c r="L713" s="44"/>
      <c r="M713" s="44"/>
      <c r="N713" s="44"/>
      <c r="O713" s="44"/>
    </row>
    <row r="714" spans="1:15" ht="17.25" customHeight="1">
      <c r="A714" s="44"/>
      <c r="B714" s="44"/>
      <c r="C714" s="44"/>
      <c r="D714" s="44"/>
      <c r="E714" s="44"/>
      <c r="F714" s="44"/>
      <c r="G714" s="44"/>
      <c r="H714" s="44"/>
      <c r="I714" s="44"/>
      <c r="J714" s="44"/>
      <c r="K714" s="44"/>
      <c r="L714" s="44"/>
      <c r="M714" s="44"/>
      <c r="N714" s="44"/>
      <c r="O714" s="44"/>
    </row>
    <row r="715" spans="1:15" ht="17.25" customHeight="1">
      <c r="A715" s="44"/>
      <c r="B715" s="44"/>
      <c r="C715" s="44"/>
      <c r="D715" s="44"/>
      <c r="E715" s="44"/>
      <c r="F715" s="44"/>
      <c r="G715" s="44"/>
      <c r="H715" s="44"/>
      <c r="I715" s="44"/>
      <c r="J715" s="44"/>
      <c r="K715" s="44"/>
      <c r="L715" s="44"/>
      <c r="M715" s="44"/>
      <c r="N715" s="44"/>
      <c r="O715" s="44"/>
    </row>
    <row r="716" spans="1:15" ht="17.25" customHeight="1">
      <c r="A716" s="44"/>
      <c r="B716" s="44"/>
      <c r="C716" s="44"/>
      <c r="D716" s="44"/>
      <c r="E716" s="44"/>
      <c r="F716" s="44"/>
      <c r="G716" s="44"/>
      <c r="H716" s="44"/>
      <c r="I716" s="44"/>
      <c r="J716" s="44"/>
      <c r="K716" s="44"/>
      <c r="L716" s="44"/>
      <c r="M716" s="44"/>
      <c r="N716" s="44"/>
      <c r="O716" s="44"/>
    </row>
    <row r="717" spans="1:15" ht="17.25" customHeight="1">
      <c r="A717" s="44"/>
      <c r="B717" s="44"/>
      <c r="C717" s="44"/>
      <c r="D717" s="44"/>
      <c r="E717" s="44"/>
      <c r="F717" s="44"/>
      <c r="G717" s="44"/>
      <c r="H717" s="44"/>
      <c r="I717" s="44"/>
      <c r="J717" s="44"/>
      <c r="K717" s="44"/>
      <c r="L717" s="44"/>
      <c r="M717" s="44"/>
      <c r="N717" s="44"/>
      <c r="O717" s="44"/>
    </row>
    <row r="718" spans="1:15" ht="17.25" customHeight="1">
      <c r="A718" s="44"/>
      <c r="B718" s="44"/>
      <c r="C718" s="44"/>
      <c r="D718" s="44"/>
      <c r="E718" s="44"/>
      <c r="F718" s="44"/>
      <c r="G718" s="44"/>
      <c r="H718" s="44"/>
      <c r="I718" s="44"/>
      <c r="J718" s="44"/>
      <c r="K718" s="44"/>
      <c r="L718" s="44"/>
      <c r="M718" s="44"/>
      <c r="N718" s="44"/>
      <c r="O718" s="44"/>
    </row>
    <row r="719" spans="1:15" ht="17.25" customHeight="1">
      <c r="A719" s="44"/>
      <c r="B719" s="44"/>
      <c r="C719" s="44"/>
      <c r="D719" s="44"/>
      <c r="E719" s="44"/>
      <c r="F719" s="44"/>
      <c r="G719" s="44"/>
      <c r="H719" s="44"/>
      <c r="I719" s="44"/>
      <c r="J719" s="44"/>
      <c r="K719" s="44"/>
      <c r="L719" s="44"/>
      <c r="M719" s="44"/>
      <c r="N719" s="44"/>
      <c r="O719" s="44"/>
    </row>
    <row r="720" spans="1:15" ht="17.25" customHeight="1">
      <c r="A720" s="44"/>
      <c r="B720" s="44"/>
      <c r="C720" s="44"/>
      <c r="D720" s="44"/>
      <c r="E720" s="44"/>
      <c r="F720" s="44"/>
      <c r="G720" s="44"/>
      <c r="H720" s="44"/>
      <c r="I720" s="44"/>
      <c r="J720" s="44"/>
      <c r="K720" s="44"/>
      <c r="L720" s="44"/>
      <c r="M720" s="44"/>
      <c r="N720" s="44"/>
      <c r="O720" s="44"/>
    </row>
    <row r="721" spans="1:15" ht="17.25" customHeight="1">
      <c r="A721" s="44"/>
      <c r="B721" s="44"/>
      <c r="C721" s="44"/>
      <c r="D721" s="44"/>
      <c r="E721" s="44"/>
      <c r="F721" s="44"/>
      <c r="G721" s="44"/>
      <c r="H721" s="44"/>
      <c r="I721" s="44"/>
      <c r="J721" s="44"/>
      <c r="K721" s="44"/>
      <c r="L721" s="44"/>
      <c r="M721" s="44"/>
      <c r="N721" s="44"/>
      <c r="O721" s="44"/>
    </row>
    <row r="722" spans="1:15" ht="17.25" customHeight="1">
      <c r="A722" s="44"/>
      <c r="B722" s="44"/>
      <c r="C722" s="44"/>
      <c r="D722" s="44"/>
      <c r="E722" s="44"/>
      <c r="F722" s="44"/>
      <c r="G722" s="44"/>
      <c r="H722" s="44"/>
      <c r="I722" s="44"/>
      <c r="J722" s="44"/>
      <c r="K722" s="44"/>
      <c r="L722" s="44"/>
      <c r="M722" s="44"/>
      <c r="N722" s="44"/>
      <c r="O722" s="44"/>
    </row>
    <row r="723" spans="1:15" ht="17.25" customHeight="1">
      <c r="A723" s="44"/>
      <c r="B723" s="44"/>
      <c r="C723" s="44"/>
      <c r="D723" s="44"/>
      <c r="E723" s="44"/>
      <c r="F723" s="44"/>
      <c r="G723" s="44"/>
      <c r="H723" s="44"/>
      <c r="I723" s="44"/>
      <c r="J723" s="44"/>
      <c r="K723" s="44"/>
      <c r="L723" s="44"/>
      <c r="M723" s="44"/>
      <c r="N723" s="44"/>
      <c r="O723" s="44"/>
    </row>
    <row r="724" spans="1:15" ht="17.25" customHeight="1">
      <c r="A724" s="44"/>
      <c r="B724" s="44"/>
      <c r="C724" s="44"/>
      <c r="D724" s="44"/>
      <c r="E724" s="44"/>
      <c r="F724" s="44"/>
      <c r="G724" s="44"/>
      <c r="H724" s="44"/>
      <c r="I724" s="44"/>
      <c r="J724" s="44"/>
      <c r="K724" s="44"/>
      <c r="L724" s="44"/>
      <c r="M724" s="44"/>
      <c r="N724" s="44"/>
      <c r="O724" s="44"/>
    </row>
    <row r="725" spans="1:15" ht="17.25" customHeight="1">
      <c r="A725" s="44"/>
      <c r="B725" s="44"/>
      <c r="C725" s="44"/>
      <c r="D725" s="44"/>
      <c r="E725" s="44"/>
      <c r="F725" s="44"/>
      <c r="G725" s="44"/>
      <c r="H725" s="44"/>
      <c r="I725" s="44"/>
      <c r="J725" s="44"/>
      <c r="K725" s="44"/>
      <c r="L725" s="44"/>
      <c r="M725" s="44"/>
      <c r="N725" s="44"/>
      <c r="O725" s="44"/>
    </row>
    <row r="726" spans="1:15" ht="17.25" customHeight="1">
      <c r="A726" s="44"/>
      <c r="B726" s="44"/>
      <c r="C726" s="44"/>
      <c r="D726" s="44"/>
      <c r="E726" s="44"/>
      <c r="F726" s="44"/>
      <c r="G726" s="44"/>
      <c r="H726" s="44"/>
      <c r="I726" s="44"/>
      <c r="J726" s="44"/>
      <c r="K726" s="44"/>
      <c r="L726" s="44"/>
      <c r="M726" s="44"/>
      <c r="N726" s="44"/>
      <c r="O726" s="44"/>
    </row>
    <row r="727" spans="1:15" ht="17.25" customHeight="1">
      <c r="A727" s="44"/>
      <c r="B727" s="44"/>
      <c r="C727" s="44"/>
      <c r="D727" s="44"/>
      <c r="E727" s="44"/>
      <c r="F727" s="44"/>
      <c r="G727" s="44"/>
      <c r="H727" s="44"/>
      <c r="I727" s="44"/>
      <c r="J727" s="44"/>
      <c r="K727" s="44"/>
      <c r="L727" s="44"/>
      <c r="M727" s="44"/>
      <c r="N727" s="44"/>
      <c r="O727" s="44"/>
    </row>
    <row r="728" spans="1:15" ht="17.25" customHeight="1">
      <c r="A728" s="44"/>
      <c r="B728" s="44"/>
      <c r="C728" s="44"/>
      <c r="D728" s="44"/>
      <c r="E728" s="44"/>
      <c r="F728" s="44"/>
      <c r="G728" s="44"/>
      <c r="H728" s="44"/>
      <c r="I728" s="44"/>
      <c r="J728" s="44"/>
      <c r="K728" s="44"/>
      <c r="L728" s="44"/>
      <c r="M728" s="44"/>
      <c r="N728" s="44"/>
      <c r="O728" s="44"/>
    </row>
    <row r="729" spans="1:15" ht="17.25" customHeight="1">
      <c r="A729" s="44"/>
      <c r="B729" s="44"/>
      <c r="C729" s="44"/>
      <c r="D729" s="44"/>
      <c r="E729" s="44"/>
      <c r="F729" s="44"/>
      <c r="G729" s="44"/>
      <c r="H729" s="44"/>
      <c r="I729" s="44"/>
      <c r="J729" s="44"/>
      <c r="K729" s="44"/>
      <c r="L729" s="44"/>
      <c r="M729" s="44"/>
      <c r="N729" s="44"/>
      <c r="O729" s="44"/>
    </row>
    <row r="730" spans="1:15" ht="17.25" customHeight="1">
      <c r="A730" s="44"/>
      <c r="B730" s="44"/>
      <c r="C730" s="44"/>
      <c r="D730" s="44"/>
      <c r="E730" s="44"/>
      <c r="F730" s="44"/>
      <c r="G730" s="44"/>
      <c r="H730" s="44"/>
      <c r="I730" s="44"/>
      <c r="J730" s="44"/>
      <c r="K730" s="44"/>
      <c r="L730" s="44"/>
      <c r="M730" s="44"/>
      <c r="N730" s="44"/>
      <c r="O730" s="44"/>
    </row>
    <row r="731" spans="1:15" ht="17.25" customHeight="1">
      <c r="A731" s="44"/>
      <c r="B731" s="44"/>
      <c r="C731" s="44"/>
      <c r="D731" s="44"/>
      <c r="E731" s="44"/>
      <c r="F731" s="44"/>
      <c r="G731" s="44"/>
      <c r="H731" s="44"/>
      <c r="I731" s="44"/>
      <c r="J731" s="44"/>
      <c r="K731" s="44"/>
      <c r="L731" s="44"/>
      <c r="M731" s="44"/>
      <c r="N731" s="44"/>
      <c r="O731" s="44"/>
    </row>
    <row r="732" spans="1:15" ht="17.25" customHeight="1">
      <c r="A732" s="44"/>
      <c r="B732" s="44"/>
      <c r="C732" s="44"/>
      <c r="D732" s="44"/>
      <c r="E732" s="44"/>
      <c r="F732" s="44"/>
      <c r="G732" s="44"/>
      <c r="H732" s="44"/>
      <c r="I732" s="44"/>
      <c r="J732" s="44"/>
      <c r="K732" s="44"/>
      <c r="L732" s="44"/>
      <c r="M732" s="44"/>
      <c r="N732" s="44"/>
      <c r="O732" s="44"/>
    </row>
    <row r="733" spans="1:15" ht="17.25" customHeight="1">
      <c r="A733" s="44"/>
      <c r="B733" s="44"/>
      <c r="C733" s="44"/>
      <c r="D733" s="44"/>
      <c r="E733" s="44"/>
      <c r="F733" s="44"/>
      <c r="G733" s="44"/>
      <c r="H733" s="44"/>
      <c r="I733" s="44"/>
      <c r="J733" s="44"/>
      <c r="K733" s="44"/>
      <c r="L733" s="44"/>
      <c r="M733" s="44"/>
      <c r="N733" s="44"/>
      <c r="O733" s="44"/>
    </row>
    <row r="734" spans="1:15" ht="17.25" customHeight="1">
      <c r="A734" s="44"/>
      <c r="B734" s="44"/>
      <c r="C734" s="44"/>
      <c r="D734" s="44"/>
      <c r="E734" s="44"/>
      <c r="F734" s="44"/>
      <c r="G734" s="44"/>
      <c r="H734" s="44"/>
      <c r="I734" s="44"/>
      <c r="J734" s="44"/>
      <c r="K734" s="44"/>
      <c r="L734" s="44"/>
      <c r="M734" s="44"/>
      <c r="N734" s="44"/>
      <c r="O734" s="44"/>
    </row>
    <row r="735" spans="1:15" ht="17.25" customHeight="1">
      <c r="A735" s="44"/>
      <c r="B735" s="44"/>
      <c r="C735" s="44"/>
      <c r="D735" s="44"/>
      <c r="E735" s="44"/>
      <c r="F735" s="44"/>
      <c r="G735" s="44"/>
      <c r="H735" s="44"/>
      <c r="I735" s="44"/>
      <c r="J735" s="44"/>
      <c r="K735" s="44"/>
      <c r="L735" s="44"/>
      <c r="M735" s="44"/>
      <c r="N735" s="44"/>
      <c r="O735" s="44"/>
    </row>
    <row r="736" spans="1:15" ht="17.25" customHeight="1">
      <c r="A736" s="44"/>
      <c r="B736" s="44"/>
      <c r="C736" s="44"/>
      <c r="D736" s="44"/>
      <c r="E736" s="44"/>
      <c r="F736" s="44"/>
      <c r="G736" s="44"/>
      <c r="H736" s="44"/>
      <c r="I736" s="44"/>
      <c r="J736" s="44"/>
      <c r="K736" s="44"/>
      <c r="L736" s="44"/>
      <c r="M736" s="44"/>
      <c r="N736" s="44"/>
      <c r="O736" s="44"/>
    </row>
    <row r="737" spans="1:15" ht="17.25" customHeight="1">
      <c r="A737" s="44"/>
      <c r="B737" s="44"/>
      <c r="C737" s="44"/>
      <c r="D737" s="44"/>
      <c r="E737" s="44"/>
      <c r="F737" s="44"/>
      <c r="G737" s="44"/>
      <c r="H737" s="44"/>
      <c r="I737" s="44"/>
      <c r="J737" s="44"/>
      <c r="K737" s="44"/>
      <c r="L737" s="44"/>
      <c r="M737" s="44"/>
      <c r="N737" s="44"/>
      <c r="O737" s="44"/>
    </row>
    <row r="738" spans="1:15" ht="17.25" customHeight="1">
      <c r="A738" s="44"/>
      <c r="B738" s="44"/>
      <c r="C738" s="44"/>
      <c r="D738" s="44"/>
      <c r="E738" s="44"/>
      <c r="F738" s="44"/>
      <c r="G738" s="44"/>
      <c r="H738" s="44"/>
      <c r="I738" s="44"/>
      <c r="J738" s="44"/>
      <c r="K738" s="44"/>
      <c r="L738" s="44"/>
      <c r="M738" s="44"/>
      <c r="N738" s="44"/>
      <c r="O738" s="44"/>
    </row>
    <row r="739" spans="1:15" ht="17.25" customHeight="1">
      <c r="A739" s="44"/>
      <c r="B739" s="44"/>
      <c r="C739" s="44"/>
      <c r="D739" s="44"/>
      <c r="E739" s="44"/>
      <c r="F739" s="44"/>
      <c r="G739" s="44"/>
      <c r="H739" s="44"/>
      <c r="I739" s="44"/>
      <c r="J739" s="44"/>
      <c r="K739" s="44"/>
      <c r="L739" s="44"/>
      <c r="M739" s="44"/>
      <c r="N739" s="44"/>
      <c r="O739" s="44"/>
    </row>
    <row r="740" spans="1:15" ht="17.25" customHeight="1">
      <c r="A740" s="44"/>
      <c r="B740" s="44"/>
      <c r="C740" s="44"/>
      <c r="D740" s="44"/>
      <c r="E740" s="44"/>
      <c r="F740" s="44"/>
      <c r="G740" s="44"/>
      <c r="H740" s="44"/>
      <c r="I740" s="44"/>
      <c r="J740" s="44"/>
      <c r="K740" s="44"/>
      <c r="L740" s="44"/>
      <c r="M740" s="44"/>
      <c r="N740" s="44"/>
      <c r="O740" s="44"/>
    </row>
    <row r="741" spans="1:15" ht="17.25" customHeight="1">
      <c r="A741" s="44"/>
      <c r="B741" s="44"/>
      <c r="C741" s="44"/>
      <c r="D741" s="44"/>
      <c r="E741" s="44"/>
      <c r="F741" s="44"/>
      <c r="G741" s="44"/>
      <c r="H741" s="44"/>
      <c r="I741" s="44"/>
      <c r="J741" s="44"/>
      <c r="K741" s="44"/>
      <c r="L741" s="44"/>
      <c r="M741" s="44"/>
      <c r="N741" s="44"/>
      <c r="O741" s="44"/>
    </row>
    <row r="742" spans="1:15" ht="17.25" customHeight="1">
      <c r="A742" s="44"/>
      <c r="B742" s="44"/>
      <c r="C742" s="44"/>
      <c r="D742" s="44"/>
      <c r="E742" s="44"/>
      <c r="F742" s="44"/>
      <c r="G742" s="44"/>
      <c r="H742" s="44"/>
      <c r="I742" s="44"/>
      <c r="J742" s="44"/>
      <c r="K742" s="44"/>
      <c r="L742" s="44"/>
      <c r="M742" s="44"/>
      <c r="N742" s="44"/>
      <c r="O742" s="44"/>
    </row>
    <row r="743" spans="1:15" ht="17.25" customHeight="1">
      <c r="A743" s="44"/>
      <c r="B743" s="44"/>
      <c r="C743" s="44"/>
      <c r="D743" s="44"/>
      <c r="E743" s="44"/>
      <c r="F743" s="44"/>
      <c r="G743" s="44"/>
      <c r="H743" s="44"/>
      <c r="I743" s="44"/>
      <c r="J743" s="44"/>
      <c r="K743" s="44"/>
      <c r="L743" s="44"/>
      <c r="M743" s="44"/>
      <c r="N743" s="44"/>
      <c r="O743" s="44"/>
    </row>
    <row r="744" spans="1:15" ht="17.25" customHeight="1">
      <c r="A744" s="44"/>
      <c r="B744" s="44"/>
      <c r="C744" s="44"/>
      <c r="D744" s="44"/>
      <c r="E744" s="44"/>
      <c r="F744" s="44"/>
      <c r="G744" s="44"/>
      <c r="H744" s="44"/>
      <c r="I744" s="44"/>
      <c r="J744" s="44"/>
      <c r="K744" s="44"/>
      <c r="L744" s="44"/>
      <c r="M744" s="44"/>
      <c r="N744" s="44"/>
      <c r="O744" s="44"/>
    </row>
    <row r="745" spans="1:15" ht="17.25" customHeight="1">
      <c r="A745" s="44"/>
      <c r="B745" s="44"/>
      <c r="C745" s="44"/>
      <c r="D745" s="44"/>
      <c r="E745" s="44"/>
      <c r="F745" s="44"/>
      <c r="G745" s="44"/>
      <c r="H745" s="44"/>
      <c r="I745" s="44"/>
      <c r="J745" s="44"/>
      <c r="K745" s="44"/>
      <c r="L745" s="44"/>
      <c r="M745" s="44"/>
      <c r="N745" s="44"/>
      <c r="O745" s="44"/>
    </row>
    <row r="746" spans="1:15" ht="17.25" customHeight="1">
      <c r="A746" s="44"/>
      <c r="B746" s="44"/>
      <c r="C746" s="44"/>
      <c r="D746" s="44"/>
      <c r="E746" s="44"/>
      <c r="F746" s="44"/>
      <c r="G746" s="44"/>
      <c r="H746" s="44"/>
      <c r="I746" s="44"/>
      <c r="J746" s="44"/>
      <c r="K746" s="44"/>
      <c r="L746" s="44"/>
      <c r="M746" s="44"/>
      <c r="N746" s="44"/>
      <c r="O746" s="44"/>
    </row>
    <row r="747" spans="1:15" ht="17.25" customHeight="1">
      <c r="A747" s="44"/>
      <c r="B747" s="44"/>
      <c r="C747" s="44"/>
      <c r="D747" s="44"/>
      <c r="E747" s="44"/>
      <c r="F747" s="44"/>
      <c r="G747" s="44"/>
      <c r="H747" s="44"/>
      <c r="I747" s="44"/>
      <c r="J747" s="44"/>
      <c r="K747" s="44"/>
      <c r="L747" s="44"/>
      <c r="M747" s="44"/>
      <c r="N747" s="44"/>
      <c r="O747" s="44"/>
    </row>
    <row r="748" spans="1:15" ht="17.25" customHeight="1">
      <c r="A748" s="44"/>
      <c r="B748" s="44"/>
      <c r="C748" s="44"/>
      <c r="D748" s="44"/>
      <c r="E748" s="44"/>
      <c r="F748" s="44"/>
      <c r="G748" s="44"/>
      <c r="H748" s="44"/>
      <c r="I748" s="44"/>
      <c r="J748" s="44"/>
      <c r="K748" s="44"/>
      <c r="L748" s="44"/>
      <c r="M748" s="44"/>
      <c r="N748" s="44"/>
      <c r="O748" s="44"/>
    </row>
    <row r="749" spans="1:15" ht="17.25" customHeight="1">
      <c r="A749" s="44"/>
      <c r="B749" s="44"/>
      <c r="C749" s="44"/>
      <c r="D749" s="44"/>
      <c r="E749" s="44"/>
      <c r="F749" s="44"/>
      <c r="G749" s="44"/>
      <c r="H749" s="44"/>
      <c r="I749" s="44"/>
      <c r="J749" s="44"/>
      <c r="K749" s="44"/>
      <c r="L749" s="44"/>
      <c r="M749" s="44"/>
      <c r="N749" s="44"/>
      <c r="O749" s="44"/>
    </row>
    <row r="750" spans="1:15" ht="17.25" customHeight="1">
      <c r="A750" s="44"/>
      <c r="B750" s="44"/>
      <c r="C750" s="44"/>
      <c r="D750" s="44"/>
      <c r="E750" s="44"/>
      <c r="F750" s="44"/>
      <c r="G750" s="44"/>
      <c r="H750" s="44"/>
      <c r="I750" s="44"/>
      <c r="J750" s="44"/>
      <c r="K750" s="44"/>
      <c r="L750" s="44"/>
      <c r="M750" s="44"/>
      <c r="N750" s="44"/>
      <c r="O750" s="44"/>
    </row>
    <row r="751" spans="1:15" ht="17.25" customHeight="1">
      <c r="A751" s="44"/>
      <c r="B751" s="44"/>
      <c r="C751" s="44"/>
      <c r="D751" s="44"/>
      <c r="E751" s="44"/>
      <c r="F751" s="44"/>
      <c r="G751" s="44"/>
      <c r="H751" s="44"/>
      <c r="I751" s="44"/>
      <c r="J751" s="44"/>
      <c r="K751" s="44"/>
      <c r="L751" s="44"/>
      <c r="M751" s="44"/>
      <c r="N751" s="44"/>
      <c r="O751" s="44"/>
    </row>
    <row r="752" spans="1:15" ht="17.25" customHeight="1">
      <c r="A752" s="44"/>
      <c r="B752" s="44"/>
      <c r="C752" s="44"/>
      <c r="D752" s="44"/>
      <c r="E752" s="44"/>
      <c r="F752" s="44"/>
      <c r="G752" s="44"/>
      <c r="H752" s="44"/>
      <c r="I752" s="44"/>
      <c r="J752" s="44"/>
      <c r="K752" s="44"/>
      <c r="L752" s="44"/>
      <c r="M752" s="44"/>
      <c r="N752" s="44"/>
      <c r="O752" s="44"/>
    </row>
    <row r="753" spans="1:15" ht="17.25" customHeight="1">
      <c r="A753" s="44"/>
      <c r="B753" s="44"/>
      <c r="C753" s="44"/>
      <c r="D753" s="44"/>
      <c r="E753" s="44"/>
      <c r="F753" s="44"/>
      <c r="G753" s="44"/>
      <c r="H753" s="44"/>
      <c r="I753" s="44"/>
      <c r="J753" s="44"/>
      <c r="K753" s="44"/>
      <c r="L753" s="44"/>
      <c r="M753" s="44"/>
      <c r="N753" s="44"/>
      <c r="O753" s="44"/>
    </row>
    <row r="754" spans="1:15" ht="17.25" customHeight="1">
      <c r="A754" s="44"/>
      <c r="B754" s="44"/>
      <c r="C754" s="44"/>
      <c r="D754" s="44"/>
      <c r="E754" s="44"/>
      <c r="F754" s="44"/>
      <c r="G754" s="44"/>
      <c r="H754" s="44"/>
      <c r="I754" s="44"/>
      <c r="J754" s="44"/>
      <c r="K754" s="44"/>
      <c r="L754" s="44"/>
      <c r="M754" s="44"/>
      <c r="N754" s="44"/>
      <c r="O754" s="44"/>
    </row>
    <row r="755" spans="1:15" ht="17.25" customHeight="1">
      <c r="A755" s="44"/>
      <c r="B755" s="44"/>
      <c r="C755" s="44"/>
      <c r="D755" s="44"/>
      <c r="E755" s="44"/>
      <c r="F755" s="44"/>
      <c r="G755" s="44"/>
      <c r="H755" s="44"/>
      <c r="I755" s="44"/>
      <c r="J755" s="44"/>
      <c r="K755" s="44"/>
      <c r="L755" s="44"/>
      <c r="M755" s="44"/>
      <c r="N755" s="44"/>
      <c r="O755" s="44"/>
    </row>
    <row r="756" spans="1:15" ht="17.25" customHeight="1">
      <c r="A756" s="44"/>
      <c r="B756" s="44"/>
      <c r="C756" s="44"/>
      <c r="D756" s="44"/>
      <c r="E756" s="44"/>
      <c r="F756" s="44"/>
      <c r="G756" s="44"/>
      <c r="H756" s="44"/>
      <c r="I756" s="44"/>
      <c r="J756" s="44"/>
      <c r="K756" s="44"/>
      <c r="L756" s="44"/>
      <c r="M756" s="44"/>
      <c r="N756" s="44"/>
      <c r="O756" s="44"/>
    </row>
    <row r="757" spans="1:15" ht="17.25" customHeight="1">
      <c r="A757" s="44"/>
      <c r="B757" s="44"/>
      <c r="C757" s="44"/>
      <c r="D757" s="44"/>
      <c r="E757" s="44"/>
      <c r="F757" s="44"/>
      <c r="G757" s="44"/>
      <c r="H757" s="44"/>
      <c r="I757" s="44"/>
      <c r="J757" s="44"/>
      <c r="K757" s="44"/>
      <c r="L757" s="44"/>
      <c r="M757" s="44"/>
      <c r="N757" s="44"/>
      <c r="O757" s="44"/>
    </row>
    <row r="758" spans="1:15" ht="17.25" customHeight="1">
      <c r="A758" s="44"/>
      <c r="B758" s="44"/>
      <c r="C758" s="44"/>
      <c r="D758" s="44"/>
      <c r="E758" s="44"/>
      <c r="F758" s="44"/>
      <c r="G758" s="44"/>
      <c r="H758" s="44"/>
      <c r="I758" s="44"/>
      <c r="J758" s="44"/>
      <c r="K758" s="44"/>
      <c r="L758" s="44"/>
      <c r="M758" s="44"/>
      <c r="N758" s="44"/>
      <c r="O758" s="44"/>
    </row>
    <row r="759" spans="1:15" ht="17.25" customHeight="1">
      <c r="A759" s="44"/>
      <c r="B759" s="44"/>
      <c r="C759" s="44"/>
      <c r="D759" s="44"/>
      <c r="E759" s="44"/>
      <c r="F759" s="44"/>
      <c r="G759" s="44"/>
      <c r="H759" s="44"/>
      <c r="I759" s="44"/>
      <c r="J759" s="44"/>
      <c r="K759" s="44"/>
      <c r="L759" s="44"/>
      <c r="M759" s="44"/>
      <c r="N759" s="44"/>
      <c r="O759" s="44"/>
    </row>
    <row r="760" spans="1:15" ht="17.25" customHeight="1">
      <c r="A760" s="44"/>
      <c r="B760" s="44"/>
      <c r="C760" s="44"/>
      <c r="D760" s="44"/>
      <c r="E760" s="44"/>
      <c r="F760" s="44"/>
      <c r="G760" s="44"/>
      <c r="H760" s="44"/>
      <c r="I760" s="44"/>
      <c r="J760" s="44"/>
      <c r="K760" s="44"/>
      <c r="L760" s="44"/>
      <c r="M760" s="44"/>
      <c r="N760" s="44"/>
      <c r="O760" s="44"/>
    </row>
    <row r="761" spans="1:15" ht="17.25" customHeight="1">
      <c r="A761" s="44"/>
      <c r="B761" s="44"/>
      <c r="C761" s="44"/>
      <c r="D761" s="44"/>
      <c r="E761" s="44"/>
      <c r="F761" s="44"/>
      <c r="G761" s="44"/>
      <c r="H761" s="44"/>
      <c r="I761" s="44"/>
      <c r="J761" s="44"/>
      <c r="K761" s="44"/>
      <c r="L761" s="44"/>
      <c r="M761" s="44"/>
      <c r="N761" s="44"/>
      <c r="O761" s="44"/>
    </row>
    <row r="762" spans="1:15" ht="17.25" customHeight="1">
      <c r="A762" s="44"/>
      <c r="B762" s="44"/>
      <c r="C762" s="44"/>
      <c r="D762" s="44"/>
      <c r="E762" s="44"/>
      <c r="F762" s="44"/>
      <c r="G762" s="44"/>
      <c r="H762" s="44"/>
      <c r="I762" s="44"/>
      <c r="J762" s="44"/>
      <c r="K762" s="44"/>
      <c r="L762" s="44"/>
      <c r="M762" s="44"/>
      <c r="N762" s="44"/>
      <c r="O762" s="44"/>
    </row>
    <row r="763" spans="1:15" ht="17.25" customHeight="1">
      <c r="A763" s="44"/>
      <c r="B763" s="44"/>
      <c r="C763" s="44"/>
      <c r="D763" s="44"/>
      <c r="E763" s="44"/>
      <c r="F763" s="44"/>
      <c r="G763" s="44"/>
      <c r="H763" s="44"/>
      <c r="I763" s="44"/>
      <c r="J763" s="44"/>
      <c r="K763" s="44"/>
      <c r="L763" s="44"/>
      <c r="M763" s="44"/>
      <c r="N763" s="44"/>
      <c r="O763" s="44"/>
    </row>
    <row r="764" spans="1:15" ht="17.25" customHeight="1">
      <c r="A764" s="44"/>
      <c r="B764" s="44"/>
      <c r="C764" s="44"/>
      <c r="D764" s="44"/>
      <c r="E764" s="44"/>
      <c r="F764" s="44"/>
      <c r="G764" s="44"/>
      <c r="H764" s="44"/>
      <c r="I764" s="44"/>
      <c r="J764" s="44"/>
      <c r="K764" s="44"/>
      <c r="L764" s="44"/>
      <c r="M764" s="44"/>
      <c r="N764" s="44"/>
      <c r="O764" s="44"/>
    </row>
    <row r="765" spans="1:15" ht="17.25" customHeight="1">
      <c r="A765" s="44"/>
      <c r="B765" s="44"/>
      <c r="C765" s="44"/>
      <c r="D765" s="44"/>
      <c r="E765" s="44"/>
      <c r="F765" s="44"/>
      <c r="G765" s="44"/>
      <c r="H765" s="44"/>
      <c r="I765" s="44"/>
      <c r="J765" s="44"/>
      <c r="K765" s="44"/>
      <c r="L765" s="44"/>
      <c r="M765" s="44"/>
      <c r="N765" s="44"/>
      <c r="O765" s="44"/>
    </row>
    <row r="766" spans="1:15" ht="17.25" customHeight="1">
      <c r="A766" s="44"/>
      <c r="B766" s="44"/>
      <c r="C766" s="44"/>
      <c r="D766" s="44"/>
      <c r="E766" s="44"/>
      <c r="F766" s="44"/>
      <c r="G766" s="44"/>
      <c r="H766" s="44"/>
      <c r="I766" s="44"/>
      <c r="J766" s="44"/>
      <c r="K766" s="44"/>
      <c r="L766" s="44"/>
      <c r="M766" s="44"/>
      <c r="N766" s="44"/>
      <c r="O766" s="44"/>
    </row>
    <row r="767" spans="1:15" ht="17.25" customHeight="1">
      <c r="A767" s="44"/>
      <c r="B767" s="44"/>
      <c r="C767" s="44"/>
      <c r="D767" s="44"/>
      <c r="E767" s="44"/>
      <c r="F767" s="44"/>
      <c r="G767" s="44"/>
      <c r="H767" s="44"/>
      <c r="I767" s="44"/>
      <c r="J767" s="44"/>
      <c r="K767" s="44"/>
      <c r="L767" s="44"/>
      <c r="M767" s="44"/>
      <c r="N767" s="44"/>
      <c r="O767" s="44"/>
    </row>
    <row r="768" spans="1:15" ht="17.25" customHeight="1">
      <c r="A768" s="44"/>
      <c r="B768" s="44"/>
      <c r="C768" s="44"/>
      <c r="D768" s="44"/>
      <c r="E768" s="44"/>
      <c r="F768" s="44"/>
      <c r="G768" s="44"/>
      <c r="H768" s="44"/>
      <c r="I768" s="44"/>
      <c r="J768" s="44"/>
      <c r="K768" s="44"/>
      <c r="L768" s="44"/>
      <c r="M768" s="44"/>
      <c r="N768" s="44"/>
      <c r="O768" s="44"/>
    </row>
    <row r="769" spans="1:15" ht="17.25" customHeight="1">
      <c r="A769" s="44"/>
      <c r="B769" s="44"/>
      <c r="C769" s="44"/>
      <c r="D769" s="44"/>
      <c r="E769" s="44"/>
      <c r="F769" s="44"/>
      <c r="G769" s="44"/>
      <c r="H769" s="44"/>
      <c r="I769" s="44"/>
      <c r="J769" s="44"/>
      <c r="K769" s="44"/>
      <c r="L769" s="44"/>
      <c r="M769" s="44"/>
      <c r="N769" s="44"/>
      <c r="O769" s="44"/>
    </row>
    <row r="770" spans="1:15" ht="17.25" customHeight="1">
      <c r="A770" s="44"/>
      <c r="B770" s="44"/>
      <c r="C770" s="44"/>
      <c r="D770" s="44"/>
      <c r="E770" s="44"/>
      <c r="F770" s="44"/>
      <c r="G770" s="44"/>
      <c r="H770" s="44"/>
      <c r="I770" s="44"/>
      <c r="J770" s="44"/>
      <c r="K770" s="44"/>
      <c r="L770" s="44"/>
      <c r="M770" s="44"/>
      <c r="N770" s="44"/>
      <c r="O770" s="44"/>
    </row>
    <row r="771" spans="1:15" ht="17.25" customHeight="1">
      <c r="A771" s="44"/>
      <c r="B771" s="44"/>
      <c r="C771" s="44"/>
      <c r="D771" s="44"/>
      <c r="E771" s="44"/>
      <c r="F771" s="44"/>
      <c r="G771" s="44"/>
      <c r="H771" s="44"/>
      <c r="I771" s="44"/>
      <c r="J771" s="44"/>
      <c r="K771" s="44"/>
      <c r="L771" s="44"/>
      <c r="M771" s="44"/>
      <c r="N771" s="44"/>
      <c r="O771" s="44"/>
    </row>
    <row r="772" spans="1:15" ht="17.25" customHeight="1">
      <c r="A772" s="44"/>
      <c r="B772" s="44"/>
      <c r="C772" s="44"/>
      <c r="D772" s="44"/>
      <c r="E772" s="44"/>
      <c r="F772" s="44"/>
      <c r="G772" s="44"/>
      <c r="H772" s="44"/>
      <c r="I772" s="44"/>
      <c r="J772" s="44"/>
      <c r="K772" s="44"/>
      <c r="L772" s="44"/>
      <c r="M772" s="44"/>
      <c r="N772" s="44"/>
      <c r="O772" s="44"/>
    </row>
    <row r="773" spans="1:15" ht="17.25" customHeight="1">
      <c r="A773" s="44"/>
      <c r="B773" s="44"/>
      <c r="C773" s="44"/>
      <c r="D773" s="44"/>
      <c r="E773" s="44"/>
      <c r="F773" s="44"/>
      <c r="G773" s="44"/>
      <c r="H773" s="44"/>
      <c r="I773" s="44"/>
      <c r="J773" s="44"/>
      <c r="K773" s="44"/>
      <c r="L773" s="44"/>
      <c r="M773" s="44"/>
      <c r="N773" s="44"/>
      <c r="O773" s="44"/>
    </row>
    <row r="774" spans="1:15" ht="17.25" customHeight="1">
      <c r="A774" s="44"/>
      <c r="B774" s="44"/>
      <c r="C774" s="44"/>
      <c r="D774" s="44"/>
      <c r="E774" s="44"/>
      <c r="F774" s="44"/>
      <c r="G774" s="44"/>
      <c r="H774" s="44"/>
      <c r="I774" s="44"/>
      <c r="J774" s="44"/>
      <c r="K774" s="44"/>
      <c r="L774" s="44"/>
      <c r="M774" s="44"/>
      <c r="N774" s="44"/>
      <c r="O774" s="44"/>
    </row>
    <row r="775" spans="1:15" ht="17.25" customHeight="1">
      <c r="A775" s="44"/>
      <c r="B775" s="44"/>
      <c r="C775" s="44"/>
      <c r="D775" s="44"/>
      <c r="E775" s="44"/>
      <c r="F775" s="44"/>
      <c r="G775" s="44"/>
      <c r="H775" s="44"/>
      <c r="I775" s="44"/>
      <c r="J775" s="44"/>
      <c r="K775" s="44"/>
      <c r="L775" s="44"/>
      <c r="M775" s="44"/>
      <c r="N775" s="44"/>
      <c r="O775" s="44"/>
    </row>
    <row r="776" spans="1:15" ht="17.25" customHeight="1">
      <c r="A776" s="44"/>
      <c r="B776" s="44"/>
      <c r="C776" s="44"/>
      <c r="D776" s="44"/>
      <c r="E776" s="44"/>
      <c r="F776" s="44"/>
      <c r="G776" s="44"/>
      <c r="H776" s="44"/>
      <c r="I776" s="44"/>
      <c r="J776" s="44"/>
      <c r="K776" s="44"/>
      <c r="L776" s="44"/>
      <c r="M776" s="44"/>
      <c r="N776" s="44"/>
      <c r="O776" s="44"/>
    </row>
    <row r="777" spans="1:15" ht="17.25" customHeight="1">
      <c r="A777" s="44"/>
      <c r="B777" s="44"/>
      <c r="C777" s="44"/>
      <c r="D777" s="44"/>
      <c r="E777" s="44"/>
      <c r="F777" s="44"/>
      <c r="G777" s="44"/>
      <c r="H777" s="44"/>
      <c r="I777" s="44"/>
      <c r="J777" s="44"/>
      <c r="K777" s="44"/>
      <c r="L777" s="44"/>
      <c r="M777" s="44"/>
      <c r="N777" s="44"/>
      <c r="O777" s="44"/>
    </row>
    <row r="778" spans="1:15" ht="17.25" customHeight="1">
      <c r="A778" s="44"/>
      <c r="B778" s="44"/>
      <c r="C778" s="44"/>
      <c r="D778" s="44"/>
      <c r="E778" s="44"/>
      <c r="F778" s="44"/>
      <c r="G778" s="44"/>
      <c r="H778" s="44"/>
      <c r="I778" s="44"/>
      <c r="J778" s="44"/>
      <c r="K778" s="44"/>
      <c r="L778" s="44"/>
      <c r="M778" s="44"/>
      <c r="N778" s="44"/>
      <c r="O778" s="44"/>
    </row>
    <row r="779" spans="1:15" ht="17.25" customHeight="1">
      <c r="A779" s="44"/>
      <c r="B779" s="44"/>
      <c r="C779" s="44"/>
      <c r="D779" s="44"/>
      <c r="E779" s="44"/>
      <c r="F779" s="44"/>
      <c r="G779" s="44"/>
      <c r="H779" s="44"/>
      <c r="I779" s="44"/>
      <c r="J779" s="44"/>
      <c r="K779" s="44"/>
      <c r="L779" s="44"/>
      <c r="M779" s="44"/>
      <c r="N779" s="44"/>
      <c r="O779" s="44"/>
    </row>
    <row r="780" spans="1:15" ht="17.25" customHeight="1">
      <c r="A780" s="44"/>
      <c r="B780" s="44"/>
      <c r="C780" s="44"/>
      <c r="D780" s="44"/>
      <c r="E780" s="44"/>
      <c r="F780" s="44"/>
      <c r="G780" s="44"/>
      <c r="H780" s="44"/>
      <c r="I780" s="44"/>
      <c r="J780" s="44"/>
      <c r="K780" s="44"/>
      <c r="L780" s="44"/>
      <c r="M780" s="44"/>
      <c r="N780" s="44"/>
      <c r="O780" s="44"/>
    </row>
    <row r="781" spans="1:15" ht="17.25" customHeight="1">
      <c r="A781" s="44"/>
      <c r="B781" s="44"/>
      <c r="C781" s="44"/>
      <c r="D781" s="44"/>
      <c r="E781" s="44"/>
      <c r="F781" s="44"/>
      <c r="G781" s="44"/>
      <c r="H781" s="44"/>
      <c r="I781" s="44"/>
      <c r="J781" s="44"/>
      <c r="K781" s="44"/>
      <c r="L781" s="44"/>
      <c r="M781" s="44"/>
      <c r="N781" s="44"/>
      <c r="O781" s="44"/>
    </row>
    <row r="782" spans="1:15" ht="17.25" customHeight="1">
      <c r="A782" s="44"/>
      <c r="B782" s="44"/>
      <c r="C782" s="44"/>
      <c r="D782" s="44"/>
      <c r="E782" s="44"/>
      <c r="F782" s="44"/>
      <c r="G782" s="44"/>
      <c r="H782" s="44"/>
      <c r="I782" s="44"/>
      <c r="J782" s="44"/>
      <c r="K782" s="44"/>
      <c r="L782" s="44"/>
      <c r="M782" s="44"/>
      <c r="N782" s="44"/>
      <c r="O782" s="44"/>
    </row>
    <row r="783" spans="1:15" ht="17.25" customHeight="1">
      <c r="A783" s="44"/>
      <c r="B783" s="44"/>
      <c r="C783" s="44"/>
      <c r="D783" s="44"/>
      <c r="E783" s="44"/>
      <c r="F783" s="44"/>
      <c r="G783" s="44"/>
      <c r="H783" s="44"/>
      <c r="I783" s="44"/>
      <c r="J783" s="44"/>
      <c r="K783" s="44"/>
      <c r="L783" s="44"/>
      <c r="M783" s="44"/>
      <c r="N783" s="44"/>
      <c r="O783" s="44"/>
    </row>
    <row r="784" spans="1:15" ht="17.25" customHeight="1">
      <c r="A784" s="44"/>
      <c r="B784" s="44"/>
      <c r="C784" s="44"/>
      <c r="D784" s="44"/>
      <c r="E784" s="44"/>
      <c r="F784" s="44"/>
      <c r="G784" s="44"/>
      <c r="H784" s="44"/>
      <c r="I784" s="44"/>
      <c r="J784" s="44"/>
      <c r="K784" s="44"/>
      <c r="L784" s="44"/>
      <c r="M784" s="44"/>
      <c r="N784" s="44"/>
      <c r="O784" s="44"/>
    </row>
    <row r="785" spans="1:15" ht="17.25" customHeight="1">
      <c r="A785" s="44"/>
      <c r="B785" s="44"/>
      <c r="C785" s="44"/>
      <c r="D785" s="44"/>
      <c r="E785" s="44"/>
      <c r="F785" s="44"/>
      <c r="G785" s="44"/>
      <c r="H785" s="44"/>
      <c r="I785" s="44"/>
      <c r="J785" s="44"/>
      <c r="K785" s="44"/>
      <c r="L785" s="44"/>
      <c r="M785" s="44"/>
      <c r="N785" s="44"/>
      <c r="O785" s="44"/>
    </row>
    <row r="786" spans="1:15" ht="17.25" customHeight="1">
      <c r="A786" s="44"/>
      <c r="B786" s="44"/>
      <c r="C786" s="44"/>
      <c r="D786" s="44"/>
      <c r="E786" s="44"/>
      <c r="F786" s="44"/>
      <c r="G786" s="44"/>
      <c r="H786" s="44"/>
      <c r="I786" s="44"/>
      <c r="J786" s="44"/>
      <c r="K786" s="44"/>
      <c r="L786" s="44"/>
      <c r="M786" s="44"/>
      <c r="N786" s="44"/>
      <c r="O786" s="44"/>
    </row>
    <row r="787" spans="1:15" ht="17.25" customHeight="1">
      <c r="A787" s="44"/>
      <c r="B787" s="44"/>
      <c r="C787" s="44"/>
      <c r="D787" s="44"/>
      <c r="E787" s="44"/>
      <c r="F787" s="44"/>
      <c r="G787" s="44"/>
      <c r="H787" s="44"/>
      <c r="I787" s="44"/>
      <c r="J787" s="44"/>
      <c r="K787" s="44"/>
      <c r="L787" s="44"/>
      <c r="M787" s="44"/>
      <c r="N787" s="44"/>
      <c r="O787" s="44"/>
    </row>
    <row r="788" spans="1:15" ht="17.25" customHeight="1">
      <c r="A788" s="44"/>
      <c r="B788" s="44"/>
      <c r="C788" s="44"/>
      <c r="D788" s="44"/>
      <c r="E788" s="44"/>
      <c r="F788" s="44"/>
      <c r="G788" s="44"/>
      <c r="H788" s="44"/>
      <c r="I788" s="44"/>
      <c r="J788" s="44"/>
      <c r="K788" s="44"/>
      <c r="L788" s="44"/>
      <c r="M788" s="44"/>
      <c r="N788" s="44"/>
      <c r="O788" s="44"/>
    </row>
    <row r="789" spans="1:15" ht="17.25" customHeight="1">
      <c r="A789" s="44"/>
      <c r="B789" s="44"/>
      <c r="C789" s="44"/>
      <c r="D789" s="44"/>
      <c r="E789" s="44"/>
      <c r="F789" s="44"/>
      <c r="G789" s="44"/>
      <c r="H789" s="44"/>
      <c r="I789" s="44"/>
      <c r="J789" s="44"/>
      <c r="K789" s="44"/>
      <c r="L789" s="44"/>
      <c r="M789" s="44"/>
      <c r="N789" s="44"/>
      <c r="O789" s="44"/>
    </row>
    <row r="790" spans="1:15" ht="17.25" customHeight="1">
      <c r="A790" s="44"/>
      <c r="B790" s="44"/>
      <c r="C790" s="44"/>
      <c r="D790" s="44"/>
      <c r="E790" s="44"/>
      <c r="F790" s="44"/>
      <c r="G790" s="44"/>
      <c r="H790" s="44"/>
      <c r="I790" s="44"/>
      <c r="J790" s="44"/>
      <c r="K790" s="44"/>
      <c r="L790" s="44"/>
      <c r="M790" s="44"/>
      <c r="N790" s="44"/>
      <c r="O790" s="44"/>
    </row>
    <row r="791" spans="1:15" ht="17.25" customHeight="1">
      <c r="A791" s="44"/>
      <c r="B791" s="44"/>
      <c r="C791" s="44"/>
      <c r="D791" s="44"/>
      <c r="E791" s="44"/>
      <c r="F791" s="44"/>
      <c r="G791" s="44"/>
      <c r="H791" s="44"/>
      <c r="I791" s="44"/>
      <c r="J791" s="44"/>
      <c r="K791" s="44"/>
      <c r="L791" s="44"/>
      <c r="M791" s="44"/>
      <c r="N791" s="44"/>
      <c r="O791" s="44"/>
    </row>
    <row r="792" spans="1:15" ht="17.25" customHeight="1">
      <c r="A792" s="44"/>
      <c r="B792" s="44"/>
      <c r="C792" s="44"/>
      <c r="D792" s="44"/>
      <c r="E792" s="44"/>
      <c r="F792" s="44"/>
      <c r="G792" s="44"/>
      <c r="H792" s="44"/>
      <c r="I792" s="44"/>
      <c r="J792" s="44"/>
      <c r="K792" s="44"/>
      <c r="L792" s="44"/>
      <c r="M792" s="44"/>
      <c r="N792" s="44"/>
      <c r="O792" s="44"/>
    </row>
    <row r="793" spans="1:15" ht="17.25" customHeight="1">
      <c r="A793" s="44"/>
      <c r="B793" s="44"/>
      <c r="C793" s="44"/>
      <c r="D793" s="44"/>
      <c r="E793" s="44"/>
      <c r="F793" s="44"/>
      <c r="G793" s="44"/>
      <c r="H793" s="44"/>
      <c r="I793" s="44"/>
      <c r="J793" s="44"/>
      <c r="K793" s="44"/>
      <c r="L793" s="44"/>
      <c r="M793" s="44"/>
      <c r="N793" s="44"/>
      <c r="O793" s="44"/>
    </row>
    <row r="794" spans="1:15" ht="17.25" customHeight="1">
      <c r="A794" s="44"/>
      <c r="B794" s="44"/>
      <c r="C794" s="44"/>
      <c r="D794" s="44"/>
      <c r="E794" s="44"/>
      <c r="F794" s="44"/>
      <c r="G794" s="44"/>
      <c r="H794" s="44"/>
      <c r="I794" s="44"/>
      <c r="J794" s="44"/>
      <c r="K794" s="44"/>
      <c r="L794" s="44"/>
      <c r="M794" s="44"/>
      <c r="N794" s="44"/>
      <c r="O794" s="44"/>
    </row>
    <row r="795" spans="1:15" ht="17.25" customHeight="1">
      <c r="A795" s="44"/>
      <c r="B795" s="44"/>
      <c r="C795" s="44"/>
      <c r="D795" s="44"/>
      <c r="E795" s="44"/>
      <c r="F795" s="44"/>
      <c r="G795" s="44"/>
      <c r="H795" s="44"/>
      <c r="I795" s="44"/>
      <c r="J795" s="44"/>
      <c r="K795" s="44"/>
      <c r="L795" s="44"/>
      <c r="M795" s="44"/>
      <c r="N795" s="44"/>
      <c r="O795" s="44"/>
    </row>
    <row r="796" spans="1:15" ht="17.25" customHeight="1">
      <c r="A796" s="44"/>
      <c r="B796" s="44"/>
      <c r="C796" s="44"/>
      <c r="D796" s="44"/>
      <c r="E796" s="44"/>
      <c r="F796" s="44"/>
      <c r="G796" s="44"/>
      <c r="H796" s="44"/>
      <c r="I796" s="44"/>
      <c r="J796" s="44"/>
      <c r="K796" s="44"/>
      <c r="L796" s="44"/>
      <c r="M796" s="44"/>
      <c r="N796" s="44"/>
      <c r="O796" s="44"/>
    </row>
    <row r="797" spans="1:15" ht="17.25" customHeight="1">
      <c r="A797" s="44"/>
      <c r="B797" s="44"/>
      <c r="C797" s="44"/>
      <c r="D797" s="44"/>
      <c r="E797" s="44"/>
      <c r="F797" s="44"/>
      <c r="G797" s="44"/>
      <c r="H797" s="44"/>
      <c r="I797" s="44"/>
      <c r="J797" s="44"/>
      <c r="K797" s="44"/>
      <c r="L797" s="44"/>
      <c r="M797" s="44"/>
      <c r="N797" s="44"/>
      <c r="O797" s="44"/>
    </row>
    <row r="798" spans="1:15" ht="17.25" customHeight="1">
      <c r="A798" s="44"/>
      <c r="B798" s="44"/>
      <c r="C798" s="44"/>
      <c r="D798" s="44"/>
      <c r="E798" s="44"/>
      <c r="F798" s="44"/>
      <c r="G798" s="44"/>
      <c r="H798" s="44"/>
      <c r="I798" s="44"/>
      <c r="J798" s="44"/>
      <c r="K798" s="44"/>
      <c r="L798" s="44"/>
      <c r="M798" s="44"/>
      <c r="N798" s="44"/>
      <c r="O798" s="44"/>
    </row>
    <row r="799" spans="1:15" ht="17.25" customHeight="1">
      <c r="A799" s="44"/>
      <c r="B799" s="44"/>
      <c r="C799" s="44"/>
      <c r="D799" s="44"/>
      <c r="E799" s="44"/>
      <c r="F799" s="44"/>
      <c r="G799" s="44"/>
      <c r="H799" s="44"/>
      <c r="I799" s="44"/>
      <c r="J799" s="44"/>
      <c r="K799" s="44"/>
      <c r="L799" s="44"/>
      <c r="M799" s="44"/>
      <c r="N799" s="44"/>
      <c r="O799" s="44"/>
    </row>
    <row r="800" spans="1:15" ht="17.25" customHeight="1">
      <c r="A800" s="44"/>
      <c r="B800" s="44"/>
      <c r="C800" s="44"/>
      <c r="D800" s="44"/>
      <c r="E800" s="44"/>
      <c r="F800" s="44"/>
      <c r="G800" s="44"/>
      <c r="H800" s="44"/>
      <c r="I800" s="44"/>
      <c r="J800" s="44"/>
      <c r="K800" s="44"/>
      <c r="L800" s="44"/>
      <c r="M800" s="44"/>
      <c r="N800" s="44"/>
      <c r="O800" s="44"/>
    </row>
    <row r="801" spans="1:15" ht="17.25" customHeight="1">
      <c r="A801" s="44"/>
      <c r="B801" s="44"/>
      <c r="C801" s="44"/>
      <c r="D801" s="44"/>
      <c r="E801" s="44"/>
      <c r="F801" s="44"/>
      <c r="G801" s="44"/>
      <c r="H801" s="44"/>
      <c r="I801" s="44"/>
      <c r="J801" s="44"/>
      <c r="K801" s="44"/>
      <c r="L801" s="44"/>
      <c r="M801" s="44"/>
      <c r="N801" s="44"/>
      <c r="O801" s="44"/>
    </row>
    <row r="802" spans="1:15" ht="17.25" customHeight="1">
      <c r="A802" s="44"/>
      <c r="B802" s="44"/>
      <c r="C802" s="44"/>
      <c r="D802" s="44"/>
      <c r="E802" s="44"/>
      <c r="F802" s="44"/>
      <c r="G802" s="44"/>
      <c r="H802" s="44"/>
      <c r="I802" s="44"/>
      <c r="J802" s="44"/>
      <c r="K802" s="44"/>
      <c r="L802" s="44"/>
      <c r="M802" s="44"/>
      <c r="N802" s="44"/>
      <c r="O802" s="44"/>
    </row>
    <row r="803" spans="1:15" ht="17.25" customHeight="1">
      <c r="A803" s="44"/>
      <c r="B803" s="44"/>
      <c r="C803" s="44"/>
      <c r="D803" s="44"/>
      <c r="E803" s="44"/>
      <c r="F803" s="44"/>
      <c r="G803" s="44"/>
      <c r="H803" s="44"/>
      <c r="I803" s="44"/>
      <c r="J803" s="44"/>
      <c r="K803" s="44"/>
      <c r="L803" s="44"/>
      <c r="M803" s="44"/>
      <c r="N803" s="44"/>
      <c r="O803" s="44"/>
    </row>
    <row r="804" spans="1:15" ht="17.25" customHeight="1">
      <c r="A804" s="44"/>
      <c r="B804" s="44"/>
      <c r="C804" s="44"/>
      <c r="D804" s="44"/>
      <c r="E804" s="44"/>
      <c r="F804" s="44"/>
      <c r="G804" s="44"/>
      <c r="H804" s="44"/>
      <c r="I804" s="44"/>
      <c r="J804" s="44"/>
      <c r="K804" s="44"/>
      <c r="L804" s="44"/>
      <c r="M804" s="44"/>
      <c r="N804" s="44"/>
      <c r="O804" s="44"/>
    </row>
    <row r="805" spans="1:15" ht="17.25" customHeight="1">
      <c r="A805" s="44"/>
      <c r="B805" s="44"/>
      <c r="C805" s="44"/>
      <c r="D805" s="44"/>
      <c r="E805" s="44"/>
      <c r="F805" s="44"/>
      <c r="G805" s="44"/>
      <c r="H805" s="44"/>
      <c r="I805" s="44"/>
      <c r="J805" s="44"/>
      <c r="K805" s="44"/>
      <c r="L805" s="44"/>
      <c r="M805" s="44"/>
      <c r="N805" s="44"/>
      <c r="O805" s="44"/>
    </row>
    <row r="806" spans="1:15" ht="17.25" customHeight="1">
      <c r="A806" s="44"/>
      <c r="B806" s="44"/>
      <c r="C806" s="44"/>
      <c r="D806" s="44"/>
      <c r="E806" s="44"/>
      <c r="F806" s="44"/>
      <c r="G806" s="44"/>
      <c r="H806" s="44"/>
      <c r="I806" s="44"/>
      <c r="J806" s="44"/>
      <c r="K806" s="44"/>
      <c r="L806" s="44"/>
      <c r="M806" s="44"/>
      <c r="N806" s="44"/>
      <c r="O806" s="44"/>
    </row>
    <row r="807" spans="1:15" ht="17.25" customHeight="1">
      <c r="A807" s="44"/>
      <c r="B807" s="44"/>
      <c r="C807" s="44"/>
      <c r="D807" s="44"/>
      <c r="E807" s="44"/>
      <c r="F807" s="44"/>
      <c r="G807" s="44"/>
      <c r="H807" s="44"/>
      <c r="I807" s="44"/>
      <c r="J807" s="44"/>
      <c r="K807" s="44"/>
      <c r="L807" s="44"/>
      <c r="M807" s="44"/>
      <c r="N807" s="44"/>
      <c r="O807" s="44"/>
    </row>
    <row r="808" spans="1:15" ht="17.25" customHeight="1">
      <c r="A808" s="44"/>
      <c r="B808" s="44"/>
      <c r="C808" s="44"/>
      <c r="D808" s="44"/>
      <c r="E808" s="44"/>
      <c r="F808" s="44"/>
      <c r="G808" s="44"/>
      <c r="H808" s="44"/>
      <c r="I808" s="44"/>
      <c r="J808" s="44"/>
      <c r="K808" s="44"/>
      <c r="L808" s="44"/>
      <c r="M808" s="44"/>
      <c r="N808" s="44"/>
      <c r="O808" s="44"/>
    </row>
    <row r="809" spans="1:15" ht="17.25" customHeight="1">
      <c r="A809" s="44"/>
      <c r="B809" s="44"/>
      <c r="C809" s="44"/>
      <c r="D809" s="44"/>
      <c r="E809" s="44"/>
      <c r="F809" s="44"/>
      <c r="G809" s="44"/>
      <c r="H809" s="44"/>
      <c r="I809" s="44"/>
      <c r="J809" s="44"/>
      <c r="K809" s="44"/>
      <c r="L809" s="44"/>
      <c r="M809" s="44"/>
      <c r="N809" s="44"/>
      <c r="O809" s="44"/>
    </row>
    <row r="810" spans="1:15" ht="17.25" customHeight="1">
      <c r="A810" s="44"/>
      <c r="B810" s="44"/>
      <c r="C810" s="44"/>
      <c r="D810" s="44"/>
      <c r="E810" s="44"/>
      <c r="F810" s="44"/>
      <c r="G810" s="44"/>
      <c r="H810" s="44"/>
      <c r="I810" s="44"/>
      <c r="J810" s="44"/>
      <c r="K810" s="44"/>
      <c r="L810" s="44"/>
      <c r="M810" s="44"/>
      <c r="N810" s="44"/>
      <c r="O810" s="44"/>
    </row>
    <row r="811" spans="1:15" ht="17.25" customHeight="1">
      <c r="A811" s="44"/>
      <c r="B811" s="44"/>
      <c r="C811" s="44"/>
      <c r="D811" s="44"/>
      <c r="E811" s="44"/>
      <c r="F811" s="44"/>
      <c r="G811" s="44"/>
      <c r="H811" s="44"/>
      <c r="I811" s="44"/>
      <c r="J811" s="44"/>
      <c r="K811" s="44"/>
      <c r="L811" s="44"/>
      <c r="M811" s="44"/>
      <c r="N811" s="44"/>
      <c r="O811" s="44"/>
    </row>
    <row r="812" spans="1:15" ht="17.25" customHeight="1">
      <c r="A812" s="44"/>
      <c r="B812" s="44"/>
      <c r="C812" s="44"/>
      <c r="D812" s="44"/>
      <c r="E812" s="44"/>
      <c r="F812" s="44"/>
      <c r="G812" s="44"/>
      <c r="H812" s="44"/>
      <c r="I812" s="44"/>
      <c r="J812" s="44"/>
      <c r="K812" s="44"/>
      <c r="L812" s="44"/>
      <c r="M812" s="44"/>
      <c r="N812" s="44"/>
      <c r="O812" s="44"/>
    </row>
    <row r="813" spans="1:15" ht="17.25" customHeight="1">
      <c r="A813" s="44"/>
      <c r="B813" s="44"/>
      <c r="C813" s="44"/>
      <c r="D813" s="44"/>
      <c r="E813" s="44"/>
      <c r="F813" s="44"/>
      <c r="G813" s="44"/>
      <c r="H813" s="44"/>
      <c r="I813" s="44"/>
      <c r="J813" s="44"/>
      <c r="K813" s="44"/>
      <c r="L813" s="44"/>
      <c r="M813" s="44"/>
      <c r="N813" s="44"/>
      <c r="O813" s="44"/>
    </row>
    <row r="814" spans="1:15" ht="17.25" customHeight="1">
      <c r="A814" s="44"/>
      <c r="B814" s="44"/>
      <c r="C814" s="44"/>
      <c r="D814" s="44"/>
      <c r="E814" s="44"/>
      <c r="F814" s="44"/>
      <c r="G814" s="44"/>
      <c r="H814" s="44"/>
      <c r="I814" s="44"/>
      <c r="J814" s="44"/>
      <c r="K814" s="44"/>
      <c r="L814" s="44"/>
      <c r="M814" s="44"/>
      <c r="N814" s="44"/>
      <c r="O814" s="44"/>
    </row>
    <row r="815" spans="1:15" ht="17.25" customHeight="1">
      <c r="A815" s="44"/>
      <c r="B815" s="44"/>
      <c r="C815" s="44"/>
      <c r="D815" s="44"/>
      <c r="E815" s="44"/>
      <c r="F815" s="44"/>
      <c r="G815" s="44"/>
      <c r="H815" s="44"/>
      <c r="I815" s="44"/>
      <c r="J815" s="44"/>
      <c r="K815" s="44"/>
      <c r="L815" s="44"/>
      <c r="M815" s="44"/>
      <c r="N815" s="44"/>
      <c r="O815" s="44"/>
    </row>
    <row r="816" spans="1:15" ht="17.25" customHeight="1">
      <c r="A816" s="44"/>
      <c r="B816" s="44"/>
      <c r="C816" s="44"/>
      <c r="D816" s="44"/>
      <c r="E816" s="44"/>
      <c r="F816" s="44"/>
      <c r="G816" s="44"/>
      <c r="H816" s="44"/>
      <c r="I816" s="44"/>
      <c r="J816" s="44"/>
      <c r="K816" s="44"/>
      <c r="L816" s="44"/>
      <c r="M816" s="44"/>
      <c r="N816" s="44"/>
      <c r="O816" s="44"/>
    </row>
    <row r="817" spans="1:15" ht="17.25" customHeight="1">
      <c r="A817" s="44"/>
      <c r="B817" s="44"/>
      <c r="C817" s="44"/>
      <c r="D817" s="44"/>
      <c r="E817" s="44"/>
      <c r="F817" s="44"/>
      <c r="G817" s="44"/>
      <c r="H817" s="44"/>
      <c r="I817" s="44"/>
      <c r="J817" s="44"/>
      <c r="K817" s="44"/>
      <c r="L817" s="44"/>
      <c r="M817" s="44"/>
      <c r="N817" s="44"/>
      <c r="O817" s="44"/>
    </row>
    <row r="818" spans="1:15" ht="17.25" customHeight="1">
      <c r="A818" s="44"/>
      <c r="B818" s="44"/>
      <c r="C818" s="44"/>
      <c r="D818" s="44"/>
      <c r="E818" s="44"/>
      <c r="F818" s="44"/>
      <c r="G818" s="44"/>
      <c r="H818" s="44"/>
      <c r="I818" s="44"/>
      <c r="J818" s="44"/>
      <c r="K818" s="44"/>
      <c r="L818" s="44"/>
      <c r="M818" s="44"/>
      <c r="N818" s="44"/>
      <c r="O818" s="44"/>
    </row>
    <row r="819" spans="1:15" ht="17.25" customHeight="1">
      <c r="A819" s="44"/>
      <c r="B819" s="44"/>
      <c r="C819" s="44"/>
      <c r="D819" s="44"/>
      <c r="E819" s="44"/>
      <c r="F819" s="44"/>
      <c r="G819" s="44"/>
      <c r="H819" s="44"/>
      <c r="I819" s="44"/>
      <c r="J819" s="44"/>
      <c r="K819" s="44"/>
      <c r="L819" s="44"/>
      <c r="M819" s="44"/>
      <c r="N819" s="44"/>
      <c r="O819" s="44"/>
    </row>
    <row r="820" spans="1:15" ht="17.25" customHeight="1">
      <c r="A820" s="44"/>
      <c r="B820" s="44"/>
      <c r="C820" s="44"/>
      <c r="D820" s="44"/>
      <c r="E820" s="44"/>
      <c r="F820" s="44"/>
      <c r="G820" s="44"/>
      <c r="H820" s="44"/>
      <c r="I820" s="44"/>
      <c r="J820" s="44"/>
      <c r="K820" s="44"/>
      <c r="L820" s="44"/>
      <c r="M820" s="44"/>
      <c r="N820" s="44"/>
      <c r="O820" s="44"/>
    </row>
    <row r="821" spans="1:15" ht="17.25" customHeight="1">
      <c r="A821" s="44"/>
      <c r="B821" s="44"/>
      <c r="C821" s="44"/>
      <c r="D821" s="44"/>
      <c r="E821" s="44"/>
      <c r="F821" s="44"/>
      <c r="G821" s="44"/>
      <c r="H821" s="44"/>
      <c r="I821" s="44"/>
      <c r="J821" s="44"/>
      <c r="K821" s="44"/>
      <c r="L821" s="44"/>
      <c r="M821" s="44"/>
      <c r="N821" s="44"/>
      <c r="O821" s="44"/>
    </row>
    <row r="822" spans="1:15" ht="17.25" customHeight="1">
      <c r="A822" s="44"/>
      <c r="B822" s="44"/>
      <c r="C822" s="44"/>
      <c r="D822" s="44"/>
      <c r="E822" s="44"/>
      <c r="F822" s="44"/>
      <c r="G822" s="44"/>
      <c r="H822" s="44"/>
      <c r="I822" s="44"/>
      <c r="J822" s="44"/>
      <c r="K822" s="44"/>
      <c r="L822" s="44"/>
      <c r="M822" s="44"/>
      <c r="N822" s="44"/>
      <c r="O822" s="44"/>
    </row>
    <row r="823" spans="1:15" ht="17.25" customHeight="1">
      <c r="A823" s="44"/>
      <c r="B823" s="44"/>
      <c r="C823" s="44"/>
      <c r="D823" s="44"/>
      <c r="E823" s="44"/>
      <c r="F823" s="44"/>
      <c r="G823" s="44"/>
      <c r="H823" s="44"/>
      <c r="I823" s="44"/>
      <c r="J823" s="44"/>
      <c r="K823" s="44"/>
      <c r="L823" s="44"/>
      <c r="M823" s="44"/>
      <c r="N823" s="44"/>
      <c r="O823" s="44"/>
    </row>
    <row r="824" spans="1:15" ht="17.25" customHeight="1">
      <c r="A824" s="44"/>
      <c r="B824" s="44"/>
      <c r="C824" s="44"/>
      <c r="D824" s="44"/>
      <c r="E824" s="44"/>
      <c r="F824" s="44"/>
      <c r="G824" s="44"/>
      <c r="H824" s="44"/>
      <c r="I824" s="44"/>
      <c r="J824" s="44"/>
      <c r="K824" s="44"/>
      <c r="L824" s="44"/>
      <c r="M824" s="44"/>
      <c r="N824" s="44"/>
      <c r="O824" s="44"/>
    </row>
    <row r="825" spans="1:15" ht="17.25" customHeight="1">
      <c r="A825" s="44"/>
      <c r="B825" s="44"/>
      <c r="C825" s="44"/>
      <c r="D825" s="44"/>
      <c r="E825" s="44"/>
      <c r="F825" s="44"/>
      <c r="G825" s="44"/>
      <c r="H825" s="44"/>
      <c r="I825" s="44"/>
      <c r="J825" s="44"/>
      <c r="K825" s="44"/>
      <c r="L825" s="44"/>
      <c r="M825" s="44"/>
      <c r="N825" s="44"/>
      <c r="O825" s="44"/>
    </row>
    <row r="826" spans="1:15" ht="17.25" customHeight="1">
      <c r="A826" s="44"/>
      <c r="B826" s="44"/>
      <c r="C826" s="44"/>
      <c r="D826" s="44"/>
      <c r="E826" s="44"/>
      <c r="F826" s="44"/>
      <c r="G826" s="44"/>
      <c r="H826" s="44"/>
      <c r="I826" s="44"/>
      <c r="J826" s="44"/>
      <c r="K826" s="44"/>
      <c r="L826" s="44"/>
      <c r="M826" s="44"/>
      <c r="N826" s="44"/>
      <c r="O826" s="44"/>
    </row>
    <row r="827" spans="1:15" ht="17.25" customHeight="1">
      <c r="A827" s="44"/>
      <c r="B827" s="44"/>
      <c r="C827" s="44"/>
      <c r="D827" s="44"/>
      <c r="E827" s="44"/>
      <c r="F827" s="44"/>
      <c r="G827" s="44"/>
      <c r="H827" s="44"/>
      <c r="I827" s="44"/>
      <c r="J827" s="44"/>
      <c r="K827" s="44"/>
      <c r="L827" s="44"/>
      <c r="M827" s="44"/>
      <c r="N827" s="44"/>
      <c r="O827" s="44"/>
    </row>
    <row r="828" spans="1:15" ht="17.25" customHeight="1">
      <c r="A828" s="44"/>
      <c r="B828" s="44"/>
      <c r="C828" s="44"/>
      <c r="D828" s="44"/>
      <c r="E828" s="44"/>
      <c r="F828" s="44"/>
      <c r="G828" s="44"/>
      <c r="H828" s="44"/>
      <c r="I828" s="44"/>
      <c r="J828" s="44"/>
      <c r="K828" s="44"/>
      <c r="L828" s="44"/>
      <c r="M828" s="44"/>
      <c r="N828" s="44"/>
      <c r="O828" s="44"/>
    </row>
    <row r="829" spans="1:15" ht="17.25" customHeight="1">
      <c r="A829" s="44"/>
      <c r="B829" s="44"/>
      <c r="C829" s="44"/>
      <c r="D829" s="44"/>
      <c r="E829" s="44"/>
      <c r="F829" s="44"/>
      <c r="G829" s="44"/>
      <c r="H829" s="44"/>
      <c r="I829" s="44"/>
      <c r="J829" s="44"/>
      <c r="K829" s="44"/>
      <c r="L829" s="44"/>
      <c r="M829" s="44"/>
      <c r="N829" s="44"/>
      <c r="O829" s="44"/>
    </row>
    <row r="830" spans="1:15" ht="17.25" customHeight="1">
      <c r="A830" s="44"/>
      <c r="B830" s="44"/>
      <c r="C830" s="44"/>
      <c r="D830" s="44"/>
      <c r="E830" s="44"/>
      <c r="F830" s="44"/>
      <c r="G830" s="44"/>
      <c r="H830" s="44"/>
      <c r="I830" s="44"/>
      <c r="J830" s="44"/>
      <c r="K830" s="44"/>
      <c r="L830" s="44"/>
      <c r="M830" s="44"/>
      <c r="N830" s="44"/>
      <c r="O830" s="44"/>
    </row>
    <row r="831" spans="1:15" ht="17.25" customHeight="1">
      <c r="A831" s="44"/>
      <c r="B831" s="44"/>
      <c r="C831" s="44"/>
      <c r="D831" s="44"/>
      <c r="E831" s="44"/>
      <c r="F831" s="44"/>
      <c r="G831" s="44"/>
      <c r="H831" s="44"/>
      <c r="I831" s="44"/>
      <c r="J831" s="44"/>
      <c r="K831" s="44"/>
      <c r="L831" s="44"/>
      <c r="M831" s="44"/>
      <c r="N831" s="44"/>
      <c r="O831" s="44"/>
    </row>
    <row r="832" spans="1:15" ht="17.25" customHeight="1">
      <c r="A832" s="44"/>
      <c r="B832" s="44"/>
      <c r="C832" s="44"/>
      <c r="D832" s="44"/>
      <c r="E832" s="44"/>
      <c r="F832" s="44"/>
      <c r="G832" s="44"/>
      <c r="H832" s="44"/>
      <c r="I832" s="44"/>
      <c r="J832" s="44"/>
      <c r="K832" s="44"/>
      <c r="L832" s="44"/>
      <c r="M832" s="44"/>
      <c r="N832" s="44"/>
      <c r="O832" s="44"/>
    </row>
    <row r="833" spans="1:15" ht="17.25" customHeight="1">
      <c r="A833" s="44"/>
      <c r="B833" s="44"/>
      <c r="C833" s="44"/>
      <c r="D833" s="44"/>
      <c r="E833" s="44"/>
      <c r="F833" s="44"/>
      <c r="G833" s="44"/>
      <c r="H833" s="44"/>
      <c r="I833" s="44"/>
      <c r="J833" s="44"/>
      <c r="K833" s="44"/>
      <c r="L833" s="44"/>
      <c r="M833" s="44"/>
      <c r="N833" s="44"/>
      <c r="O833" s="44"/>
    </row>
    <row r="834" spans="1:15" ht="17.25" customHeight="1">
      <c r="A834" s="44"/>
      <c r="B834" s="44"/>
      <c r="C834" s="44"/>
      <c r="D834" s="44"/>
      <c r="E834" s="44"/>
      <c r="F834" s="44"/>
      <c r="G834" s="44"/>
      <c r="H834" s="44"/>
      <c r="I834" s="44"/>
      <c r="J834" s="44"/>
      <c r="K834" s="44"/>
      <c r="L834" s="44"/>
      <c r="M834" s="44"/>
      <c r="N834" s="44"/>
      <c r="O834" s="44"/>
    </row>
    <row r="835" spans="1:15" ht="17.25" customHeight="1">
      <c r="A835" s="44"/>
      <c r="B835" s="44"/>
      <c r="C835" s="44"/>
      <c r="D835" s="44"/>
      <c r="E835" s="44"/>
      <c r="F835" s="44"/>
      <c r="G835" s="44"/>
      <c r="H835" s="44"/>
      <c r="I835" s="44"/>
      <c r="J835" s="44"/>
      <c r="K835" s="44"/>
      <c r="L835" s="44"/>
      <c r="M835" s="44"/>
      <c r="N835" s="44"/>
      <c r="O835" s="44"/>
    </row>
    <row r="836" spans="1:15" ht="17.25" customHeight="1">
      <c r="A836" s="44"/>
      <c r="B836" s="44"/>
      <c r="C836" s="44"/>
      <c r="D836" s="44"/>
      <c r="E836" s="44"/>
      <c r="F836" s="44"/>
      <c r="G836" s="44"/>
      <c r="H836" s="44"/>
      <c r="I836" s="44"/>
      <c r="J836" s="44"/>
      <c r="K836" s="44"/>
      <c r="L836" s="44"/>
      <c r="M836" s="44"/>
      <c r="N836" s="44"/>
      <c r="O836" s="44"/>
    </row>
    <row r="837" spans="1:15" ht="17.25" customHeight="1">
      <c r="A837" s="44"/>
      <c r="B837" s="44"/>
      <c r="C837" s="44"/>
      <c r="D837" s="44"/>
      <c r="E837" s="44"/>
      <c r="F837" s="44"/>
      <c r="G837" s="44"/>
      <c r="H837" s="44"/>
      <c r="I837" s="44"/>
      <c r="J837" s="44"/>
      <c r="K837" s="44"/>
      <c r="L837" s="44"/>
      <c r="M837" s="44"/>
      <c r="N837" s="44"/>
      <c r="O837" s="44"/>
    </row>
    <row r="838" spans="1:15" ht="17.25" customHeight="1">
      <c r="A838" s="44"/>
      <c r="B838" s="44"/>
      <c r="C838" s="44"/>
      <c r="D838" s="44"/>
      <c r="E838" s="44"/>
      <c r="F838" s="44"/>
      <c r="G838" s="44"/>
      <c r="H838" s="44"/>
      <c r="I838" s="44"/>
      <c r="J838" s="44"/>
      <c r="K838" s="44"/>
      <c r="L838" s="44"/>
      <c r="M838" s="44"/>
      <c r="N838" s="44"/>
      <c r="O838" s="44"/>
    </row>
    <row r="839" spans="1:15" ht="17.25" customHeight="1">
      <c r="A839" s="44"/>
      <c r="B839" s="44"/>
      <c r="C839" s="44"/>
      <c r="D839" s="44"/>
      <c r="E839" s="44"/>
      <c r="F839" s="44"/>
      <c r="G839" s="44"/>
      <c r="H839" s="44"/>
      <c r="I839" s="44"/>
      <c r="J839" s="44"/>
      <c r="K839" s="44"/>
      <c r="L839" s="44"/>
      <c r="M839" s="44"/>
      <c r="N839" s="44"/>
      <c r="O839" s="44"/>
    </row>
    <row r="840" spans="1:15" ht="17.25" customHeight="1">
      <c r="A840" s="44"/>
      <c r="B840" s="44"/>
      <c r="C840" s="44"/>
      <c r="D840" s="44"/>
      <c r="E840" s="44"/>
      <c r="F840" s="44"/>
      <c r="G840" s="44"/>
      <c r="H840" s="44"/>
      <c r="I840" s="44"/>
      <c r="J840" s="44"/>
      <c r="K840" s="44"/>
      <c r="L840" s="44"/>
      <c r="M840" s="44"/>
      <c r="N840" s="44"/>
      <c r="O840" s="44"/>
    </row>
    <row r="841" spans="1:15" ht="17.25" customHeight="1">
      <c r="A841" s="44"/>
      <c r="B841" s="44"/>
      <c r="C841" s="44"/>
      <c r="D841" s="44"/>
      <c r="E841" s="44"/>
      <c r="F841" s="44"/>
      <c r="G841" s="44"/>
      <c r="H841" s="44"/>
      <c r="I841" s="44"/>
      <c r="J841" s="44"/>
      <c r="K841" s="44"/>
      <c r="L841" s="44"/>
      <c r="M841" s="44"/>
      <c r="N841" s="44"/>
      <c r="O841" s="44"/>
    </row>
    <row r="842" spans="1:15" ht="17.25" customHeight="1">
      <c r="A842" s="44"/>
      <c r="B842" s="44"/>
      <c r="C842" s="44"/>
      <c r="D842" s="44"/>
      <c r="E842" s="44"/>
      <c r="F842" s="44"/>
      <c r="G842" s="44"/>
      <c r="H842" s="44"/>
      <c r="I842" s="44"/>
      <c r="J842" s="44"/>
      <c r="K842" s="44"/>
      <c r="L842" s="44"/>
      <c r="M842" s="44"/>
      <c r="N842" s="44"/>
      <c r="O842" s="44"/>
    </row>
    <row r="843" spans="1:15" ht="17.25" customHeight="1">
      <c r="A843" s="44"/>
      <c r="B843" s="44"/>
      <c r="C843" s="44"/>
      <c r="D843" s="44"/>
      <c r="E843" s="44"/>
      <c r="F843" s="44"/>
      <c r="G843" s="44"/>
      <c r="H843" s="44"/>
      <c r="I843" s="44"/>
      <c r="J843" s="44"/>
      <c r="K843" s="44"/>
      <c r="L843" s="44"/>
      <c r="M843" s="44"/>
      <c r="N843" s="44"/>
      <c r="O843" s="44"/>
    </row>
    <row r="844" spans="1:15" ht="17.25" customHeight="1">
      <c r="A844" s="44"/>
      <c r="B844" s="44"/>
      <c r="C844" s="44"/>
      <c r="D844" s="44"/>
      <c r="E844" s="44"/>
      <c r="F844" s="44"/>
      <c r="G844" s="44"/>
      <c r="H844" s="44"/>
      <c r="I844" s="44"/>
      <c r="J844" s="44"/>
      <c r="K844" s="44"/>
      <c r="L844" s="44"/>
      <c r="M844" s="44"/>
      <c r="N844" s="44"/>
      <c r="O844" s="44"/>
    </row>
    <row r="845" spans="1:15" ht="17.25" customHeight="1">
      <c r="A845" s="44"/>
      <c r="B845" s="44"/>
      <c r="C845" s="44"/>
      <c r="D845" s="44"/>
      <c r="E845" s="44"/>
      <c r="F845" s="44"/>
      <c r="G845" s="44"/>
      <c r="H845" s="44"/>
      <c r="I845" s="44"/>
      <c r="J845" s="44"/>
      <c r="K845" s="44"/>
      <c r="L845" s="44"/>
      <c r="M845" s="44"/>
      <c r="N845" s="44"/>
      <c r="O845" s="44"/>
    </row>
    <row r="846" spans="1:15" ht="17.25" customHeight="1">
      <c r="A846" s="44"/>
      <c r="B846" s="44"/>
      <c r="C846" s="44"/>
      <c r="D846" s="44"/>
      <c r="E846" s="44"/>
      <c r="F846" s="44"/>
      <c r="G846" s="44"/>
      <c r="H846" s="44"/>
      <c r="I846" s="44"/>
      <c r="J846" s="44"/>
      <c r="K846" s="44"/>
      <c r="L846" s="44"/>
      <c r="M846" s="44"/>
      <c r="N846" s="44"/>
      <c r="O846" s="44"/>
    </row>
    <row r="847" spans="1:15" ht="17.25" customHeight="1">
      <c r="A847" s="44"/>
      <c r="B847" s="44"/>
      <c r="C847" s="44"/>
      <c r="D847" s="44"/>
      <c r="E847" s="44"/>
      <c r="F847" s="44"/>
      <c r="G847" s="44"/>
      <c r="H847" s="44"/>
      <c r="I847" s="44"/>
      <c r="J847" s="44"/>
      <c r="K847" s="44"/>
      <c r="L847" s="44"/>
      <c r="M847" s="44"/>
      <c r="N847" s="44"/>
      <c r="O847" s="44"/>
    </row>
    <row r="848" spans="1:15" ht="17.25" customHeight="1">
      <c r="A848" s="44"/>
      <c r="B848" s="44"/>
      <c r="C848" s="44"/>
      <c r="D848" s="44"/>
      <c r="E848" s="44"/>
      <c r="F848" s="44"/>
      <c r="G848" s="44"/>
      <c r="H848" s="44"/>
      <c r="I848" s="44"/>
      <c r="J848" s="44"/>
      <c r="K848" s="44"/>
      <c r="L848" s="44"/>
      <c r="M848" s="44"/>
      <c r="N848" s="44"/>
      <c r="O848" s="44"/>
    </row>
    <row r="849" spans="1:15" ht="17.25" customHeight="1">
      <c r="A849" s="44"/>
      <c r="B849" s="44"/>
      <c r="C849" s="44"/>
      <c r="D849" s="44"/>
      <c r="E849" s="44"/>
      <c r="F849" s="44"/>
      <c r="G849" s="44"/>
      <c r="H849" s="44"/>
      <c r="I849" s="44"/>
      <c r="J849" s="44"/>
      <c r="K849" s="44"/>
      <c r="L849" s="44"/>
      <c r="M849" s="44"/>
      <c r="N849" s="44"/>
      <c r="O849" s="44"/>
    </row>
    <row r="850" spans="1:15" ht="17.25" customHeight="1">
      <c r="A850" s="44"/>
      <c r="B850" s="44"/>
      <c r="C850" s="44"/>
      <c r="D850" s="44"/>
      <c r="E850" s="44"/>
      <c r="F850" s="44"/>
      <c r="G850" s="44"/>
      <c r="H850" s="44"/>
      <c r="I850" s="44"/>
      <c r="J850" s="44"/>
      <c r="K850" s="44"/>
      <c r="L850" s="44"/>
      <c r="M850" s="44"/>
      <c r="N850" s="44"/>
      <c r="O850" s="44"/>
    </row>
    <row r="851" spans="1:15" ht="17.25" customHeight="1">
      <c r="A851" s="44"/>
      <c r="B851" s="44"/>
      <c r="C851" s="44"/>
      <c r="D851" s="44"/>
      <c r="E851" s="44"/>
      <c r="F851" s="44"/>
      <c r="G851" s="44"/>
      <c r="H851" s="44"/>
      <c r="I851" s="44"/>
      <c r="J851" s="44"/>
      <c r="K851" s="44"/>
      <c r="L851" s="44"/>
      <c r="M851" s="44"/>
      <c r="N851" s="44"/>
      <c r="O851" s="44"/>
    </row>
    <row r="852" spans="1:15" ht="17.25" customHeight="1">
      <c r="A852" s="44"/>
      <c r="B852" s="44"/>
      <c r="C852" s="44"/>
      <c r="D852" s="44"/>
      <c r="E852" s="44"/>
      <c r="F852" s="44"/>
      <c r="G852" s="44"/>
      <c r="H852" s="44"/>
      <c r="I852" s="44"/>
      <c r="J852" s="44"/>
      <c r="K852" s="44"/>
      <c r="L852" s="44"/>
      <c r="M852" s="44"/>
      <c r="N852" s="44"/>
      <c r="O852" s="44"/>
    </row>
    <row r="853" spans="1:15" ht="17.25" customHeight="1">
      <c r="A853" s="44"/>
      <c r="B853" s="44"/>
      <c r="C853" s="44"/>
      <c r="D853" s="44"/>
      <c r="E853" s="44"/>
      <c r="F853" s="44"/>
      <c r="G853" s="44"/>
      <c r="H853" s="44"/>
      <c r="I853" s="44"/>
      <c r="J853" s="44"/>
      <c r="K853" s="44"/>
      <c r="L853" s="44"/>
      <c r="M853" s="44"/>
      <c r="N853" s="44"/>
      <c r="O853" s="44"/>
    </row>
    <row r="854" spans="1:15" ht="17.25" customHeight="1">
      <c r="A854" s="44"/>
      <c r="B854" s="44"/>
      <c r="C854" s="44"/>
      <c r="D854" s="44"/>
      <c r="E854" s="44"/>
      <c r="F854" s="44"/>
      <c r="G854" s="44"/>
      <c r="H854" s="44"/>
      <c r="I854" s="44"/>
      <c r="J854" s="44"/>
      <c r="K854" s="44"/>
      <c r="L854" s="44"/>
      <c r="M854" s="44"/>
      <c r="N854" s="44"/>
      <c r="O854" s="44"/>
    </row>
    <row r="855" spans="1:15" ht="17.25" customHeight="1">
      <c r="A855" s="44"/>
      <c r="B855" s="44"/>
      <c r="C855" s="44"/>
      <c r="D855" s="44"/>
      <c r="E855" s="44"/>
      <c r="F855" s="44"/>
      <c r="G855" s="44"/>
      <c r="H855" s="44"/>
      <c r="I855" s="44"/>
      <c r="J855" s="44"/>
      <c r="K855" s="44"/>
      <c r="L855" s="44"/>
      <c r="M855" s="44"/>
      <c r="N855" s="44"/>
      <c r="O855" s="44"/>
    </row>
    <row r="856" spans="1:15" ht="17.25" customHeight="1">
      <c r="A856" s="44"/>
      <c r="B856" s="44"/>
      <c r="C856" s="44"/>
      <c r="D856" s="44"/>
      <c r="E856" s="44"/>
      <c r="F856" s="44"/>
      <c r="G856" s="44"/>
      <c r="H856" s="44"/>
      <c r="I856" s="44"/>
      <c r="J856" s="44"/>
      <c r="K856" s="44"/>
      <c r="L856" s="44"/>
      <c r="M856" s="44"/>
      <c r="N856" s="44"/>
      <c r="O856" s="44"/>
    </row>
    <row r="857" spans="1:15" ht="17.25" customHeight="1">
      <c r="A857" s="44"/>
      <c r="B857" s="44"/>
      <c r="C857" s="44"/>
      <c r="D857" s="44"/>
      <c r="E857" s="44"/>
      <c r="F857" s="44"/>
      <c r="G857" s="44"/>
      <c r="H857" s="44"/>
      <c r="I857" s="44"/>
      <c r="J857" s="44"/>
      <c r="K857" s="44"/>
      <c r="L857" s="44"/>
      <c r="M857" s="44"/>
      <c r="N857" s="44"/>
      <c r="O857" s="44"/>
    </row>
    <row r="858" spans="1:15" ht="17.25" customHeight="1">
      <c r="A858" s="44"/>
      <c r="B858" s="44"/>
      <c r="C858" s="44"/>
      <c r="D858" s="44"/>
      <c r="E858" s="44"/>
      <c r="F858" s="44"/>
      <c r="G858" s="44"/>
      <c r="H858" s="44"/>
      <c r="I858" s="44"/>
      <c r="J858" s="44"/>
      <c r="K858" s="44"/>
      <c r="L858" s="44"/>
      <c r="M858" s="44"/>
      <c r="N858" s="44"/>
      <c r="O858" s="44"/>
    </row>
    <row r="859" spans="1:15" ht="17.25" customHeight="1">
      <c r="A859" s="44"/>
      <c r="B859" s="44"/>
      <c r="C859" s="44"/>
      <c r="D859" s="44"/>
      <c r="E859" s="44"/>
      <c r="F859" s="44"/>
      <c r="G859" s="44"/>
      <c r="H859" s="44"/>
      <c r="I859" s="44"/>
      <c r="J859" s="44"/>
      <c r="K859" s="44"/>
      <c r="L859" s="44"/>
      <c r="M859" s="44"/>
      <c r="N859" s="44"/>
      <c r="O859" s="44"/>
    </row>
    <row r="860" spans="1:15" ht="17.25" customHeight="1">
      <c r="A860" s="44"/>
      <c r="B860" s="44"/>
      <c r="C860" s="44"/>
      <c r="D860" s="44"/>
      <c r="E860" s="44"/>
      <c r="F860" s="44"/>
      <c r="G860" s="44"/>
      <c r="H860" s="44"/>
      <c r="I860" s="44"/>
      <c r="J860" s="44"/>
      <c r="K860" s="44"/>
      <c r="L860" s="44"/>
      <c r="M860" s="44"/>
      <c r="N860" s="44"/>
      <c r="O860" s="44"/>
    </row>
    <row r="861" spans="1:15" ht="17.25" customHeight="1">
      <c r="A861" s="44"/>
      <c r="B861" s="44"/>
      <c r="C861" s="44"/>
      <c r="D861" s="44"/>
      <c r="E861" s="44"/>
      <c r="F861" s="44"/>
      <c r="G861" s="44"/>
      <c r="H861" s="44"/>
      <c r="I861" s="44"/>
      <c r="J861" s="44"/>
      <c r="K861" s="44"/>
      <c r="L861" s="44"/>
      <c r="M861" s="44"/>
      <c r="N861" s="44"/>
      <c r="O861" s="44"/>
    </row>
    <row r="862" spans="1:15" ht="17.25" customHeight="1">
      <c r="A862" s="44"/>
      <c r="B862" s="44"/>
      <c r="C862" s="44"/>
      <c r="D862" s="44"/>
      <c r="E862" s="44"/>
      <c r="F862" s="44"/>
      <c r="G862" s="44"/>
      <c r="H862" s="44"/>
      <c r="I862" s="44"/>
      <c r="J862" s="44"/>
      <c r="K862" s="44"/>
      <c r="L862" s="44"/>
      <c r="M862" s="44"/>
      <c r="N862" s="44"/>
      <c r="O862" s="44"/>
    </row>
    <row r="863" spans="1:15" ht="17.25" customHeight="1">
      <c r="A863" s="44"/>
      <c r="B863" s="44"/>
      <c r="C863" s="44"/>
      <c r="D863" s="44"/>
      <c r="E863" s="44"/>
      <c r="F863" s="44"/>
      <c r="G863" s="44"/>
      <c r="H863" s="44"/>
      <c r="I863" s="44"/>
      <c r="J863" s="44"/>
      <c r="K863" s="44"/>
      <c r="L863" s="44"/>
      <c r="M863" s="44"/>
      <c r="N863" s="44"/>
      <c r="O863" s="44"/>
    </row>
    <row r="864" spans="1:15" ht="17.25" customHeight="1">
      <c r="A864" s="44"/>
      <c r="B864" s="44"/>
      <c r="C864" s="44"/>
      <c r="D864" s="44"/>
      <c r="E864" s="44"/>
      <c r="F864" s="44"/>
      <c r="G864" s="44"/>
      <c r="H864" s="44"/>
      <c r="I864" s="44"/>
      <c r="J864" s="44"/>
      <c r="K864" s="44"/>
      <c r="L864" s="44"/>
      <c r="M864" s="44"/>
      <c r="N864" s="44"/>
      <c r="O864" s="44"/>
    </row>
    <row r="865" spans="1:15" ht="17.25" customHeight="1">
      <c r="A865" s="44"/>
      <c r="B865" s="44"/>
      <c r="C865" s="44"/>
      <c r="D865" s="44"/>
      <c r="E865" s="44"/>
      <c r="F865" s="44"/>
      <c r="G865" s="44"/>
      <c r="H865" s="44"/>
      <c r="I865" s="44"/>
      <c r="J865" s="44"/>
      <c r="K865" s="44"/>
      <c r="L865" s="44"/>
      <c r="M865" s="44"/>
      <c r="N865" s="44"/>
      <c r="O865" s="44"/>
    </row>
    <row r="866" spans="1:15" ht="17.25" customHeight="1">
      <c r="A866" s="44"/>
      <c r="B866" s="44"/>
      <c r="C866" s="44"/>
      <c r="D866" s="44"/>
      <c r="E866" s="44"/>
      <c r="F866" s="44"/>
      <c r="G866" s="44"/>
      <c r="H866" s="44"/>
      <c r="I866" s="44"/>
      <c r="J866" s="44"/>
      <c r="K866" s="44"/>
      <c r="L866" s="44"/>
      <c r="M866" s="44"/>
      <c r="N866" s="44"/>
      <c r="O866" s="44"/>
    </row>
    <row r="867" spans="1:15" ht="17.25" customHeight="1">
      <c r="A867" s="44"/>
      <c r="B867" s="44"/>
      <c r="C867" s="44"/>
      <c r="D867" s="44"/>
      <c r="E867" s="44"/>
      <c r="F867" s="44"/>
      <c r="G867" s="44"/>
      <c r="H867" s="44"/>
      <c r="I867" s="44"/>
      <c r="J867" s="44"/>
      <c r="K867" s="44"/>
      <c r="L867" s="44"/>
      <c r="M867" s="44"/>
      <c r="N867" s="44"/>
      <c r="O867" s="44"/>
    </row>
    <row r="868" spans="1:15" ht="17.25" customHeight="1">
      <c r="A868" s="44"/>
      <c r="B868" s="44"/>
      <c r="C868" s="44"/>
      <c r="D868" s="44"/>
      <c r="E868" s="44"/>
      <c r="F868" s="44"/>
      <c r="G868" s="44"/>
      <c r="H868" s="44"/>
      <c r="I868" s="44"/>
      <c r="J868" s="44"/>
      <c r="K868" s="44"/>
      <c r="L868" s="44"/>
      <c r="M868" s="44"/>
      <c r="N868" s="44"/>
      <c r="O868" s="44"/>
    </row>
    <row r="869" spans="1:15" ht="17.25" customHeight="1">
      <c r="A869" s="44"/>
      <c r="B869" s="44"/>
      <c r="C869" s="44"/>
      <c r="D869" s="44"/>
      <c r="E869" s="44"/>
      <c r="F869" s="44"/>
      <c r="G869" s="44"/>
      <c r="H869" s="44"/>
      <c r="I869" s="44"/>
      <c r="J869" s="44"/>
      <c r="K869" s="44"/>
      <c r="L869" s="44"/>
      <c r="M869" s="44"/>
      <c r="N869" s="44"/>
      <c r="O869" s="44"/>
    </row>
    <row r="870" spans="1:15" ht="17.25" customHeight="1">
      <c r="A870" s="44"/>
      <c r="B870" s="44"/>
      <c r="C870" s="44"/>
      <c r="D870" s="44"/>
      <c r="E870" s="44"/>
      <c r="F870" s="44"/>
      <c r="G870" s="44"/>
      <c r="H870" s="44"/>
      <c r="I870" s="44"/>
      <c r="J870" s="44"/>
      <c r="K870" s="44"/>
      <c r="L870" s="44"/>
      <c r="M870" s="44"/>
      <c r="N870" s="44"/>
      <c r="O870" s="44"/>
    </row>
    <row r="871" spans="1:15" ht="17.25" customHeight="1">
      <c r="A871" s="44"/>
      <c r="B871" s="44"/>
      <c r="C871" s="44"/>
      <c r="D871" s="44"/>
      <c r="E871" s="44"/>
      <c r="F871" s="44"/>
      <c r="G871" s="44"/>
      <c r="H871" s="44"/>
      <c r="I871" s="44"/>
      <c r="J871" s="44"/>
      <c r="K871" s="44"/>
      <c r="L871" s="44"/>
      <c r="M871" s="44"/>
      <c r="N871" s="44"/>
      <c r="O871" s="44"/>
    </row>
    <row r="872" spans="1:15" ht="17.25" customHeight="1">
      <c r="A872" s="44"/>
      <c r="B872" s="44"/>
      <c r="C872" s="44"/>
      <c r="D872" s="44"/>
      <c r="E872" s="44"/>
      <c r="F872" s="44"/>
      <c r="G872" s="44"/>
      <c r="H872" s="44"/>
      <c r="I872" s="44"/>
      <c r="J872" s="44"/>
      <c r="K872" s="44"/>
      <c r="L872" s="44"/>
      <c r="M872" s="44"/>
      <c r="N872" s="44"/>
      <c r="O872" s="44"/>
    </row>
    <row r="873" spans="1:15" ht="17.25" customHeight="1">
      <c r="A873" s="44"/>
      <c r="B873" s="44"/>
      <c r="C873" s="44"/>
      <c r="D873" s="44"/>
      <c r="E873" s="44"/>
      <c r="F873" s="44"/>
      <c r="G873" s="44"/>
      <c r="H873" s="44"/>
      <c r="I873" s="44"/>
      <c r="J873" s="44"/>
      <c r="K873" s="44"/>
      <c r="L873" s="44"/>
      <c r="M873" s="44"/>
      <c r="N873" s="44"/>
      <c r="O873" s="44"/>
    </row>
    <row r="874" spans="1:15" ht="17.25" customHeight="1">
      <c r="A874" s="44"/>
      <c r="B874" s="44"/>
      <c r="C874" s="44"/>
      <c r="D874" s="44"/>
      <c r="E874" s="44"/>
      <c r="F874" s="44"/>
      <c r="G874" s="44"/>
      <c r="H874" s="44"/>
      <c r="I874" s="44"/>
      <c r="J874" s="44"/>
      <c r="K874" s="44"/>
      <c r="L874" s="44"/>
      <c r="M874" s="44"/>
      <c r="N874" s="44"/>
      <c r="O874" s="44"/>
    </row>
    <row r="875" spans="1:15" ht="17.25" customHeight="1">
      <c r="A875" s="44"/>
      <c r="B875" s="44"/>
      <c r="C875" s="44"/>
      <c r="D875" s="44"/>
      <c r="E875" s="44"/>
      <c r="F875" s="44"/>
      <c r="G875" s="44"/>
      <c r="H875" s="44"/>
      <c r="I875" s="44"/>
      <c r="J875" s="44"/>
      <c r="K875" s="44"/>
      <c r="L875" s="44"/>
      <c r="M875" s="44"/>
      <c r="N875" s="44"/>
      <c r="O875" s="44"/>
    </row>
    <row r="876" spans="1:15" ht="17.25" customHeight="1">
      <c r="A876" s="44"/>
      <c r="B876" s="44"/>
      <c r="C876" s="44"/>
      <c r="D876" s="44"/>
      <c r="E876" s="44"/>
      <c r="F876" s="44"/>
      <c r="G876" s="44"/>
      <c r="H876" s="44"/>
      <c r="I876" s="44"/>
      <c r="J876" s="44"/>
      <c r="K876" s="44"/>
      <c r="L876" s="44"/>
      <c r="M876" s="44"/>
      <c r="N876" s="44"/>
      <c r="O876" s="44"/>
    </row>
    <row r="877" spans="1:15" ht="17.25" customHeight="1">
      <c r="A877" s="44"/>
      <c r="B877" s="44"/>
      <c r="C877" s="44"/>
      <c r="D877" s="44"/>
      <c r="E877" s="44"/>
      <c r="F877" s="44"/>
      <c r="G877" s="44"/>
      <c r="H877" s="44"/>
      <c r="I877" s="44"/>
      <c r="J877" s="44"/>
      <c r="K877" s="44"/>
      <c r="L877" s="44"/>
      <c r="M877" s="44"/>
      <c r="N877" s="44"/>
      <c r="O877" s="44"/>
    </row>
    <row r="878" spans="1:15" ht="17.25" customHeight="1">
      <c r="A878" s="44"/>
      <c r="B878" s="44"/>
      <c r="C878" s="44"/>
      <c r="D878" s="44"/>
      <c r="E878" s="44"/>
      <c r="F878" s="44"/>
      <c r="G878" s="44"/>
      <c r="H878" s="44"/>
      <c r="I878" s="44"/>
      <c r="J878" s="44"/>
      <c r="K878" s="44"/>
      <c r="L878" s="44"/>
      <c r="M878" s="44"/>
      <c r="N878" s="44"/>
      <c r="O878" s="44"/>
    </row>
    <row r="879" spans="1:15" ht="17.25" customHeight="1">
      <c r="A879" s="44"/>
      <c r="B879" s="44"/>
      <c r="C879" s="44"/>
      <c r="D879" s="44"/>
      <c r="E879" s="44"/>
      <c r="F879" s="44"/>
      <c r="G879" s="44"/>
      <c r="H879" s="44"/>
      <c r="I879" s="44"/>
      <c r="J879" s="44"/>
      <c r="K879" s="44"/>
      <c r="L879" s="44"/>
      <c r="M879" s="44"/>
      <c r="N879" s="44"/>
      <c r="O879" s="44"/>
    </row>
    <row r="880" spans="1:15" ht="17.25" customHeight="1">
      <c r="A880" s="44"/>
      <c r="B880" s="44"/>
      <c r="C880" s="44"/>
      <c r="D880" s="44"/>
      <c r="E880" s="44"/>
      <c r="F880" s="44"/>
      <c r="G880" s="44"/>
      <c r="H880" s="44"/>
      <c r="I880" s="44"/>
      <c r="J880" s="44"/>
      <c r="K880" s="44"/>
      <c r="L880" s="44"/>
      <c r="M880" s="44"/>
      <c r="N880" s="44"/>
      <c r="O880" s="44"/>
    </row>
    <row r="881" spans="1:15" ht="17.25" customHeight="1">
      <c r="A881" s="44"/>
      <c r="B881" s="44"/>
      <c r="C881" s="44"/>
      <c r="D881" s="44"/>
      <c r="E881" s="44"/>
      <c r="F881" s="44"/>
      <c r="G881" s="44"/>
      <c r="H881" s="44"/>
      <c r="I881" s="44"/>
      <c r="J881" s="44"/>
      <c r="K881" s="44"/>
      <c r="L881" s="44"/>
      <c r="M881" s="44"/>
      <c r="N881" s="44"/>
      <c r="O881" s="44"/>
    </row>
    <row r="882" spans="1:15" ht="17.25" customHeight="1">
      <c r="A882" s="44"/>
      <c r="B882" s="44"/>
      <c r="C882" s="44"/>
      <c r="D882" s="44"/>
      <c r="E882" s="44"/>
      <c r="F882" s="44"/>
      <c r="G882" s="44"/>
      <c r="H882" s="44"/>
      <c r="I882" s="44"/>
      <c r="J882" s="44"/>
      <c r="K882" s="44"/>
      <c r="L882" s="44"/>
      <c r="M882" s="44"/>
      <c r="N882" s="44"/>
      <c r="O882" s="44"/>
    </row>
    <row r="883" spans="1:15" ht="17.25" customHeight="1">
      <c r="A883" s="44"/>
      <c r="B883" s="44"/>
      <c r="C883" s="44"/>
      <c r="D883" s="44"/>
      <c r="E883" s="44"/>
      <c r="F883" s="44"/>
      <c r="G883" s="44"/>
      <c r="H883" s="44"/>
      <c r="I883" s="44"/>
      <c r="J883" s="44"/>
      <c r="K883" s="44"/>
      <c r="L883" s="44"/>
      <c r="M883" s="44"/>
      <c r="N883" s="44"/>
      <c r="O883" s="44"/>
    </row>
    <row r="884" spans="1:15" ht="17.25" customHeight="1">
      <c r="A884" s="44"/>
      <c r="B884" s="44"/>
      <c r="C884" s="44"/>
      <c r="D884" s="44"/>
      <c r="E884" s="44"/>
      <c r="F884" s="44"/>
      <c r="G884" s="44"/>
      <c r="H884" s="44"/>
      <c r="I884" s="44"/>
      <c r="J884" s="44"/>
      <c r="K884" s="44"/>
      <c r="L884" s="44"/>
      <c r="M884" s="44"/>
      <c r="N884" s="44"/>
      <c r="O884" s="44"/>
    </row>
    <row r="885" spans="1:15" ht="17.25" customHeight="1">
      <c r="A885" s="44"/>
      <c r="B885" s="44"/>
      <c r="C885" s="44"/>
      <c r="D885" s="44"/>
      <c r="E885" s="44"/>
      <c r="F885" s="44"/>
      <c r="G885" s="44"/>
      <c r="H885" s="44"/>
      <c r="I885" s="44"/>
      <c r="J885" s="44"/>
      <c r="K885" s="44"/>
      <c r="L885" s="44"/>
      <c r="M885" s="44"/>
      <c r="N885" s="44"/>
      <c r="O885" s="44"/>
    </row>
    <row r="886" spans="1:15" ht="17.25" customHeight="1">
      <c r="A886" s="44"/>
      <c r="B886" s="44"/>
      <c r="C886" s="44"/>
      <c r="D886" s="44"/>
      <c r="E886" s="44"/>
      <c r="F886" s="44"/>
      <c r="G886" s="44"/>
      <c r="H886" s="44"/>
      <c r="I886" s="44"/>
      <c r="J886" s="44"/>
      <c r="K886" s="44"/>
      <c r="L886" s="44"/>
      <c r="M886" s="44"/>
      <c r="N886" s="44"/>
      <c r="O886" s="44"/>
    </row>
    <row r="887" spans="1:15" ht="17.25" customHeight="1">
      <c r="A887" s="44"/>
      <c r="B887" s="44"/>
      <c r="C887" s="44"/>
      <c r="D887" s="44"/>
      <c r="E887" s="44"/>
      <c r="F887" s="44"/>
      <c r="G887" s="44"/>
      <c r="H887" s="44"/>
      <c r="I887" s="44"/>
      <c r="J887" s="44"/>
      <c r="K887" s="44"/>
      <c r="L887" s="44"/>
      <c r="M887" s="44"/>
      <c r="N887" s="44"/>
      <c r="O887" s="44"/>
    </row>
    <row r="888" spans="1:15" ht="17.25" customHeight="1">
      <c r="A888" s="44"/>
      <c r="B888" s="44"/>
      <c r="C888" s="44"/>
      <c r="D888" s="44"/>
      <c r="E888" s="44"/>
      <c r="F888" s="44"/>
      <c r="G888" s="44"/>
      <c r="H888" s="44"/>
      <c r="I888" s="44"/>
      <c r="J888" s="44"/>
      <c r="K888" s="44"/>
      <c r="L888" s="44"/>
      <c r="M888" s="44"/>
      <c r="N888" s="44"/>
      <c r="O888" s="44"/>
    </row>
    <row r="889" spans="1:15" ht="17.25" customHeight="1">
      <c r="A889" s="44"/>
      <c r="B889" s="44"/>
      <c r="C889" s="44"/>
      <c r="D889" s="44"/>
      <c r="E889" s="44"/>
      <c r="F889" s="44"/>
      <c r="G889" s="44"/>
      <c r="H889" s="44"/>
      <c r="I889" s="44"/>
      <c r="J889" s="44"/>
      <c r="K889" s="44"/>
      <c r="L889" s="44"/>
      <c r="M889" s="44"/>
      <c r="N889" s="44"/>
      <c r="O889" s="44"/>
    </row>
    <row r="890" spans="1:15" ht="17.25" customHeight="1">
      <c r="A890" s="44"/>
      <c r="B890" s="44"/>
      <c r="C890" s="44"/>
      <c r="D890" s="44"/>
      <c r="E890" s="44"/>
      <c r="F890" s="44"/>
      <c r="G890" s="44"/>
      <c r="H890" s="44"/>
      <c r="I890" s="44"/>
      <c r="J890" s="44"/>
      <c r="K890" s="44"/>
      <c r="L890" s="44"/>
      <c r="M890" s="44"/>
      <c r="N890" s="44"/>
      <c r="O890" s="44"/>
    </row>
    <row r="891" spans="1:15" ht="17.25" customHeight="1">
      <c r="A891" s="44"/>
      <c r="B891" s="44"/>
      <c r="C891" s="44"/>
      <c r="D891" s="44"/>
      <c r="E891" s="44"/>
      <c r="F891" s="44"/>
      <c r="G891" s="44"/>
      <c r="H891" s="44"/>
      <c r="I891" s="44"/>
      <c r="J891" s="44"/>
      <c r="K891" s="44"/>
      <c r="L891" s="44"/>
      <c r="M891" s="44"/>
      <c r="N891" s="44"/>
      <c r="O891" s="44"/>
    </row>
    <row r="892" spans="1:15" ht="17.25" customHeight="1">
      <c r="A892" s="44"/>
      <c r="B892" s="44"/>
      <c r="C892" s="44"/>
      <c r="D892" s="44"/>
      <c r="E892" s="44"/>
      <c r="F892" s="44"/>
      <c r="G892" s="44"/>
      <c r="H892" s="44"/>
      <c r="I892" s="44"/>
      <c r="J892" s="44"/>
      <c r="K892" s="44"/>
      <c r="L892" s="44"/>
      <c r="M892" s="44"/>
      <c r="N892" s="44"/>
      <c r="O892" s="44"/>
    </row>
    <row r="893" spans="1:15" ht="17.25" customHeight="1">
      <c r="A893" s="44"/>
      <c r="B893" s="44"/>
      <c r="C893" s="44"/>
      <c r="D893" s="44"/>
      <c r="E893" s="44"/>
      <c r="F893" s="44"/>
      <c r="G893" s="44"/>
      <c r="H893" s="44"/>
      <c r="I893" s="44"/>
      <c r="J893" s="44"/>
      <c r="K893" s="44"/>
      <c r="L893" s="44"/>
      <c r="M893" s="44"/>
      <c r="N893" s="44"/>
      <c r="O893" s="44"/>
    </row>
    <row r="894" spans="1:15" ht="17.25" customHeight="1">
      <c r="A894" s="44"/>
      <c r="B894" s="44"/>
      <c r="C894" s="44"/>
      <c r="D894" s="44"/>
      <c r="E894" s="44"/>
      <c r="F894" s="44"/>
      <c r="G894" s="44"/>
      <c r="H894" s="44"/>
      <c r="I894" s="44"/>
      <c r="J894" s="44"/>
      <c r="K894" s="44"/>
      <c r="L894" s="44"/>
      <c r="M894" s="44"/>
      <c r="N894" s="44"/>
      <c r="O894" s="44"/>
    </row>
    <row r="895" spans="1:15" ht="17.25" customHeight="1">
      <c r="A895" s="44"/>
      <c r="B895" s="44"/>
      <c r="C895" s="44"/>
      <c r="D895" s="44"/>
      <c r="E895" s="44"/>
      <c r="F895" s="44"/>
      <c r="G895" s="44"/>
      <c r="H895" s="44"/>
      <c r="I895" s="44"/>
      <c r="J895" s="44"/>
      <c r="K895" s="44"/>
      <c r="L895" s="44"/>
      <c r="M895" s="44"/>
      <c r="N895" s="44"/>
      <c r="O895" s="44"/>
    </row>
    <row r="896" spans="1:15" ht="17.25" customHeight="1">
      <c r="A896" s="44"/>
      <c r="B896" s="44"/>
      <c r="C896" s="44"/>
      <c r="D896" s="44"/>
      <c r="E896" s="44"/>
      <c r="F896" s="44"/>
      <c r="G896" s="44"/>
      <c r="H896" s="44"/>
      <c r="I896" s="44"/>
      <c r="J896" s="44"/>
      <c r="K896" s="44"/>
      <c r="L896" s="44"/>
      <c r="M896" s="44"/>
      <c r="N896" s="44"/>
      <c r="O896" s="44"/>
    </row>
    <row r="897" spans="1:15" ht="17.25" customHeight="1">
      <c r="A897" s="44"/>
      <c r="B897" s="44"/>
      <c r="C897" s="44"/>
      <c r="D897" s="44"/>
      <c r="E897" s="44"/>
      <c r="F897" s="44"/>
      <c r="G897" s="44"/>
      <c r="H897" s="44"/>
      <c r="I897" s="44"/>
      <c r="J897" s="44"/>
      <c r="K897" s="44"/>
      <c r="L897" s="44"/>
      <c r="M897" s="44"/>
      <c r="N897" s="44"/>
      <c r="O897" s="44"/>
    </row>
    <row r="898" spans="1:15" ht="17.25" customHeight="1">
      <c r="A898" s="44"/>
      <c r="B898" s="44"/>
      <c r="C898" s="44"/>
      <c r="D898" s="44"/>
      <c r="E898" s="44"/>
      <c r="F898" s="44"/>
      <c r="G898" s="44"/>
      <c r="H898" s="44"/>
      <c r="I898" s="44"/>
      <c r="J898" s="44"/>
      <c r="K898" s="44"/>
      <c r="L898" s="44"/>
      <c r="M898" s="44"/>
      <c r="N898" s="44"/>
      <c r="O898" s="44"/>
    </row>
    <row r="899" spans="1:15" ht="17.25" customHeight="1">
      <c r="A899" s="44"/>
      <c r="B899" s="44"/>
      <c r="C899" s="44"/>
      <c r="D899" s="44"/>
      <c r="E899" s="44"/>
      <c r="F899" s="44"/>
      <c r="G899" s="44"/>
      <c r="H899" s="44"/>
      <c r="I899" s="44"/>
      <c r="J899" s="44"/>
      <c r="K899" s="44"/>
      <c r="L899" s="44"/>
      <c r="M899" s="44"/>
      <c r="N899" s="44"/>
      <c r="O899" s="44"/>
    </row>
    <row r="900" spans="1:15" ht="17.25" customHeight="1">
      <c r="A900" s="44"/>
      <c r="B900" s="44"/>
      <c r="C900" s="44"/>
      <c r="D900" s="44"/>
      <c r="E900" s="44"/>
      <c r="F900" s="44"/>
      <c r="G900" s="44"/>
      <c r="H900" s="44"/>
      <c r="I900" s="44"/>
      <c r="J900" s="44"/>
      <c r="K900" s="44"/>
      <c r="L900" s="44"/>
      <c r="M900" s="44"/>
      <c r="N900" s="44"/>
      <c r="O900" s="44"/>
    </row>
    <row r="901" spans="1:15" ht="17.25" customHeight="1">
      <c r="A901" s="44"/>
      <c r="B901" s="44"/>
      <c r="C901" s="44"/>
      <c r="D901" s="44"/>
      <c r="E901" s="44"/>
      <c r="F901" s="44"/>
      <c r="G901" s="44"/>
      <c r="H901" s="44"/>
      <c r="I901" s="44"/>
      <c r="J901" s="44"/>
      <c r="K901" s="44"/>
      <c r="L901" s="44"/>
      <c r="M901" s="44"/>
      <c r="N901" s="44"/>
      <c r="O901" s="44"/>
    </row>
    <row r="902" spans="1:15" ht="17.25" customHeight="1">
      <c r="A902" s="44"/>
      <c r="B902" s="44"/>
      <c r="C902" s="44"/>
      <c r="D902" s="44"/>
      <c r="E902" s="44"/>
      <c r="F902" s="44"/>
      <c r="G902" s="44"/>
      <c r="H902" s="44"/>
      <c r="I902" s="44"/>
      <c r="J902" s="44"/>
      <c r="K902" s="44"/>
      <c r="L902" s="44"/>
      <c r="M902" s="44"/>
      <c r="N902" s="44"/>
      <c r="O902" s="44"/>
    </row>
    <row r="903" spans="1:15" ht="17.25" customHeight="1">
      <c r="A903" s="44"/>
      <c r="B903" s="44"/>
      <c r="C903" s="44"/>
      <c r="D903" s="44"/>
      <c r="E903" s="44"/>
      <c r="F903" s="44"/>
      <c r="G903" s="44"/>
      <c r="H903" s="44"/>
      <c r="I903" s="44"/>
      <c r="J903" s="44"/>
      <c r="K903" s="44"/>
      <c r="L903" s="44"/>
      <c r="M903" s="44"/>
      <c r="N903" s="44"/>
      <c r="O903" s="44"/>
    </row>
    <row r="904" spans="1:15" ht="17.25" customHeight="1">
      <c r="A904" s="44"/>
      <c r="B904" s="44"/>
      <c r="C904" s="44"/>
      <c r="D904" s="44"/>
      <c r="E904" s="44"/>
      <c r="F904" s="44"/>
      <c r="G904" s="44"/>
      <c r="H904" s="44"/>
      <c r="I904" s="44"/>
      <c r="J904" s="44"/>
      <c r="K904" s="44"/>
      <c r="L904" s="44"/>
      <c r="M904" s="44"/>
      <c r="N904" s="44"/>
      <c r="O904" s="44"/>
    </row>
    <row r="905" spans="1:15" ht="17.25" customHeight="1">
      <c r="A905" s="44"/>
      <c r="B905" s="44"/>
      <c r="C905" s="44"/>
      <c r="D905" s="44"/>
      <c r="E905" s="44"/>
      <c r="F905" s="44"/>
      <c r="G905" s="44"/>
      <c r="H905" s="44"/>
      <c r="I905" s="44"/>
      <c r="J905" s="44"/>
      <c r="K905" s="44"/>
      <c r="L905" s="44"/>
      <c r="M905" s="44"/>
      <c r="N905" s="44"/>
      <c r="O905" s="44"/>
    </row>
    <row r="906" spans="1:15" ht="17.25" customHeight="1">
      <c r="A906" s="44"/>
      <c r="B906" s="44"/>
      <c r="C906" s="44"/>
      <c r="D906" s="44"/>
      <c r="E906" s="44"/>
      <c r="F906" s="44"/>
      <c r="G906" s="44"/>
      <c r="H906" s="44"/>
      <c r="I906" s="44"/>
      <c r="J906" s="44"/>
      <c r="K906" s="44"/>
      <c r="L906" s="44"/>
      <c r="M906" s="44"/>
      <c r="N906" s="44"/>
      <c r="O906" s="44"/>
    </row>
    <row r="907" spans="1:15" ht="17.25" customHeight="1">
      <c r="A907" s="44"/>
      <c r="B907" s="44"/>
      <c r="C907" s="44"/>
      <c r="D907" s="44"/>
      <c r="E907" s="44"/>
      <c r="F907" s="44"/>
      <c r="G907" s="44"/>
      <c r="H907" s="44"/>
      <c r="I907" s="44"/>
      <c r="J907" s="44"/>
      <c r="K907" s="44"/>
      <c r="L907" s="44"/>
      <c r="M907" s="44"/>
      <c r="N907" s="44"/>
      <c r="O907" s="44"/>
    </row>
    <row r="908" spans="1:15" ht="17.25" customHeight="1">
      <c r="A908" s="44"/>
      <c r="B908" s="44"/>
      <c r="C908" s="44"/>
      <c r="D908" s="44"/>
      <c r="E908" s="44"/>
      <c r="F908" s="44"/>
      <c r="G908" s="44"/>
      <c r="H908" s="44"/>
      <c r="I908" s="44"/>
      <c r="J908" s="44"/>
      <c r="K908" s="44"/>
      <c r="L908" s="44"/>
      <c r="M908" s="44"/>
      <c r="N908" s="44"/>
      <c r="O908" s="44"/>
    </row>
    <row r="909" spans="1:15" ht="17.25" customHeight="1">
      <c r="A909" s="44"/>
      <c r="B909" s="44"/>
      <c r="C909" s="44"/>
      <c r="D909" s="44"/>
      <c r="E909" s="44"/>
      <c r="F909" s="44"/>
      <c r="G909" s="44"/>
      <c r="H909" s="44"/>
      <c r="I909" s="44"/>
      <c r="J909" s="44"/>
      <c r="K909" s="44"/>
      <c r="L909" s="44"/>
      <c r="M909" s="44"/>
      <c r="N909" s="44"/>
      <c r="O909" s="44"/>
    </row>
    <row r="910" spans="1:15" ht="17.25" customHeight="1">
      <c r="A910" s="44"/>
      <c r="B910" s="44"/>
      <c r="C910" s="44"/>
      <c r="D910" s="44"/>
      <c r="E910" s="44"/>
      <c r="F910" s="44"/>
      <c r="G910" s="44"/>
      <c r="H910" s="44"/>
      <c r="I910" s="44"/>
      <c r="J910" s="44"/>
      <c r="K910" s="44"/>
      <c r="L910" s="44"/>
      <c r="M910" s="44"/>
      <c r="N910" s="44"/>
      <c r="O910" s="44"/>
    </row>
    <row r="911" spans="1:15" ht="17.25" customHeight="1">
      <c r="A911" s="44"/>
      <c r="B911" s="44"/>
      <c r="C911" s="44"/>
      <c r="D911" s="44"/>
      <c r="E911" s="44"/>
      <c r="F911" s="44"/>
      <c r="G911" s="44"/>
      <c r="H911" s="44"/>
      <c r="I911" s="44"/>
      <c r="J911" s="44"/>
      <c r="K911" s="44"/>
      <c r="L911" s="44"/>
      <c r="M911" s="44"/>
      <c r="N911" s="44"/>
      <c r="O911" s="44"/>
    </row>
    <row r="912" spans="1:15" ht="17.25" customHeight="1">
      <c r="A912" s="44"/>
      <c r="B912" s="44"/>
      <c r="C912" s="44"/>
      <c r="D912" s="44"/>
      <c r="E912" s="44"/>
      <c r="F912" s="44"/>
      <c r="G912" s="44"/>
      <c r="H912" s="44"/>
      <c r="I912" s="44"/>
      <c r="J912" s="44"/>
      <c r="K912" s="44"/>
      <c r="L912" s="44"/>
      <c r="M912" s="44"/>
      <c r="N912" s="44"/>
      <c r="O912" s="44"/>
    </row>
    <row r="913" spans="1:15" ht="17.25" customHeight="1">
      <c r="A913" s="44"/>
      <c r="B913" s="44"/>
      <c r="C913" s="44"/>
      <c r="D913" s="44"/>
      <c r="E913" s="44"/>
      <c r="F913" s="44"/>
      <c r="G913" s="44"/>
      <c r="H913" s="44"/>
      <c r="I913" s="44"/>
      <c r="J913" s="44"/>
      <c r="K913" s="44"/>
      <c r="L913" s="44"/>
      <c r="M913" s="44"/>
      <c r="N913" s="44"/>
      <c r="O913" s="44"/>
    </row>
    <row r="914" spans="1:15" ht="17.25" customHeight="1">
      <c r="A914" s="44"/>
      <c r="B914" s="44"/>
      <c r="C914" s="44"/>
      <c r="D914" s="44"/>
      <c r="E914" s="44"/>
      <c r="F914" s="44"/>
      <c r="G914" s="44"/>
      <c r="H914" s="44"/>
      <c r="I914" s="44"/>
      <c r="J914" s="44"/>
      <c r="K914" s="44"/>
      <c r="L914" s="44"/>
      <c r="M914" s="44"/>
      <c r="N914" s="44"/>
      <c r="O914" s="44"/>
    </row>
    <row r="915" spans="1:15" ht="17.25" customHeight="1">
      <c r="A915" s="44"/>
      <c r="B915" s="44"/>
      <c r="C915" s="44"/>
      <c r="D915" s="44"/>
      <c r="E915" s="44"/>
      <c r="F915" s="44"/>
      <c r="G915" s="44"/>
      <c r="H915" s="44"/>
      <c r="I915" s="44"/>
      <c r="J915" s="44"/>
      <c r="K915" s="44"/>
      <c r="L915" s="44"/>
      <c r="M915" s="44"/>
      <c r="N915" s="44"/>
      <c r="O915" s="44"/>
    </row>
    <row r="916" spans="1:15" ht="17.25" customHeight="1">
      <c r="A916" s="44"/>
      <c r="B916" s="44"/>
      <c r="C916" s="44"/>
      <c r="D916" s="44"/>
      <c r="E916" s="44"/>
      <c r="F916" s="44"/>
      <c r="G916" s="44"/>
      <c r="H916" s="44"/>
      <c r="I916" s="44"/>
      <c r="J916" s="44"/>
      <c r="K916" s="44"/>
      <c r="L916" s="44"/>
      <c r="M916" s="44"/>
      <c r="N916" s="44"/>
      <c r="O916" s="44"/>
    </row>
    <row r="917" spans="1:15" ht="17.25" customHeight="1">
      <c r="A917" s="44"/>
      <c r="B917" s="44"/>
      <c r="C917" s="44"/>
      <c r="D917" s="44"/>
      <c r="E917" s="44"/>
      <c r="F917" s="44"/>
      <c r="G917" s="44"/>
      <c r="H917" s="44"/>
      <c r="I917" s="44"/>
      <c r="J917" s="44"/>
      <c r="K917" s="44"/>
      <c r="L917" s="44"/>
      <c r="M917" s="44"/>
      <c r="N917" s="44"/>
      <c r="O917" s="44"/>
    </row>
    <row r="918" spans="1:15" ht="17.25" customHeight="1">
      <c r="A918" s="44"/>
      <c r="B918" s="44"/>
      <c r="C918" s="44"/>
      <c r="D918" s="44"/>
      <c r="E918" s="44"/>
      <c r="F918" s="44"/>
      <c r="G918" s="44"/>
      <c r="H918" s="44"/>
      <c r="I918" s="44"/>
      <c r="J918" s="44"/>
      <c r="K918" s="44"/>
      <c r="L918" s="44"/>
      <c r="M918" s="44"/>
      <c r="N918" s="44"/>
      <c r="O918" s="44"/>
    </row>
    <row r="919" spans="1:15" ht="17.25" customHeight="1">
      <c r="A919" s="44"/>
      <c r="B919" s="44"/>
      <c r="C919" s="44"/>
      <c r="D919" s="44"/>
      <c r="E919" s="44"/>
      <c r="F919" s="44"/>
      <c r="G919" s="44"/>
      <c r="H919" s="44"/>
      <c r="I919" s="44"/>
      <c r="J919" s="44"/>
      <c r="K919" s="44"/>
      <c r="L919" s="44"/>
      <c r="M919" s="44"/>
      <c r="N919" s="44"/>
      <c r="O919" s="44"/>
    </row>
    <row r="920" spans="1:15" ht="17.25" customHeight="1">
      <c r="A920" s="44"/>
      <c r="B920" s="44"/>
      <c r="C920" s="44"/>
      <c r="D920" s="44"/>
      <c r="E920" s="44"/>
      <c r="F920" s="44"/>
      <c r="G920" s="44"/>
      <c r="H920" s="44"/>
      <c r="I920" s="44"/>
      <c r="J920" s="44"/>
      <c r="K920" s="44"/>
      <c r="L920" s="44"/>
      <c r="M920" s="44"/>
      <c r="N920" s="44"/>
      <c r="O920" s="44"/>
    </row>
    <row r="921" spans="1:15" ht="17.25" customHeight="1">
      <c r="A921" s="44"/>
      <c r="B921" s="44"/>
      <c r="C921" s="44"/>
      <c r="D921" s="44"/>
      <c r="E921" s="44"/>
      <c r="F921" s="44"/>
      <c r="G921" s="44"/>
      <c r="H921" s="44"/>
      <c r="I921" s="44"/>
      <c r="J921" s="44"/>
      <c r="K921" s="44"/>
      <c r="L921" s="44"/>
      <c r="M921" s="44"/>
      <c r="N921" s="44"/>
      <c r="O921" s="44"/>
    </row>
    <row r="922" spans="1:15" ht="17.25" customHeight="1">
      <c r="A922" s="44"/>
      <c r="B922" s="44"/>
      <c r="C922" s="44"/>
      <c r="D922" s="44"/>
      <c r="E922" s="44"/>
      <c r="F922" s="44"/>
      <c r="G922" s="44"/>
      <c r="H922" s="44"/>
      <c r="I922" s="44"/>
      <c r="J922" s="44"/>
      <c r="K922" s="44"/>
      <c r="L922" s="44"/>
      <c r="M922" s="44"/>
      <c r="N922" s="44"/>
      <c r="O922" s="44"/>
    </row>
    <row r="923" spans="1:15" ht="17.25" customHeight="1">
      <c r="A923" s="44"/>
      <c r="B923" s="44"/>
      <c r="C923" s="44"/>
      <c r="D923" s="44"/>
      <c r="E923" s="44"/>
      <c r="F923" s="44"/>
      <c r="G923" s="44"/>
      <c r="H923" s="44"/>
      <c r="I923" s="44"/>
      <c r="J923" s="44"/>
      <c r="K923" s="44"/>
      <c r="L923" s="44"/>
      <c r="M923" s="44"/>
      <c r="N923" s="44"/>
      <c r="O923" s="44"/>
    </row>
    <row r="924" spans="1:15" ht="17.25" customHeight="1">
      <c r="A924" s="44"/>
      <c r="B924" s="44"/>
      <c r="C924" s="44"/>
      <c r="D924" s="44"/>
      <c r="E924" s="44"/>
      <c r="F924" s="44"/>
      <c r="G924" s="44"/>
      <c r="H924" s="44"/>
      <c r="I924" s="44"/>
      <c r="J924" s="44"/>
      <c r="K924" s="44"/>
      <c r="L924" s="44"/>
      <c r="M924" s="44"/>
      <c r="N924" s="44"/>
      <c r="O924" s="44"/>
    </row>
    <row r="925" spans="1:15" ht="17.25" customHeight="1">
      <c r="A925" s="44"/>
      <c r="B925" s="44"/>
      <c r="C925" s="44"/>
      <c r="D925" s="44"/>
      <c r="E925" s="44"/>
      <c r="F925" s="44"/>
      <c r="G925" s="44"/>
      <c r="H925" s="44"/>
      <c r="I925" s="44"/>
      <c r="J925" s="44"/>
      <c r="K925" s="44"/>
      <c r="L925" s="44"/>
      <c r="M925" s="44"/>
      <c r="N925" s="44"/>
      <c r="O925" s="44"/>
    </row>
    <row r="926" spans="1:15" ht="17.25" customHeight="1">
      <c r="A926" s="44"/>
      <c r="B926" s="44"/>
      <c r="C926" s="44"/>
      <c r="D926" s="44"/>
      <c r="E926" s="44"/>
      <c r="F926" s="44"/>
      <c r="G926" s="44"/>
      <c r="H926" s="44"/>
      <c r="I926" s="44"/>
      <c r="J926" s="44"/>
      <c r="K926" s="44"/>
      <c r="L926" s="44"/>
      <c r="M926" s="44"/>
      <c r="N926" s="44"/>
      <c r="O926" s="44"/>
    </row>
    <row r="927" spans="1:15" ht="17.25" customHeight="1">
      <c r="A927" s="44"/>
      <c r="B927" s="44"/>
      <c r="C927" s="44"/>
      <c r="D927" s="44"/>
      <c r="E927" s="44"/>
      <c r="F927" s="44"/>
      <c r="G927" s="44"/>
      <c r="H927" s="44"/>
      <c r="I927" s="44"/>
      <c r="J927" s="44"/>
      <c r="K927" s="44"/>
      <c r="L927" s="44"/>
      <c r="M927" s="44"/>
      <c r="N927" s="44"/>
      <c r="O927" s="44"/>
    </row>
    <row r="928" spans="1:15" ht="17.25" customHeight="1">
      <c r="A928" s="44"/>
      <c r="B928" s="44"/>
      <c r="C928" s="44"/>
      <c r="D928" s="44"/>
      <c r="E928" s="44"/>
      <c r="F928" s="44"/>
      <c r="G928" s="44"/>
      <c r="H928" s="44"/>
      <c r="I928" s="44"/>
      <c r="J928" s="44"/>
      <c r="K928" s="44"/>
      <c r="L928" s="44"/>
      <c r="M928" s="44"/>
      <c r="N928" s="44"/>
      <c r="O928" s="44"/>
    </row>
    <row r="929" spans="1:15" ht="17.25" customHeight="1">
      <c r="A929" s="44"/>
      <c r="B929" s="44"/>
      <c r="C929" s="44"/>
      <c r="D929" s="44"/>
      <c r="E929" s="44"/>
      <c r="F929" s="44"/>
      <c r="G929" s="44"/>
      <c r="H929" s="44"/>
      <c r="I929" s="44"/>
      <c r="J929" s="44"/>
      <c r="K929" s="44"/>
      <c r="L929" s="44"/>
      <c r="M929" s="44"/>
      <c r="N929" s="44"/>
      <c r="O929" s="44"/>
    </row>
    <row r="930" spans="1:15" ht="17.25" customHeight="1">
      <c r="A930" s="44"/>
      <c r="B930" s="44"/>
      <c r="C930" s="44"/>
      <c r="D930" s="44"/>
      <c r="E930" s="44"/>
      <c r="F930" s="44"/>
      <c r="G930" s="44"/>
      <c r="H930" s="44"/>
      <c r="I930" s="44"/>
      <c r="J930" s="44"/>
      <c r="K930" s="44"/>
      <c r="L930" s="44"/>
      <c r="M930" s="44"/>
      <c r="N930" s="44"/>
      <c r="O930" s="44"/>
    </row>
    <row r="931" spans="1:15" ht="17.25" customHeight="1">
      <c r="A931" s="44"/>
      <c r="B931" s="44"/>
      <c r="C931" s="44"/>
      <c r="D931" s="44"/>
      <c r="E931" s="44"/>
      <c r="F931" s="44"/>
      <c r="G931" s="44"/>
      <c r="H931" s="44"/>
      <c r="I931" s="44"/>
      <c r="J931" s="44"/>
      <c r="K931" s="44"/>
      <c r="L931" s="44"/>
      <c r="M931" s="44"/>
      <c r="N931" s="44"/>
      <c r="O931" s="44"/>
    </row>
    <row r="932" spans="1:15" ht="17.25" customHeight="1">
      <c r="A932" s="44"/>
      <c r="B932" s="44"/>
      <c r="C932" s="44"/>
      <c r="D932" s="44"/>
      <c r="E932" s="44"/>
      <c r="F932" s="44"/>
      <c r="G932" s="44"/>
      <c r="H932" s="44"/>
      <c r="I932" s="44"/>
      <c r="J932" s="44"/>
      <c r="K932" s="44"/>
      <c r="L932" s="44"/>
      <c r="M932" s="44"/>
      <c r="N932" s="44"/>
      <c r="O932" s="44"/>
    </row>
    <row r="933" spans="1:15" ht="17.25" customHeight="1">
      <c r="A933" s="44"/>
      <c r="B933" s="44"/>
      <c r="C933" s="44"/>
      <c r="D933" s="44"/>
      <c r="E933" s="44"/>
      <c r="F933" s="44"/>
      <c r="G933" s="44"/>
      <c r="H933" s="44"/>
      <c r="I933" s="44"/>
      <c r="J933" s="44"/>
      <c r="K933" s="44"/>
      <c r="L933" s="44"/>
      <c r="M933" s="44"/>
      <c r="N933" s="44"/>
      <c r="O933" s="44"/>
    </row>
    <row r="934" spans="1:15" ht="17.25" customHeight="1">
      <c r="A934" s="44"/>
      <c r="B934" s="44"/>
      <c r="C934" s="44"/>
      <c r="D934" s="44"/>
      <c r="E934" s="44"/>
      <c r="F934" s="44"/>
      <c r="G934" s="44"/>
      <c r="H934" s="44"/>
      <c r="I934" s="44"/>
      <c r="J934" s="44"/>
      <c r="K934" s="44"/>
      <c r="L934" s="44"/>
      <c r="M934" s="44"/>
      <c r="N934" s="44"/>
      <c r="O934" s="44"/>
    </row>
    <row r="935" spans="1:15" ht="17.25" customHeight="1">
      <c r="A935" s="44"/>
      <c r="B935" s="44"/>
      <c r="C935" s="44"/>
      <c r="D935" s="44"/>
      <c r="E935" s="44"/>
      <c r="F935" s="44"/>
      <c r="G935" s="44"/>
      <c r="H935" s="44"/>
      <c r="I935" s="44"/>
      <c r="J935" s="44"/>
      <c r="K935" s="44"/>
      <c r="L935" s="44"/>
      <c r="M935" s="44"/>
      <c r="N935" s="44"/>
      <c r="O935" s="44"/>
    </row>
    <row r="936" spans="1:15" ht="17.25" customHeight="1">
      <c r="A936" s="44"/>
      <c r="B936" s="44"/>
      <c r="C936" s="44"/>
      <c r="D936" s="44"/>
      <c r="E936" s="44"/>
      <c r="F936" s="44"/>
      <c r="G936" s="44"/>
      <c r="H936" s="44"/>
      <c r="I936" s="44"/>
      <c r="J936" s="44"/>
      <c r="K936" s="44"/>
      <c r="L936" s="44"/>
      <c r="M936" s="44"/>
      <c r="N936" s="44"/>
      <c r="O936" s="44"/>
    </row>
    <row r="937" spans="1:15" ht="17.25" customHeight="1">
      <c r="A937" s="44"/>
      <c r="B937" s="44"/>
      <c r="C937" s="44"/>
      <c r="D937" s="44"/>
      <c r="E937" s="44"/>
      <c r="F937" s="44"/>
      <c r="G937" s="44"/>
      <c r="H937" s="44"/>
      <c r="I937" s="44"/>
      <c r="J937" s="44"/>
      <c r="K937" s="44"/>
      <c r="L937" s="44"/>
      <c r="M937" s="44"/>
      <c r="N937" s="44"/>
      <c r="O937" s="44"/>
    </row>
    <row r="938" spans="1:15" ht="17.25" customHeight="1">
      <c r="A938" s="44"/>
      <c r="B938" s="44"/>
      <c r="C938" s="44"/>
      <c r="D938" s="44"/>
      <c r="E938" s="44"/>
      <c r="F938" s="44"/>
      <c r="G938" s="44"/>
      <c r="H938" s="44"/>
      <c r="I938" s="44"/>
      <c r="J938" s="44"/>
      <c r="K938" s="44"/>
      <c r="L938" s="44"/>
      <c r="M938" s="44"/>
      <c r="N938" s="44"/>
      <c r="O938" s="44"/>
    </row>
    <row r="939" spans="1:15" ht="17.25" customHeight="1">
      <c r="A939" s="44"/>
      <c r="B939" s="44"/>
      <c r="C939" s="44"/>
      <c r="D939" s="44"/>
      <c r="E939" s="44"/>
      <c r="F939" s="44"/>
      <c r="G939" s="44"/>
      <c r="H939" s="44"/>
      <c r="I939" s="44"/>
      <c r="J939" s="44"/>
      <c r="K939" s="44"/>
      <c r="L939" s="44"/>
      <c r="M939" s="44"/>
      <c r="N939" s="44"/>
      <c r="O939" s="44"/>
    </row>
    <row r="940" spans="1:15" ht="17.25" customHeight="1">
      <c r="A940" s="44"/>
      <c r="B940" s="44"/>
      <c r="C940" s="44"/>
      <c r="D940" s="44"/>
      <c r="E940" s="44"/>
      <c r="F940" s="44"/>
      <c r="G940" s="44"/>
      <c r="H940" s="44"/>
      <c r="I940" s="44"/>
      <c r="J940" s="44"/>
      <c r="K940" s="44"/>
      <c r="L940" s="44"/>
      <c r="M940" s="44"/>
      <c r="N940" s="44"/>
      <c r="O940" s="44"/>
    </row>
    <row r="941" spans="1:15" ht="17.25" customHeight="1">
      <c r="A941" s="44"/>
      <c r="B941" s="44"/>
      <c r="C941" s="44"/>
      <c r="D941" s="44"/>
      <c r="E941" s="44"/>
      <c r="F941" s="44"/>
      <c r="G941" s="44"/>
      <c r="H941" s="44"/>
      <c r="I941" s="44"/>
      <c r="J941" s="44"/>
      <c r="K941" s="44"/>
      <c r="L941" s="44"/>
      <c r="M941" s="44"/>
      <c r="N941" s="44"/>
      <c r="O941" s="44"/>
    </row>
    <row r="942" spans="1:15" ht="17.25" customHeight="1">
      <c r="A942" s="44"/>
      <c r="B942" s="44"/>
      <c r="C942" s="44"/>
      <c r="D942" s="44"/>
      <c r="E942" s="44"/>
      <c r="F942" s="44"/>
      <c r="G942" s="44"/>
      <c r="H942" s="44"/>
      <c r="I942" s="44"/>
      <c r="J942" s="44"/>
      <c r="K942" s="44"/>
      <c r="L942" s="44"/>
      <c r="M942" s="44"/>
      <c r="N942" s="44"/>
      <c r="O942" s="44"/>
    </row>
    <row r="943" spans="1:15" ht="17.25" customHeight="1">
      <c r="A943" s="44"/>
      <c r="B943" s="44"/>
      <c r="C943" s="44"/>
      <c r="D943" s="44"/>
      <c r="E943" s="44"/>
      <c r="F943" s="44"/>
      <c r="G943" s="44"/>
      <c r="H943" s="44"/>
      <c r="I943" s="44"/>
      <c r="J943" s="44"/>
      <c r="K943" s="44"/>
      <c r="L943" s="44"/>
      <c r="M943" s="44"/>
      <c r="N943" s="44"/>
      <c r="O943" s="44"/>
    </row>
    <row r="944" spans="1:15" ht="17.25" customHeight="1">
      <c r="A944" s="44"/>
      <c r="B944" s="44"/>
      <c r="C944" s="44"/>
      <c r="D944" s="44"/>
      <c r="E944" s="44"/>
      <c r="F944" s="44"/>
      <c r="G944" s="44"/>
      <c r="H944" s="44"/>
      <c r="I944" s="44"/>
      <c r="J944" s="44"/>
      <c r="K944" s="44"/>
      <c r="L944" s="44"/>
      <c r="M944" s="44"/>
      <c r="N944" s="44"/>
      <c r="O944" s="44"/>
    </row>
    <row r="945" spans="1:15" ht="17.25" customHeight="1">
      <c r="A945" s="44"/>
      <c r="B945" s="44"/>
      <c r="C945" s="44"/>
      <c r="D945" s="44"/>
      <c r="E945" s="44"/>
      <c r="F945" s="44"/>
      <c r="G945" s="44"/>
      <c r="H945" s="44"/>
      <c r="I945" s="44"/>
      <c r="J945" s="44"/>
      <c r="K945" s="44"/>
      <c r="L945" s="44"/>
      <c r="M945" s="44"/>
      <c r="N945" s="44"/>
      <c r="O945" s="44"/>
    </row>
    <row r="946" spans="1:15" ht="17.25" customHeight="1">
      <c r="A946" s="44"/>
      <c r="B946" s="44"/>
      <c r="C946" s="44"/>
      <c r="D946" s="44"/>
      <c r="E946" s="44"/>
      <c r="F946" s="44"/>
      <c r="G946" s="44"/>
      <c r="H946" s="44"/>
      <c r="I946" s="44"/>
      <c r="J946" s="44"/>
      <c r="K946" s="44"/>
      <c r="L946" s="44"/>
      <c r="M946" s="44"/>
      <c r="N946" s="44"/>
      <c r="O946" s="44"/>
    </row>
    <row r="947" spans="1:15" ht="17.25" customHeight="1">
      <c r="A947" s="44"/>
      <c r="B947" s="44"/>
      <c r="C947" s="44"/>
      <c r="D947" s="44"/>
      <c r="E947" s="44"/>
      <c r="F947" s="44"/>
      <c r="G947" s="44"/>
      <c r="H947" s="44"/>
      <c r="I947" s="44"/>
      <c r="J947" s="44"/>
      <c r="K947" s="44"/>
      <c r="L947" s="44"/>
      <c r="M947" s="44"/>
      <c r="N947" s="44"/>
      <c r="O947" s="44"/>
    </row>
    <row r="948" spans="1:15" ht="17.25" customHeight="1">
      <c r="A948" s="44"/>
      <c r="B948" s="44"/>
      <c r="C948" s="44"/>
      <c r="D948" s="44"/>
      <c r="E948" s="44"/>
      <c r="F948" s="44"/>
      <c r="G948" s="44"/>
      <c r="H948" s="44"/>
      <c r="I948" s="44"/>
      <c r="J948" s="44"/>
      <c r="K948" s="44"/>
      <c r="L948" s="44"/>
      <c r="M948" s="44"/>
      <c r="N948" s="44"/>
      <c r="O948" s="44"/>
    </row>
    <row r="949" spans="1:15" ht="17.25" customHeight="1">
      <c r="A949" s="44"/>
      <c r="B949" s="44"/>
      <c r="C949" s="44"/>
      <c r="D949" s="44"/>
      <c r="E949" s="44"/>
      <c r="F949" s="44"/>
      <c r="G949" s="44"/>
      <c r="H949" s="44"/>
      <c r="I949" s="44"/>
      <c r="J949" s="44"/>
      <c r="K949" s="44"/>
      <c r="L949" s="44"/>
      <c r="M949" s="44"/>
      <c r="N949" s="44"/>
      <c r="O949" s="44"/>
    </row>
    <row r="950" spans="1:15" ht="17.25" customHeight="1">
      <c r="A950" s="44"/>
      <c r="B950" s="44"/>
      <c r="C950" s="44"/>
      <c r="D950" s="44"/>
      <c r="E950" s="44"/>
      <c r="F950" s="44"/>
      <c r="G950" s="44"/>
      <c r="H950" s="44"/>
      <c r="I950" s="44"/>
      <c r="J950" s="44"/>
      <c r="K950" s="44"/>
      <c r="L950" s="44"/>
      <c r="M950" s="44"/>
      <c r="N950" s="44"/>
      <c r="O950" s="44"/>
    </row>
    <row r="951" spans="1:15" ht="17.25" customHeight="1">
      <c r="A951" s="44"/>
      <c r="B951" s="44"/>
      <c r="C951" s="44"/>
      <c r="D951" s="44"/>
      <c r="E951" s="44"/>
      <c r="F951" s="44"/>
      <c r="G951" s="44"/>
      <c r="H951" s="44"/>
      <c r="I951" s="44"/>
      <c r="J951" s="44"/>
      <c r="K951" s="44"/>
      <c r="L951" s="44"/>
      <c r="M951" s="44"/>
      <c r="N951" s="44"/>
      <c r="O951" s="44"/>
    </row>
    <row r="952" spans="1:15" ht="17.25" customHeight="1">
      <c r="A952" s="44"/>
      <c r="B952" s="44"/>
      <c r="C952" s="44"/>
      <c r="D952" s="44"/>
      <c r="E952" s="44"/>
      <c r="F952" s="44"/>
      <c r="G952" s="44"/>
      <c r="H952" s="44"/>
      <c r="I952" s="44"/>
      <c r="J952" s="44"/>
      <c r="K952" s="44"/>
      <c r="L952" s="44"/>
      <c r="M952" s="44"/>
      <c r="N952" s="44"/>
      <c r="O952" s="44"/>
    </row>
    <row r="953" spans="1:15" ht="17.25" customHeight="1">
      <c r="A953" s="44"/>
      <c r="B953" s="44"/>
      <c r="C953" s="44"/>
      <c r="D953" s="44"/>
      <c r="E953" s="44"/>
      <c r="F953" s="44"/>
      <c r="G953" s="44"/>
      <c r="H953" s="44"/>
      <c r="I953" s="44"/>
      <c r="J953" s="44"/>
      <c r="K953" s="44"/>
      <c r="L953" s="44"/>
      <c r="M953" s="44"/>
      <c r="N953" s="44"/>
      <c r="O953" s="44"/>
    </row>
    <row r="954" spans="1:15" ht="17.25" customHeight="1">
      <c r="A954" s="44"/>
      <c r="B954" s="44"/>
      <c r="C954" s="44"/>
      <c r="D954" s="44"/>
      <c r="E954" s="44"/>
      <c r="F954" s="44"/>
      <c r="G954" s="44"/>
      <c r="H954" s="44"/>
      <c r="I954" s="44"/>
      <c r="J954" s="44"/>
      <c r="K954" s="44"/>
      <c r="L954" s="44"/>
      <c r="M954" s="44"/>
      <c r="N954" s="44"/>
      <c r="O954" s="44"/>
    </row>
    <row r="955" spans="1:15" ht="17.25" customHeight="1">
      <c r="A955" s="44"/>
      <c r="B955" s="44"/>
      <c r="C955" s="44"/>
      <c r="D955" s="44"/>
      <c r="E955" s="44"/>
      <c r="F955" s="44"/>
      <c r="G955" s="44"/>
      <c r="H955" s="44"/>
      <c r="I955" s="44"/>
      <c r="J955" s="44"/>
      <c r="K955" s="44"/>
      <c r="L955" s="44"/>
      <c r="M955" s="44"/>
      <c r="N955" s="44"/>
      <c r="O955" s="44"/>
    </row>
    <row r="956" spans="1:15" ht="17.25" customHeight="1">
      <c r="A956" s="44"/>
      <c r="B956" s="44"/>
      <c r="C956" s="44"/>
      <c r="D956" s="44"/>
      <c r="E956" s="44"/>
      <c r="F956" s="44"/>
      <c r="G956" s="44"/>
      <c r="H956" s="44"/>
      <c r="I956" s="44"/>
      <c r="J956" s="44"/>
      <c r="K956" s="44"/>
      <c r="L956" s="44"/>
      <c r="M956" s="44"/>
      <c r="N956" s="44"/>
      <c r="O956" s="44"/>
    </row>
    <row r="957" spans="1:15" ht="17.25" customHeight="1">
      <c r="A957" s="44"/>
      <c r="B957" s="44"/>
      <c r="C957" s="44"/>
      <c r="D957" s="44"/>
      <c r="E957" s="44"/>
      <c r="F957" s="44"/>
      <c r="G957" s="44"/>
      <c r="H957" s="44"/>
      <c r="I957" s="44"/>
      <c r="J957" s="44"/>
      <c r="K957" s="44"/>
      <c r="L957" s="44"/>
      <c r="M957" s="44"/>
      <c r="N957" s="44"/>
      <c r="O957" s="44"/>
    </row>
    <row r="958" spans="1:15" ht="17.25" customHeight="1">
      <c r="A958" s="44"/>
      <c r="B958" s="44"/>
      <c r="C958" s="44"/>
      <c r="D958" s="44"/>
      <c r="E958" s="44"/>
      <c r="F958" s="44"/>
      <c r="G958" s="44"/>
      <c r="H958" s="44"/>
      <c r="I958" s="44"/>
      <c r="J958" s="44"/>
      <c r="K958" s="44"/>
      <c r="L958" s="44"/>
      <c r="M958" s="44"/>
      <c r="N958" s="44"/>
      <c r="O958" s="44"/>
    </row>
    <row r="959" spans="1:15" ht="17.25" customHeight="1">
      <c r="A959" s="44"/>
      <c r="B959" s="44"/>
      <c r="C959" s="44"/>
      <c r="D959" s="44"/>
      <c r="E959" s="44"/>
      <c r="F959" s="44"/>
      <c r="G959" s="44"/>
      <c r="H959" s="44"/>
      <c r="I959" s="44"/>
      <c r="J959" s="44"/>
      <c r="K959" s="44"/>
      <c r="L959" s="44"/>
      <c r="M959" s="44"/>
      <c r="N959" s="44"/>
      <c r="O959" s="44"/>
    </row>
    <row r="960" spans="1:15" ht="17.25" customHeight="1">
      <c r="A960" s="44"/>
      <c r="B960" s="44"/>
      <c r="C960" s="44"/>
      <c r="D960" s="44"/>
      <c r="E960" s="44"/>
      <c r="F960" s="44"/>
      <c r="G960" s="44"/>
      <c r="H960" s="44"/>
      <c r="I960" s="44"/>
      <c r="J960" s="44"/>
      <c r="K960" s="44"/>
      <c r="L960" s="44"/>
      <c r="M960" s="44"/>
      <c r="N960" s="44"/>
      <c r="O960" s="44"/>
    </row>
    <row r="961" spans="1:15" ht="17.25" customHeight="1">
      <c r="A961" s="44"/>
      <c r="B961" s="44"/>
      <c r="C961" s="44"/>
      <c r="D961" s="44"/>
      <c r="E961" s="44"/>
      <c r="F961" s="44"/>
      <c r="G961" s="44"/>
      <c r="H961" s="44"/>
      <c r="I961" s="44"/>
      <c r="J961" s="44"/>
      <c r="K961" s="44"/>
      <c r="L961" s="44"/>
      <c r="M961" s="44"/>
      <c r="N961" s="44"/>
      <c r="O961" s="44"/>
    </row>
    <row r="962" spans="1:15" ht="17.25" customHeight="1">
      <c r="A962" s="44"/>
      <c r="B962" s="44"/>
      <c r="C962" s="44"/>
      <c r="D962" s="44"/>
      <c r="E962" s="44"/>
      <c r="F962" s="44"/>
      <c r="G962" s="44"/>
      <c r="H962" s="44"/>
      <c r="I962" s="44"/>
      <c r="J962" s="44"/>
      <c r="K962" s="44"/>
      <c r="L962" s="44"/>
      <c r="M962" s="44"/>
      <c r="N962" s="44"/>
      <c r="O962" s="44"/>
    </row>
    <row r="963" spans="1:15" ht="17.25" customHeight="1">
      <c r="A963" s="44"/>
      <c r="B963" s="44"/>
      <c r="C963" s="44"/>
      <c r="D963" s="44"/>
      <c r="E963" s="44"/>
      <c r="F963" s="44"/>
      <c r="G963" s="44"/>
      <c r="H963" s="44"/>
      <c r="I963" s="44"/>
      <c r="J963" s="44"/>
      <c r="K963" s="44"/>
      <c r="L963" s="44"/>
      <c r="M963" s="44"/>
      <c r="N963" s="44"/>
      <c r="O963" s="44"/>
    </row>
    <row r="964" spans="1:15" ht="17.25" customHeight="1">
      <c r="A964" s="44"/>
      <c r="B964" s="44"/>
      <c r="C964" s="44"/>
      <c r="D964" s="44"/>
      <c r="E964" s="44"/>
      <c r="F964" s="44"/>
      <c r="G964" s="44"/>
      <c r="H964" s="44"/>
      <c r="I964" s="44"/>
      <c r="J964" s="44"/>
      <c r="K964" s="44"/>
      <c r="L964" s="44"/>
      <c r="M964" s="44"/>
      <c r="N964" s="44"/>
      <c r="O964" s="44"/>
    </row>
    <row r="965" spans="1:15" ht="17.25" customHeight="1">
      <c r="A965" s="44"/>
      <c r="B965" s="44"/>
      <c r="C965" s="44"/>
      <c r="D965" s="44"/>
      <c r="E965" s="44"/>
      <c r="F965" s="44"/>
      <c r="G965" s="44"/>
      <c r="H965" s="44"/>
      <c r="I965" s="44"/>
      <c r="J965" s="44"/>
      <c r="K965" s="44"/>
      <c r="L965" s="44"/>
      <c r="M965" s="44"/>
      <c r="N965" s="44"/>
      <c r="O965" s="44"/>
    </row>
    <row r="966" spans="1:15" ht="17.25" customHeight="1">
      <c r="A966" s="44"/>
      <c r="B966" s="44"/>
      <c r="C966" s="44"/>
      <c r="D966" s="44"/>
      <c r="E966" s="44"/>
      <c r="F966" s="44"/>
      <c r="G966" s="44"/>
      <c r="H966" s="44"/>
      <c r="I966" s="44"/>
      <c r="J966" s="44"/>
      <c r="K966" s="44"/>
      <c r="L966" s="44"/>
      <c r="M966" s="44"/>
      <c r="N966" s="44"/>
      <c r="O966" s="44"/>
    </row>
    <row r="967" spans="1:15" ht="17.25" customHeight="1">
      <c r="A967" s="44"/>
      <c r="B967" s="44"/>
      <c r="C967" s="44"/>
      <c r="D967" s="44"/>
      <c r="E967" s="44"/>
      <c r="F967" s="44"/>
      <c r="G967" s="44"/>
      <c r="H967" s="44"/>
      <c r="I967" s="44"/>
      <c r="J967" s="44"/>
      <c r="K967" s="44"/>
      <c r="L967" s="44"/>
      <c r="M967" s="44"/>
      <c r="N967" s="44"/>
      <c r="O967" s="44"/>
    </row>
    <row r="968" spans="1:15" ht="17.25" customHeight="1">
      <c r="A968" s="44"/>
      <c r="B968" s="44"/>
      <c r="C968" s="44"/>
      <c r="D968" s="44"/>
      <c r="E968" s="44"/>
      <c r="F968" s="44"/>
      <c r="G968" s="44"/>
      <c r="H968" s="44"/>
      <c r="I968" s="44"/>
      <c r="J968" s="44"/>
      <c r="K968" s="44"/>
      <c r="L968" s="44"/>
      <c r="M968" s="44"/>
      <c r="N968" s="44"/>
      <c r="O968" s="44"/>
    </row>
    <row r="969" spans="1:15" ht="17.25" customHeight="1">
      <c r="A969" s="44"/>
      <c r="B969" s="44"/>
      <c r="C969" s="44"/>
      <c r="D969" s="44"/>
      <c r="E969" s="44"/>
      <c r="F969" s="44"/>
      <c r="G969" s="44"/>
      <c r="H969" s="44"/>
      <c r="I969" s="44"/>
      <c r="J969" s="44"/>
      <c r="K969" s="44"/>
      <c r="L969" s="44"/>
      <c r="M969" s="44"/>
      <c r="N969" s="44"/>
      <c r="O969" s="44"/>
    </row>
    <row r="970" spans="1:15" ht="17.25" customHeight="1">
      <c r="A970" s="44"/>
      <c r="B970" s="44"/>
      <c r="C970" s="44"/>
      <c r="D970" s="44"/>
      <c r="E970" s="44"/>
      <c r="F970" s="44"/>
      <c r="G970" s="44"/>
      <c r="H970" s="44"/>
      <c r="I970" s="44"/>
      <c r="J970" s="44"/>
      <c r="K970" s="44"/>
      <c r="L970" s="44"/>
      <c r="M970" s="44"/>
      <c r="N970" s="44"/>
      <c r="O970" s="44"/>
    </row>
    <row r="971" spans="1:15" ht="17.25" customHeight="1">
      <c r="A971" s="44"/>
      <c r="B971" s="44"/>
      <c r="C971" s="44"/>
      <c r="D971" s="44"/>
      <c r="E971" s="44"/>
      <c r="F971" s="44"/>
      <c r="G971" s="44"/>
      <c r="H971" s="44"/>
      <c r="I971" s="44"/>
      <c r="J971" s="44"/>
      <c r="K971" s="44"/>
      <c r="L971" s="44"/>
      <c r="M971" s="44"/>
      <c r="N971" s="44"/>
      <c r="O971" s="44"/>
    </row>
    <row r="972" spans="1:15" ht="17.25" customHeight="1">
      <c r="A972" s="44"/>
      <c r="B972" s="44"/>
      <c r="C972" s="44"/>
      <c r="D972" s="44"/>
      <c r="E972" s="44"/>
      <c r="F972" s="44"/>
      <c r="G972" s="44"/>
      <c r="H972" s="44"/>
      <c r="I972" s="44"/>
      <c r="J972" s="44"/>
      <c r="K972" s="44"/>
      <c r="L972" s="44"/>
      <c r="M972" s="44"/>
      <c r="N972" s="44"/>
      <c r="O972" s="44"/>
    </row>
    <row r="973" spans="1:15" ht="17.25" customHeight="1">
      <c r="A973" s="44"/>
      <c r="B973" s="44"/>
      <c r="C973" s="44"/>
      <c r="D973" s="44"/>
      <c r="E973" s="44"/>
      <c r="F973" s="44"/>
      <c r="G973" s="44"/>
      <c r="H973" s="44"/>
      <c r="I973" s="44"/>
      <c r="J973" s="44"/>
      <c r="K973" s="44"/>
      <c r="L973" s="44"/>
      <c r="M973" s="44"/>
      <c r="N973" s="44"/>
      <c r="O973" s="44"/>
    </row>
    <row r="974" spans="1:15" ht="17.25" customHeight="1">
      <c r="A974" s="44"/>
      <c r="B974" s="44"/>
      <c r="C974" s="44"/>
      <c r="D974" s="44"/>
      <c r="E974" s="44"/>
      <c r="F974" s="44"/>
      <c r="G974" s="44"/>
      <c r="H974" s="44"/>
      <c r="I974" s="44"/>
      <c r="J974" s="44"/>
      <c r="K974" s="44"/>
      <c r="L974" s="44"/>
      <c r="M974" s="44"/>
      <c r="N974" s="44"/>
      <c r="O974" s="44"/>
    </row>
    <row r="975" spans="1:15" ht="17.25" customHeight="1">
      <c r="A975" s="44"/>
      <c r="B975" s="44"/>
      <c r="C975" s="44"/>
      <c r="D975" s="44"/>
      <c r="E975" s="44"/>
      <c r="F975" s="44"/>
      <c r="G975" s="44"/>
      <c r="H975" s="44"/>
      <c r="I975" s="44"/>
      <c r="J975" s="44"/>
      <c r="K975" s="44"/>
      <c r="L975" s="44"/>
      <c r="M975" s="44"/>
      <c r="N975" s="44"/>
      <c r="O975" s="44"/>
    </row>
    <row r="976" spans="1:15" ht="17.25" customHeight="1">
      <c r="A976" s="44"/>
      <c r="B976" s="44"/>
      <c r="C976" s="44"/>
      <c r="D976" s="44"/>
      <c r="E976" s="44"/>
      <c r="F976" s="44"/>
      <c r="G976" s="44"/>
      <c r="H976" s="44"/>
      <c r="I976" s="44"/>
      <c r="J976" s="44"/>
      <c r="K976" s="44"/>
      <c r="L976" s="44"/>
      <c r="M976" s="44"/>
      <c r="N976" s="44"/>
      <c r="O976" s="44"/>
    </row>
    <row r="977" spans="1:15" ht="17.25" customHeight="1">
      <c r="A977" s="44"/>
      <c r="B977" s="44"/>
      <c r="C977" s="44"/>
      <c r="D977" s="44"/>
      <c r="E977" s="44"/>
      <c r="F977" s="44"/>
      <c r="G977" s="44"/>
      <c r="H977" s="44"/>
      <c r="I977" s="44"/>
      <c r="J977" s="44"/>
      <c r="K977" s="44"/>
      <c r="L977" s="44"/>
      <c r="M977" s="44"/>
      <c r="N977" s="44"/>
      <c r="O977" s="44"/>
    </row>
    <row r="978" spans="1:15" ht="17.25" customHeight="1">
      <c r="A978" s="44"/>
      <c r="B978" s="44"/>
      <c r="C978" s="44"/>
      <c r="D978" s="44"/>
      <c r="E978" s="44"/>
      <c r="F978" s="44"/>
      <c r="G978" s="44"/>
      <c r="H978" s="44"/>
      <c r="I978" s="44"/>
      <c r="J978" s="44"/>
      <c r="K978" s="44"/>
      <c r="L978" s="44"/>
      <c r="M978" s="44"/>
      <c r="N978" s="44"/>
      <c r="O978" s="44"/>
    </row>
    <row r="979" spans="1:15" ht="17.25" customHeight="1">
      <c r="A979" s="44"/>
      <c r="B979" s="44"/>
      <c r="C979" s="44"/>
      <c r="D979" s="44"/>
      <c r="E979" s="44"/>
      <c r="F979" s="44"/>
      <c r="G979" s="44"/>
      <c r="H979" s="44"/>
      <c r="I979" s="44"/>
      <c r="J979" s="44"/>
      <c r="K979" s="44"/>
      <c r="L979" s="44"/>
      <c r="M979" s="44"/>
      <c r="N979" s="44"/>
      <c r="O979" s="44"/>
    </row>
    <row r="980" spans="1:15" ht="17.25" customHeight="1">
      <c r="A980" s="44"/>
      <c r="B980" s="44"/>
      <c r="C980" s="44"/>
      <c r="D980" s="44"/>
      <c r="E980" s="44"/>
      <c r="F980" s="44"/>
      <c r="G980" s="44"/>
      <c r="H980" s="44"/>
      <c r="I980" s="44"/>
      <c r="J980" s="44"/>
      <c r="K980" s="44"/>
      <c r="L980" s="44"/>
      <c r="M980" s="44"/>
      <c r="N980" s="44"/>
      <c r="O980" s="44"/>
    </row>
    <row r="981" spans="1:15" ht="17.25" customHeight="1">
      <c r="A981" s="44"/>
      <c r="B981" s="44"/>
      <c r="C981" s="44"/>
      <c r="D981" s="44"/>
      <c r="E981" s="44"/>
      <c r="F981" s="44"/>
      <c r="G981" s="44"/>
      <c r="H981" s="44"/>
      <c r="I981" s="44"/>
      <c r="J981" s="44"/>
      <c r="K981" s="44"/>
      <c r="L981" s="44"/>
      <c r="M981" s="44"/>
      <c r="N981" s="44"/>
      <c r="O981" s="44"/>
    </row>
    <row r="982" spans="1:15" ht="17.25" customHeight="1">
      <c r="A982" s="44"/>
      <c r="B982" s="44"/>
      <c r="C982" s="44"/>
      <c r="D982" s="44"/>
      <c r="E982" s="44"/>
      <c r="F982" s="44"/>
      <c r="G982" s="44"/>
      <c r="H982" s="44"/>
      <c r="I982" s="44"/>
      <c r="J982" s="44"/>
      <c r="K982" s="44"/>
      <c r="L982" s="44"/>
      <c r="M982" s="44"/>
      <c r="N982" s="44"/>
      <c r="O982" s="44"/>
    </row>
    <row r="983" spans="1:15" ht="17.25" customHeight="1">
      <c r="A983" s="44"/>
      <c r="B983" s="44"/>
      <c r="C983" s="44"/>
      <c r="D983" s="44"/>
      <c r="E983" s="44"/>
      <c r="F983" s="44"/>
      <c r="G983" s="44"/>
      <c r="H983" s="44"/>
      <c r="I983" s="44"/>
      <c r="J983" s="44"/>
      <c r="K983" s="44"/>
      <c r="L983" s="44"/>
      <c r="M983" s="44"/>
      <c r="N983" s="44"/>
      <c r="O983" s="44"/>
    </row>
    <row r="984" spans="1:15" ht="17.25" customHeight="1">
      <c r="A984" s="44"/>
      <c r="B984" s="44"/>
      <c r="C984" s="44"/>
      <c r="D984" s="44"/>
      <c r="E984" s="44"/>
      <c r="F984" s="44"/>
      <c r="G984" s="44"/>
      <c r="H984" s="44"/>
      <c r="I984" s="44"/>
      <c r="J984" s="44"/>
      <c r="K984" s="44"/>
      <c r="L984" s="44"/>
      <c r="M984" s="44"/>
      <c r="N984" s="44"/>
      <c r="O984" s="44"/>
    </row>
    <row r="985" spans="1:15" ht="17.25" customHeight="1">
      <c r="A985" s="44"/>
      <c r="B985" s="44"/>
      <c r="C985" s="44"/>
      <c r="D985" s="44"/>
      <c r="E985" s="44"/>
      <c r="F985" s="44"/>
      <c r="G985" s="44"/>
      <c r="H985" s="44"/>
      <c r="I985" s="44"/>
      <c r="J985" s="44"/>
      <c r="K985" s="44"/>
      <c r="L985" s="44"/>
      <c r="M985" s="44"/>
      <c r="N985" s="44"/>
      <c r="O985" s="44"/>
    </row>
    <row r="986" spans="1:15" ht="17.25" customHeight="1">
      <c r="A986" s="44"/>
      <c r="B986" s="44"/>
      <c r="C986" s="44"/>
      <c r="D986" s="44"/>
      <c r="E986" s="44"/>
      <c r="F986" s="44"/>
      <c r="G986" s="44"/>
      <c r="H986" s="44"/>
      <c r="I986" s="44"/>
      <c r="J986" s="44"/>
      <c r="K986" s="44"/>
      <c r="L986" s="44"/>
      <c r="M986" s="44"/>
      <c r="N986" s="44"/>
      <c r="O986" s="44"/>
    </row>
    <row r="987" spans="1:15" ht="15" customHeight="1"/>
    <row r="988" spans="1:15" ht="15" customHeight="1"/>
    <row r="989" spans="1:15" ht="15" customHeight="1"/>
    <row r="990" spans="1:15" ht="15" customHeight="1"/>
    <row r="991" spans="1:15" ht="15" customHeight="1"/>
    <row r="992" spans="1:15" ht="15" customHeight="1"/>
    <row r="993" ht="15" customHeight="1"/>
    <row r="994" ht="15" customHeight="1"/>
    <row r="995" ht="15" customHeight="1"/>
    <row r="996" ht="15" customHeight="1"/>
    <row r="997" ht="15" customHeight="1"/>
    <row r="998" ht="15" customHeight="1"/>
  </sheetData>
  <mergeCells count="2">
    <mergeCell ref="G1:J2"/>
    <mergeCell ref="B4:C4"/>
  </mergeCells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98"/>
  <sheetViews>
    <sheetView showGridLines="0" workbookViewId="0">
      <selection activeCell="J18" sqref="J18"/>
    </sheetView>
  </sheetViews>
  <sheetFormatPr baseColWidth="10" defaultColWidth="14.42578125" defaultRowHeight="15"/>
  <cols>
    <col min="1" max="1" width="5.28515625" style="46" customWidth="1"/>
    <col min="2" max="3" width="12.42578125" style="46" customWidth="1"/>
    <col min="4" max="4" width="6.140625" style="46" customWidth="1"/>
    <col min="5" max="5" width="4.85546875" style="46" customWidth="1"/>
    <col min="6" max="6" width="3.28515625" style="46" customWidth="1"/>
    <col min="7" max="10" width="11.42578125" style="46" customWidth="1"/>
    <col min="11" max="11" width="8.42578125" style="46" customWidth="1"/>
    <col min="12" max="12" width="11.42578125" style="46" customWidth="1"/>
    <col min="13" max="13" width="7" style="46" customWidth="1"/>
    <col min="14" max="14" width="13.85546875" style="46" customWidth="1"/>
    <col min="15" max="15" width="3.140625" style="46" customWidth="1"/>
    <col min="16" max="16" width="30.85546875" style="46" customWidth="1"/>
    <col min="17" max="16384" width="14.42578125" style="46"/>
  </cols>
  <sheetData>
    <row r="1" spans="1:18" ht="21.75" customHeight="1">
      <c r="A1" s="44"/>
      <c r="B1" s="44"/>
      <c r="C1" s="44"/>
      <c r="D1" s="45"/>
      <c r="E1" s="45"/>
      <c r="F1" s="45"/>
      <c r="G1" s="156" t="s">
        <v>68</v>
      </c>
      <c r="H1" s="157"/>
      <c r="I1" s="157"/>
      <c r="J1" s="157"/>
      <c r="K1" s="44"/>
      <c r="L1" s="44"/>
      <c r="M1" s="44"/>
      <c r="N1" s="44"/>
      <c r="O1" s="44"/>
    </row>
    <row r="2" spans="1:18" ht="25.5" customHeight="1">
      <c r="A2" s="44"/>
      <c r="B2" s="44"/>
      <c r="C2" s="44"/>
      <c r="D2" s="47"/>
      <c r="E2" s="47"/>
      <c r="F2" s="47"/>
      <c r="G2" s="157"/>
      <c r="H2" s="157"/>
      <c r="I2" s="157"/>
      <c r="J2" s="157"/>
      <c r="K2" s="44"/>
      <c r="L2" s="44"/>
      <c r="M2" s="44"/>
      <c r="N2" s="44"/>
      <c r="O2" s="44"/>
      <c r="P2" s="46" t="s">
        <v>56</v>
      </c>
    </row>
    <row r="3" spans="1:18" ht="17.25" customHeight="1" thickBot="1">
      <c r="A3" s="44"/>
      <c r="B3" s="44"/>
      <c r="C3" s="44"/>
      <c r="D3" s="48"/>
      <c r="E3" s="48"/>
      <c r="F3" s="48"/>
      <c r="G3" s="44"/>
      <c r="H3" s="44"/>
      <c r="I3" s="44"/>
      <c r="J3" s="44"/>
      <c r="K3" s="44"/>
      <c r="L3" s="44"/>
      <c r="M3" s="44"/>
      <c r="N3" s="44"/>
      <c r="O3" s="44"/>
    </row>
    <row r="4" spans="1:18" ht="17.25" customHeight="1">
      <c r="A4" s="44"/>
      <c r="B4" s="158" t="s">
        <v>96</v>
      </c>
      <c r="C4" s="159"/>
      <c r="D4" s="48"/>
      <c r="E4" s="48"/>
      <c r="F4" s="48"/>
      <c r="G4" s="44"/>
      <c r="H4" s="44"/>
      <c r="I4" s="44"/>
      <c r="J4" s="44"/>
      <c r="K4" s="44"/>
      <c r="L4" s="44"/>
      <c r="M4" s="44"/>
      <c r="N4" s="44"/>
      <c r="O4" s="44"/>
      <c r="P4" s="49"/>
      <c r="Q4" s="49" t="s">
        <v>69</v>
      </c>
      <c r="R4" s="49" t="s">
        <v>70</v>
      </c>
    </row>
    <row r="5" spans="1:18" ht="17.25" customHeight="1">
      <c r="A5" s="50" t="s">
        <v>71</v>
      </c>
      <c r="B5" s="50" t="s">
        <v>69</v>
      </c>
      <c r="C5" s="50" t="s">
        <v>70</v>
      </c>
      <c r="D5" s="48"/>
      <c r="E5" s="48"/>
      <c r="F5" s="48"/>
      <c r="G5" s="44"/>
      <c r="H5" s="44"/>
      <c r="I5" s="44"/>
      <c r="J5" s="44"/>
      <c r="K5" s="44"/>
      <c r="L5" s="44"/>
      <c r="M5" s="44"/>
      <c r="N5" s="44"/>
      <c r="O5" s="44"/>
      <c r="P5" s="51" t="s">
        <v>57</v>
      </c>
      <c r="Q5" s="52">
        <v>0.44317958101850902</v>
      </c>
      <c r="R5" s="52">
        <v>0.28883252777777418</v>
      </c>
    </row>
    <row r="6" spans="1:18" ht="17.25" customHeight="1">
      <c r="A6" s="53">
        <v>1</v>
      </c>
      <c r="B6" s="125">
        <v>0.37065037499991149</v>
      </c>
      <c r="C6" s="125">
        <v>0.3563121249999881</v>
      </c>
      <c r="D6" s="48"/>
      <c r="E6" s="48"/>
      <c r="F6" s="48"/>
      <c r="G6" s="44" t="s">
        <v>72</v>
      </c>
      <c r="H6" s="44"/>
      <c r="I6" s="44"/>
      <c r="J6" s="44"/>
      <c r="K6" s="44"/>
      <c r="L6" s="44"/>
      <c r="M6" s="44"/>
      <c r="N6" s="44"/>
      <c r="O6" s="44"/>
      <c r="P6" s="51" t="s">
        <v>58</v>
      </c>
      <c r="Q6" s="54">
        <v>0.14537412548986117</v>
      </c>
      <c r="R6" s="54">
        <v>3.3513903219751534E-2</v>
      </c>
    </row>
    <row r="7" spans="1:18" ht="17.25" customHeight="1">
      <c r="A7" s="53">
        <v>2</v>
      </c>
      <c r="B7" s="125">
        <v>0.16003325000002633</v>
      </c>
      <c r="C7" s="125">
        <v>8.6294749999979103E-2</v>
      </c>
      <c r="D7" s="48"/>
      <c r="E7" s="48"/>
      <c r="F7" s="48"/>
      <c r="G7" s="44"/>
      <c r="H7" s="44"/>
      <c r="I7" s="55" t="s">
        <v>73</v>
      </c>
      <c r="J7" s="56">
        <f>AVERAGE(B6:B23)</f>
        <v>0.30182509722221895</v>
      </c>
      <c r="K7" s="57" t="s">
        <v>74</v>
      </c>
      <c r="L7" s="58">
        <f>COUNT(B6:B23)</f>
        <v>18</v>
      </c>
      <c r="M7" s="57" t="s">
        <v>73</v>
      </c>
      <c r="N7" s="59">
        <f>_xlfn.VAR.S(B6:B17)</f>
        <v>5.2464048822516138E-2</v>
      </c>
      <c r="O7" s="44"/>
      <c r="P7" s="51" t="s">
        <v>59</v>
      </c>
      <c r="Q7" s="51">
        <v>18</v>
      </c>
      <c r="R7" s="51">
        <v>18</v>
      </c>
    </row>
    <row r="8" spans="1:18" ht="17.25" customHeight="1">
      <c r="A8" s="53">
        <v>3</v>
      </c>
      <c r="B8" s="125">
        <v>0.13074799999998277</v>
      </c>
      <c r="C8" s="125">
        <v>8.5116875000039727E-2</v>
      </c>
      <c r="D8" s="48"/>
      <c r="E8" s="48"/>
      <c r="F8" s="48"/>
      <c r="G8" s="44"/>
      <c r="H8" s="44"/>
      <c r="I8" s="60" t="s">
        <v>73</v>
      </c>
      <c r="J8" s="56">
        <f>AVERAGE(C6:C23)</f>
        <v>0.42504303472222837</v>
      </c>
      <c r="K8" s="57" t="s">
        <v>75</v>
      </c>
      <c r="L8" s="58">
        <f>COUNT(C6:C24)</f>
        <v>18</v>
      </c>
      <c r="M8" s="57" t="s">
        <v>73</v>
      </c>
      <c r="N8" s="59">
        <f>_xlfn.VAR.S(C6:C17)</f>
        <v>0.1284628902958653</v>
      </c>
      <c r="O8" s="44"/>
      <c r="P8" s="51" t="s">
        <v>60</v>
      </c>
      <c r="Q8" s="54">
        <v>8.9444014354806353E-2</v>
      </c>
      <c r="R8" s="51"/>
    </row>
    <row r="9" spans="1:18" ht="17.25" customHeight="1">
      <c r="A9" s="53">
        <v>4</v>
      </c>
      <c r="B9" s="125">
        <v>3.9468750000025921E-2</v>
      </c>
      <c r="C9" s="125">
        <v>0.50943837500005884</v>
      </c>
      <c r="D9" s="48"/>
      <c r="E9" s="48"/>
      <c r="F9" s="48"/>
      <c r="G9" s="44"/>
      <c r="H9" s="44"/>
      <c r="I9" s="44"/>
      <c r="J9" s="44"/>
      <c r="K9" s="44"/>
      <c r="L9" s="44"/>
      <c r="M9" s="57" t="s">
        <v>73</v>
      </c>
      <c r="N9" s="59">
        <f>((L7-1)*N7+(L8-1)*N8)/(L7+L8-2)</f>
        <v>9.0463469559190712E-2</v>
      </c>
      <c r="O9" s="44"/>
      <c r="P9" s="51" t="s">
        <v>61</v>
      </c>
      <c r="Q9" s="51">
        <v>0</v>
      </c>
      <c r="R9" s="51"/>
    </row>
    <row r="10" spans="1:18" ht="17.25" customHeight="1">
      <c r="A10" s="53">
        <v>5</v>
      </c>
      <c r="B10" s="125">
        <v>0.6087773749999883</v>
      </c>
      <c r="C10" s="125">
        <v>0.10492074999996248</v>
      </c>
      <c r="D10" s="48"/>
      <c r="E10" s="48"/>
      <c r="F10" s="48"/>
      <c r="G10" s="44"/>
      <c r="H10" s="44"/>
      <c r="I10" s="57" t="s">
        <v>76</v>
      </c>
      <c r="J10" s="61">
        <f>ABS((J7-J8)/SQRT(N7/L7+N8/L8))</f>
        <v>1.2290189227106663</v>
      </c>
      <c r="K10" s="44"/>
      <c r="L10" s="44"/>
      <c r="M10" s="44"/>
      <c r="N10" s="44"/>
      <c r="O10" s="44"/>
      <c r="P10" s="51" t="s">
        <v>62</v>
      </c>
      <c r="Q10" s="51">
        <v>34</v>
      </c>
      <c r="R10" s="51"/>
    </row>
    <row r="11" spans="1:18" ht="17.25" customHeight="1" thickBot="1">
      <c r="A11" s="53">
        <v>6</v>
      </c>
      <c r="B11" s="125">
        <v>0.40086150000001908</v>
      </c>
      <c r="C11" s="125">
        <v>4.894849999999451E-2</v>
      </c>
      <c r="D11" s="48"/>
      <c r="E11" s="48"/>
      <c r="F11" s="48"/>
      <c r="G11" s="44"/>
      <c r="H11" s="44"/>
      <c r="I11" s="44"/>
      <c r="J11" s="44"/>
      <c r="K11" s="44"/>
      <c r="L11" s="44"/>
      <c r="M11" s="62"/>
      <c r="N11" s="44">
        <f>J10</f>
        <v>1.2290189227106663</v>
      </c>
      <c r="O11" s="44"/>
      <c r="P11" s="51" t="s">
        <v>63</v>
      </c>
      <c r="Q11" s="81">
        <v>1.5482602214075776</v>
      </c>
      <c r="R11" s="51"/>
    </row>
    <row r="12" spans="1:18" ht="17.25" customHeight="1">
      <c r="A12" s="53">
        <v>1</v>
      </c>
      <c r="B12" s="30">
        <v>0.29295274999998355</v>
      </c>
      <c r="C12" s="31">
        <v>0.85250174999998762</v>
      </c>
      <c r="D12" s="48"/>
      <c r="E12" s="48"/>
      <c r="F12" s="48"/>
      <c r="G12" s="44"/>
      <c r="H12" s="44"/>
      <c r="I12" s="44"/>
      <c r="J12" s="44"/>
      <c r="K12" s="44"/>
      <c r="L12" s="44"/>
      <c r="M12" s="62"/>
      <c r="N12" s="44"/>
      <c r="O12" s="44"/>
      <c r="P12" s="51" t="s">
        <v>64</v>
      </c>
      <c r="Q12" s="51">
        <v>6.5409292048025119E-2</v>
      </c>
      <c r="R12" s="51"/>
    </row>
    <row r="13" spans="1:18" ht="17.25" customHeight="1">
      <c r="A13" s="53">
        <v>2</v>
      </c>
      <c r="B13" s="125">
        <v>0.5689081250000072</v>
      </c>
      <c r="C13" s="32">
        <v>0.6908923749999758</v>
      </c>
      <c r="D13" s="48"/>
      <c r="E13" s="48"/>
      <c r="F13" s="48"/>
      <c r="G13" s="63" t="s">
        <v>77</v>
      </c>
      <c r="H13" s="63"/>
      <c r="I13" s="64" t="s">
        <v>78</v>
      </c>
      <c r="J13" s="65">
        <f>L7+L8-2</f>
        <v>34</v>
      </c>
      <c r="K13" s="44"/>
      <c r="L13" s="44"/>
      <c r="M13" s="62"/>
      <c r="N13" s="66"/>
      <c r="O13" s="44"/>
      <c r="P13" s="51" t="s">
        <v>65</v>
      </c>
      <c r="Q13" s="51">
        <v>1.6909242551868542</v>
      </c>
      <c r="R13" s="51"/>
    </row>
    <row r="14" spans="1:18" ht="17.25" customHeight="1">
      <c r="A14" s="53">
        <v>3</v>
      </c>
      <c r="B14" s="125">
        <v>0.52019062499988422</v>
      </c>
      <c r="C14" s="32">
        <v>0.88580537499990442</v>
      </c>
      <c r="D14" s="48"/>
      <c r="E14" s="48"/>
      <c r="F14" s="48"/>
      <c r="G14" s="63"/>
      <c r="H14" s="63"/>
      <c r="I14" s="80" t="s">
        <v>79</v>
      </c>
      <c r="J14" s="67">
        <v>0.05</v>
      </c>
      <c r="K14" s="68"/>
      <c r="L14" s="44"/>
      <c r="M14" s="44"/>
      <c r="N14" s="66"/>
      <c r="O14" s="44"/>
      <c r="P14" s="51" t="s">
        <v>66</v>
      </c>
      <c r="Q14" s="54">
        <v>0.13081858409605024</v>
      </c>
      <c r="R14" s="51"/>
    </row>
    <row r="15" spans="1:18" ht="17.25" customHeight="1" thickBot="1">
      <c r="A15" s="53">
        <v>4</v>
      </c>
      <c r="B15" s="125">
        <v>0.7849878749998993</v>
      </c>
      <c r="C15" s="32">
        <v>0.86744650000002821</v>
      </c>
      <c r="D15" s="48"/>
      <c r="E15" s="48"/>
      <c r="F15" s="48"/>
      <c r="G15" s="63"/>
      <c r="H15" s="63"/>
      <c r="I15" s="63"/>
      <c r="J15" s="63"/>
      <c r="K15" s="44"/>
      <c r="L15" s="44"/>
      <c r="M15" s="44"/>
      <c r="N15" s="44"/>
      <c r="O15" s="44"/>
      <c r="P15" s="69" t="s">
        <v>67</v>
      </c>
      <c r="Q15" s="70">
        <v>2.0322445093177191</v>
      </c>
      <c r="R15" s="69"/>
    </row>
    <row r="16" spans="1:18" ht="17.25" customHeight="1">
      <c r="A16" s="53">
        <v>5</v>
      </c>
      <c r="B16" s="125">
        <v>0.57974612500004241</v>
      </c>
      <c r="C16" s="32">
        <v>0.94061500000003662</v>
      </c>
      <c r="D16" s="48"/>
      <c r="E16" s="48"/>
      <c r="F16" s="48"/>
      <c r="G16" s="63"/>
      <c r="H16" s="63"/>
      <c r="I16" s="71" t="s">
        <v>73</v>
      </c>
      <c r="J16" s="72">
        <f>_xlfn.T.INV.2T(J14,J13)</f>
        <v>2.0322445093177191</v>
      </c>
      <c r="K16" s="73"/>
      <c r="L16" s="62">
        <f>-J16</f>
        <v>-2.0322445093177191</v>
      </c>
      <c r="M16" s="44"/>
      <c r="N16" s="74">
        <f>J16</f>
        <v>2.0322445093177191</v>
      </c>
      <c r="O16" s="44"/>
    </row>
    <row r="17" spans="1:15" ht="17.25" customHeight="1" thickBot="1">
      <c r="A17" s="53">
        <v>6</v>
      </c>
      <c r="B17" s="34">
        <v>0.2017937499999789</v>
      </c>
      <c r="C17" s="35">
        <v>0.73006399999997029</v>
      </c>
      <c r="D17" s="48"/>
      <c r="E17" s="48"/>
      <c r="F17" s="48"/>
      <c r="G17" s="63"/>
      <c r="H17" s="63"/>
      <c r="I17" s="63" t="s">
        <v>80</v>
      </c>
      <c r="J17" s="72">
        <f>_xlfn.T.DIST.2T(J10,J13)</f>
        <v>0.22750318769337438</v>
      </c>
      <c r="K17" s="44" t="s">
        <v>83</v>
      </c>
      <c r="L17" s="44"/>
      <c r="M17" s="44"/>
      <c r="N17" s="44"/>
      <c r="O17" s="44"/>
    </row>
    <row r="18" spans="1:15" ht="17.25" customHeight="1">
      <c r="A18" s="53">
        <v>1</v>
      </c>
      <c r="B18" s="30">
        <v>5.1132249999966503E-2</v>
      </c>
      <c r="C18" s="31">
        <v>0.44327262499996301</v>
      </c>
      <c r="D18" s="48"/>
      <c r="E18" s="48"/>
      <c r="F18" s="48"/>
      <c r="G18" s="44"/>
      <c r="H18" s="75"/>
      <c r="I18" s="44"/>
      <c r="J18" s="44"/>
      <c r="K18" s="44"/>
      <c r="L18" s="44"/>
      <c r="M18" s="44"/>
      <c r="N18" s="44"/>
      <c r="O18" s="44"/>
    </row>
    <row r="19" spans="1:15" ht="17.25" customHeight="1">
      <c r="A19" s="53">
        <v>2</v>
      </c>
      <c r="B19" s="125">
        <v>0.22943737500008901</v>
      </c>
      <c r="C19" s="32">
        <v>0.21941600000008099</v>
      </c>
      <c r="D19" s="48"/>
      <c r="E19" s="48"/>
      <c r="F19" s="48"/>
      <c r="G19" s="57" t="s">
        <v>81</v>
      </c>
      <c r="H19" s="76" t="s">
        <v>116</v>
      </c>
      <c r="I19" s="44"/>
      <c r="J19" s="44"/>
      <c r="K19" s="44"/>
      <c r="L19" s="44"/>
      <c r="M19" s="44"/>
      <c r="N19" s="44"/>
      <c r="O19" s="44"/>
    </row>
    <row r="20" spans="1:15" ht="17.25" customHeight="1">
      <c r="A20" s="53">
        <v>3</v>
      </c>
      <c r="B20" s="125">
        <v>0.19421725000006501</v>
      </c>
      <c r="C20" s="32">
        <v>8.9555875000087326E-2</v>
      </c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</row>
    <row r="21" spans="1:15" ht="17.25" customHeight="1">
      <c r="A21" s="53">
        <v>4</v>
      </c>
      <c r="B21" s="125">
        <v>0.16854700000004599</v>
      </c>
      <c r="C21" s="32">
        <v>0.11797362499993369</v>
      </c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</row>
    <row r="22" spans="1:15" ht="17.25" customHeight="1">
      <c r="A22" s="53">
        <v>5</v>
      </c>
      <c r="B22" s="125">
        <v>8.525124999999889E-2</v>
      </c>
      <c r="C22" s="32">
        <v>0.33519037500008153</v>
      </c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</row>
    <row r="23" spans="1:15" ht="17.25" customHeight="1" thickBot="1">
      <c r="A23" s="53">
        <v>6</v>
      </c>
      <c r="B23" s="34">
        <v>4.514812500002563E-2</v>
      </c>
      <c r="C23" s="35">
        <v>0.28700975000003837</v>
      </c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</row>
    <row r="24" spans="1:15" ht="17.25" customHeight="1">
      <c r="A24" s="44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</row>
    <row r="25" spans="1:15" ht="17.25" customHeight="1">
      <c r="A25" s="44"/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</row>
    <row r="26" spans="1:15" ht="17.25" customHeight="1">
      <c r="A26" s="44"/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</row>
    <row r="27" spans="1:15" ht="17.25" customHeight="1">
      <c r="A27" s="44"/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</row>
    <row r="28" spans="1:15" ht="17.25" customHeight="1">
      <c r="A28" s="44"/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</row>
    <row r="29" spans="1:15" ht="17.25" customHeight="1">
      <c r="A29" s="44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</row>
    <row r="30" spans="1:15" ht="17.25" customHeight="1">
      <c r="A30" s="44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</row>
    <row r="31" spans="1:15" ht="17.25" customHeight="1">
      <c r="A31" s="44"/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</row>
    <row r="32" spans="1:15" ht="17.25" customHeight="1">
      <c r="A32" s="44"/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</row>
    <row r="33" spans="1:15" ht="17.25" customHeight="1">
      <c r="A33" s="44"/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</row>
    <row r="34" spans="1:15" ht="17.25" customHeight="1">
      <c r="A34" s="44"/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</row>
    <row r="35" spans="1:15" ht="17.25" customHeight="1">
      <c r="A35" s="44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</row>
    <row r="36" spans="1:15" ht="17.25" customHeight="1">
      <c r="A36" s="44"/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</row>
    <row r="37" spans="1:15" ht="17.25" customHeight="1">
      <c r="A37" s="44"/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</row>
    <row r="38" spans="1:15" ht="17.25" customHeight="1">
      <c r="A38" s="44"/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</row>
    <row r="39" spans="1:15" ht="17.25" customHeight="1">
      <c r="A39" s="44"/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</row>
    <row r="40" spans="1:15" ht="17.25" customHeight="1">
      <c r="A40" s="44"/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</row>
    <row r="41" spans="1:15" ht="17.25" customHeight="1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</row>
    <row r="42" spans="1:15" ht="17.25" customHeight="1">
      <c r="A42" s="44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</row>
    <row r="43" spans="1:15" ht="17.25" customHeight="1">
      <c r="A43" s="44"/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</row>
    <row r="44" spans="1:15" ht="17.25" customHeight="1">
      <c r="A44" s="44"/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</row>
    <row r="45" spans="1:15" ht="17.25" customHeight="1">
      <c r="A45" s="44"/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</row>
    <row r="46" spans="1:15" ht="17.25" customHeight="1">
      <c r="A46" s="44"/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</row>
    <row r="47" spans="1:15" ht="17.25" customHeight="1">
      <c r="A47" s="44"/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</row>
    <row r="48" spans="1:15" ht="17.25" customHeight="1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</row>
    <row r="49" spans="1:15" ht="17.25" customHeight="1">
      <c r="A49" s="44"/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</row>
    <row r="50" spans="1:15" ht="17.25" customHeight="1">
      <c r="A50" s="44"/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</row>
    <row r="51" spans="1:15" ht="17.25" customHeight="1">
      <c r="A51" s="44"/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</row>
    <row r="52" spans="1:15" ht="17.25" customHeight="1">
      <c r="A52" s="44"/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</row>
    <row r="53" spans="1:15" ht="17.25" customHeight="1">
      <c r="A53" s="44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</row>
    <row r="54" spans="1:15" ht="17.25" customHeight="1">
      <c r="A54" s="44"/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</row>
    <row r="55" spans="1:15" ht="17.25" customHeight="1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</row>
    <row r="56" spans="1:15" ht="17.25" customHeight="1">
      <c r="A56" s="44"/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</row>
    <row r="57" spans="1:15" ht="17.25" customHeight="1">
      <c r="A57" s="44"/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</row>
    <row r="58" spans="1:15" ht="17.25" customHeight="1">
      <c r="A58" s="44"/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</row>
    <row r="59" spans="1:15" ht="17.25" customHeight="1">
      <c r="A59" s="44"/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</row>
    <row r="60" spans="1:15" ht="17.25" customHeight="1">
      <c r="A60" s="44"/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</row>
    <row r="61" spans="1:15" ht="17.25" customHeight="1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</row>
    <row r="62" spans="1:15" ht="17.25" customHeight="1">
      <c r="A62" s="44"/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</row>
    <row r="63" spans="1:15" ht="17.25" customHeight="1">
      <c r="A63" s="44"/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</row>
    <row r="64" spans="1:15" ht="17.25" customHeight="1">
      <c r="A64" s="44"/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</row>
    <row r="65" spans="1:15" ht="17.25" customHeight="1">
      <c r="A65" s="44"/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</row>
    <row r="66" spans="1:15" ht="17.25" customHeight="1">
      <c r="A66" s="44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</row>
    <row r="67" spans="1:15" ht="17.25" customHeight="1">
      <c r="A67" s="44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</row>
    <row r="68" spans="1:15" ht="17.25" customHeight="1">
      <c r="A68" s="44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</row>
    <row r="69" spans="1:15" ht="17.25" customHeight="1">
      <c r="A69" s="44"/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</row>
    <row r="70" spans="1:15" ht="17.25" customHeight="1">
      <c r="A70" s="44"/>
      <c r="B70" s="44"/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</row>
    <row r="71" spans="1:15" ht="17.25" customHeight="1">
      <c r="A71" s="44"/>
      <c r="B71" s="44"/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</row>
    <row r="72" spans="1:15" ht="17.25" customHeight="1">
      <c r="A72" s="44"/>
      <c r="B72" s="44"/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</row>
    <row r="73" spans="1:15" ht="17.25" customHeight="1">
      <c r="A73" s="44"/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</row>
    <row r="74" spans="1:15" ht="17.25" customHeight="1">
      <c r="A74" s="44"/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</row>
    <row r="75" spans="1:15" ht="17.25" customHeight="1">
      <c r="A75" s="44"/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</row>
    <row r="76" spans="1:15" ht="17.25" customHeight="1">
      <c r="A76" s="44"/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</row>
    <row r="77" spans="1:15" ht="17.25" customHeight="1">
      <c r="A77" s="44"/>
      <c r="B77" s="44"/>
      <c r="C77" s="44"/>
      <c r="D77" s="44"/>
      <c r="E77" s="44"/>
      <c r="F77" s="44"/>
      <c r="G77" s="44"/>
      <c r="H77" s="44"/>
      <c r="I77" s="44"/>
      <c r="J77" s="44"/>
      <c r="K77" s="44"/>
      <c r="L77" s="44"/>
      <c r="M77" s="44"/>
      <c r="N77" s="44"/>
      <c r="O77" s="44"/>
    </row>
    <row r="78" spans="1:15" ht="17.25" customHeight="1">
      <c r="A78" s="44"/>
      <c r="B78" s="44"/>
      <c r="C78" s="44"/>
      <c r="D78" s="44"/>
      <c r="E78" s="44"/>
      <c r="F78" s="44"/>
      <c r="G78" s="44"/>
      <c r="H78" s="44"/>
      <c r="I78" s="44"/>
      <c r="J78" s="44"/>
      <c r="K78" s="44"/>
      <c r="L78" s="44"/>
      <c r="M78" s="44"/>
      <c r="N78" s="44"/>
      <c r="O78" s="44"/>
    </row>
    <row r="79" spans="1:15" ht="17.25" customHeight="1">
      <c r="A79" s="44"/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</row>
    <row r="80" spans="1:15" ht="17.25" customHeight="1">
      <c r="A80" s="44"/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</row>
    <row r="81" spans="1:15" ht="17.25" customHeight="1">
      <c r="A81" s="44"/>
      <c r="B81" s="44"/>
      <c r="C81" s="44"/>
      <c r="D81" s="44"/>
      <c r="E81" s="44"/>
      <c r="F81" s="44"/>
      <c r="G81" s="44"/>
      <c r="H81" s="44"/>
      <c r="I81" s="44"/>
      <c r="J81" s="44"/>
      <c r="K81" s="44"/>
      <c r="L81" s="44"/>
      <c r="M81" s="44"/>
      <c r="N81" s="44"/>
      <c r="O81" s="44"/>
    </row>
    <row r="82" spans="1:15" ht="17.25" customHeight="1">
      <c r="A82" s="44"/>
      <c r="B82" s="44"/>
      <c r="C82" s="44"/>
      <c r="D82" s="44"/>
      <c r="E82" s="44"/>
      <c r="F82" s="44"/>
      <c r="G82" s="44"/>
      <c r="H82" s="44"/>
      <c r="I82" s="44"/>
      <c r="J82" s="44"/>
      <c r="K82" s="44"/>
      <c r="L82" s="44"/>
      <c r="M82" s="44"/>
      <c r="N82" s="44"/>
      <c r="O82" s="44"/>
    </row>
    <row r="83" spans="1:15" ht="17.25" customHeight="1">
      <c r="A83" s="44"/>
      <c r="B83" s="44"/>
      <c r="C83" s="44"/>
      <c r="D83" s="44"/>
      <c r="E83" s="44"/>
      <c r="F83" s="44"/>
      <c r="G83" s="44"/>
      <c r="H83" s="44"/>
      <c r="I83" s="44"/>
      <c r="J83" s="44"/>
      <c r="K83" s="44"/>
      <c r="L83" s="44"/>
      <c r="M83" s="44"/>
      <c r="N83" s="44"/>
      <c r="O83" s="44"/>
    </row>
    <row r="84" spans="1:15" ht="17.25" customHeight="1">
      <c r="A84" s="44"/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M84" s="44"/>
      <c r="N84" s="44"/>
      <c r="O84" s="44"/>
    </row>
    <row r="85" spans="1:15" ht="17.25" customHeight="1">
      <c r="A85" s="44"/>
      <c r="B85" s="44"/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</row>
    <row r="86" spans="1:15" ht="17.25" customHeight="1">
      <c r="A86" s="44"/>
      <c r="B86" s="44"/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</row>
    <row r="87" spans="1:15" ht="17.25" customHeight="1">
      <c r="A87" s="44"/>
      <c r="B87" s="44"/>
      <c r="C87" s="44"/>
      <c r="D87" s="44"/>
      <c r="E87" s="44"/>
      <c r="F87" s="44"/>
      <c r="G87" s="44"/>
      <c r="H87" s="44"/>
      <c r="I87" s="44"/>
      <c r="J87" s="44"/>
      <c r="K87" s="44"/>
      <c r="L87" s="44"/>
      <c r="M87" s="44"/>
      <c r="N87" s="44"/>
      <c r="O87" s="44"/>
    </row>
    <row r="88" spans="1:15" ht="17.25" customHeight="1">
      <c r="A88" s="44"/>
      <c r="B88" s="44"/>
      <c r="C88" s="44"/>
      <c r="D88" s="44"/>
      <c r="E88" s="44"/>
      <c r="F88" s="44"/>
      <c r="G88" s="44"/>
      <c r="H88" s="44"/>
      <c r="I88" s="44"/>
      <c r="J88" s="44"/>
      <c r="K88" s="44"/>
      <c r="L88" s="44"/>
      <c r="M88" s="44"/>
      <c r="N88" s="44"/>
      <c r="O88" s="44"/>
    </row>
    <row r="89" spans="1:15" ht="17.25" customHeight="1">
      <c r="A89" s="44"/>
      <c r="B89" s="44"/>
      <c r="C89" s="44"/>
      <c r="D89" s="44"/>
      <c r="E89" s="44"/>
      <c r="F89" s="44"/>
      <c r="G89" s="44"/>
      <c r="H89" s="44"/>
      <c r="I89" s="44"/>
      <c r="J89" s="44"/>
      <c r="K89" s="44"/>
      <c r="L89" s="44"/>
      <c r="M89" s="44"/>
      <c r="N89" s="44"/>
      <c r="O89" s="44"/>
    </row>
    <row r="90" spans="1:15" ht="17.25" customHeight="1">
      <c r="A90" s="44"/>
      <c r="B90" s="44"/>
      <c r="C90" s="44"/>
      <c r="D90" s="44"/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44"/>
    </row>
    <row r="91" spans="1:15" ht="17.25" customHeight="1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</row>
    <row r="92" spans="1:15" ht="17.25" customHeight="1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</row>
    <row r="93" spans="1:15" ht="17.25" customHeight="1">
      <c r="A93" s="44"/>
      <c r="B93" s="44"/>
      <c r="C93" s="44"/>
      <c r="D93" s="44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</row>
    <row r="94" spans="1:15" ht="17.25" customHeight="1">
      <c r="A94" s="44"/>
      <c r="B94" s="44"/>
      <c r="C94" s="44"/>
      <c r="D94" s="44"/>
      <c r="E94" s="44"/>
      <c r="F94" s="44"/>
      <c r="G94" s="44"/>
      <c r="H94" s="44"/>
      <c r="I94" s="44"/>
      <c r="J94" s="44"/>
      <c r="K94" s="44"/>
      <c r="L94" s="44"/>
      <c r="M94" s="44"/>
      <c r="N94" s="44"/>
      <c r="O94" s="44"/>
    </row>
    <row r="95" spans="1:15" ht="17.25" customHeight="1">
      <c r="A95" s="44"/>
      <c r="B95" s="44"/>
      <c r="C95" s="44"/>
      <c r="D95" s="44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</row>
    <row r="96" spans="1:15" ht="17.25" customHeight="1">
      <c r="A96" s="44"/>
      <c r="B96" s="44"/>
      <c r="C96" s="44"/>
      <c r="D96" s="44"/>
      <c r="E96" s="44"/>
      <c r="F96" s="44"/>
      <c r="G96" s="44"/>
      <c r="H96" s="44"/>
      <c r="I96" s="44"/>
      <c r="J96" s="44"/>
      <c r="K96" s="44"/>
      <c r="L96" s="44"/>
      <c r="M96" s="44"/>
      <c r="N96" s="44"/>
      <c r="O96" s="44"/>
    </row>
    <row r="97" spans="1:15" ht="17.25" customHeight="1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</row>
    <row r="98" spans="1:15" ht="17.25" customHeight="1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</row>
    <row r="99" spans="1:15" ht="17.25" customHeight="1">
      <c r="A99" s="44"/>
      <c r="B99" s="44"/>
      <c r="C99" s="44"/>
      <c r="D99" s="44"/>
      <c r="E99" s="44"/>
      <c r="F99" s="44"/>
      <c r="G99" s="44"/>
      <c r="H99" s="44"/>
      <c r="I99" s="44"/>
      <c r="J99" s="44"/>
      <c r="K99" s="44"/>
      <c r="L99" s="44"/>
      <c r="M99" s="44"/>
      <c r="N99" s="44"/>
      <c r="O99" s="44"/>
    </row>
    <row r="100" spans="1:15" ht="17.25" customHeight="1">
      <c r="A100" s="44"/>
      <c r="B100" s="44"/>
      <c r="C100" s="44"/>
      <c r="D100" s="44"/>
      <c r="E100" s="44"/>
      <c r="F100" s="44"/>
      <c r="G100" s="44"/>
      <c r="H100" s="44"/>
      <c r="I100" s="44"/>
      <c r="J100" s="44"/>
      <c r="K100" s="44"/>
      <c r="L100" s="44"/>
      <c r="M100" s="44"/>
      <c r="N100" s="44"/>
      <c r="O100" s="44"/>
    </row>
    <row r="101" spans="1:15" ht="17.25" customHeight="1">
      <c r="A101" s="44"/>
      <c r="B101" s="44"/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44"/>
    </row>
    <row r="102" spans="1:15" ht="17.25" customHeight="1">
      <c r="A102" s="44"/>
      <c r="B102" s="44"/>
      <c r="C102" s="44"/>
      <c r="D102" s="44"/>
      <c r="E102" s="44"/>
      <c r="F102" s="44"/>
      <c r="G102" s="44"/>
      <c r="H102" s="44"/>
      <c r="I102" s="44"/>
      <c r="J102" s="44"/>
      <c r="K102" s="44"/>
      <c r="L102" s="44"/>
      <c r="M102" s="44"/>
      <c r="N102" s="44"/>
      <c r="O102" s="44"/>
    </row>
    <row r="103" spans="1:15" ht="17.25" customHeight="1">
      <c r="A103" s="44"/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</row>
    <row r="104" spans="1:15" ht="17.25" customHeight="1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</row>
    <row r="105" spans="1:15" ht="17.25" customHeight="1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</row>
    <row r="106" spans="1:15" ht="17.25" customHeight="1">
      <c r="A106" s="44"/>
      <c r="B106" s="44"/>
      <c r="C106" s="44"/>
      <c r="D106" s="44"/>
      <c r="E106" s="44"/>
      <c r="F106" s="44"/>
      <c r="G106" s="44"/>
      <c r="H106" s="44"/>
      <c r="I106" s="44"/>
      <c r="J106" s="44"/>
      <c r="K106" s="44"/>
      <c r="L106" s="44"/>
      <c r="M106" s="44"/>
      <c r="N106" s="44"/>
      <c r="O106" s="44"/>
    </row>
    <row r="107" spans="1:15" ht="17.25" customHeight="1">
      <c r="A107" s="44"/>
      <c r="B107" s="44"/>
      <c r="C107" s="44"/>
      <c r="D107" s="44"/>
      <c r="E107" s="44"/>
      <c r="F107" s="44"/>
      <c r="G107" s="44"/>
      <c r="H107" s="44"/>
      <c r="I107" s="44"/>
      <c r="J107" s="44"/>
      <c r="K107" s="44"/>
      <c r="L107" s="44"/>
      <c r="M107" s="44"/>
      <c r="N107" s="44"/>
      <c r="O107" s="44"/>
    </row>
    <row r="108" spans="1:15" ht="17.25" customHeight="1">
      <c r="A108" s="44"/>
      <c r="B108" s="44"/>
      <c r="C108" s="44"/>
      <c r="D108" s="44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</row>
    <row r="109" spans="1:15" ht="17.25" customHeight="1">
      <c r="A109" s="44"/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  <c r="N109" s="44"/>
      <c r="O109" s="44"/>
    </row>
    <row r="110" spans="1:15" ht="17.25" customHeight="1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</row>
    <row r="111" spans="1:15" ht="17.25" customHeight="1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</row>
    <row r="112" spans="1:15" ht="17.25" customHeight="1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</row>
    <row r="113" spans="1:15" ht="17.25" customHeight="1">
      <c r="A113" s="44"/>
      <c r="B113" s="44"/>
      <c r="C113" s="44"/>
      <c r="D113" s="44"/>
      <c r="E113" s="44"/>
      <c r="F113" s="44"/>
      <c r="G113" s="44"/>
      <c r="H113" s="44"/>
      <c r="I113" s="44"/>
      <c r="J113" s="44"/>
      <c r="K113" s="44"/>
      <c r="L113" s="44"/>
      <c r="M113" s="44"/>
      <c r="N113" s="44"/>
      <c r="O113" s="44"/>
    </row>
    <row r="114" spans="1:15" ht="17.25" customHeight="1">
      <c r="A114" s="44"/>
      <c r="B114" s="44"/>
      <c r="C114" s="44"/>
      <c r="D114" s="44"/>
      <c r="E114" s="44"/>
      <c r="F114" s="44"/>
      <c r="G114" s="44"/>
      <c r="H114" s="44"/>
      <c r="I114" s="44"/>
      <c r="J114" s="44"/>
      <c r="K114" s="44"/>
      <c r="L114" s="44"/>
      <c r="M114" s="44"/>
      <c r="N114" s="44"/>
      <c r="O114" s="44"/>
    </row>
    <row r="115" spans="1:15" ht="17.25" customHeight="1">
      <c r="A115" s="44"/>
      <c r="B115" s="44"/>
      <c r="C115" s="44"/>
      <c r="D115" s="44"/>
      <c r="E115" s="44"/>
      <c r="F115" s="44"/>
      <c r="G115" s="44"/>
      <c r="H115" s="44"/>
      <c r="I115" s="44"/>
      <c r="J115" s="44"/>
      <c r="K115" s="44"/>
      <c r="L115" s="44"/>
      <c r="M115" s="44"/>
      <c r="N115" s="44"/>
      <c r="O115" s="44"/>
    </row>
    <row r="116" spans="1:15" ht="17.25" customHeight="1">
      <c r="A116" s="44"/>
      <c r="B116" s="44"/>
      <c r="C116" s="44"/>
      <c r="D116" s="44"/>
      <c r="E116" s="44"/>
      <c r="F116" s="44"/>
      <c r="G116" s="44"/>
      <c r="H116" s="44"/>
      <c r="I116" s="44"/>
      <c r="J116" s="44"/>
      <c r="K116" s="44"/>
      <c r="L116" s="44"/>
      <c r="M116" s="44"/>
      <c r="N116" s="44"/>
      <c r="O116" s="44"/>
    </row>
    <row r="117" spans="1:15" ht="17.25" customHeight="1">
      <c r="A117" s="44"/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</row>
    <row r="118" spans="1:15" ht="17.25" customHeight="1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</row>
    <row r="119" spans="1:15" ht="17.25" customHeight="1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</row>
    <row r="120" spans="1:15" ht="17.25" customHeight="1">
      <c r="A120" s="44"/>
      <c r="B120" s="44"/>
      <c r="C120" s="44"/>
      <c r="D120" s="44"/>
      <c r="E120" s="44"/>
      <c r="F120" s="44"/>
      <c r="G120" s="44"/>
      <c r="H120" s="44"/>
      <c r="I120" s="44"/>
      <c r="J120" s="44"/>
      <c r="K120" s="44"/>
      <c r="L120" s="44"/>
      <c r="M120" s="44"/>
      <c r="N120" s="44"/>
      <c r="O120" s="44"/>
    </row>
    <row r="121" spans="1:15" ht="17.25" customHeight="1">
      <c r="A121" s="44"/>
      <c r="B121" s="44"/>
      <c r="C121" s="44"/>
      <c r="D121" s="44"/>
      <c r="E121" s="44"/>
      <c r="F121" s="44"/>
      <c r="G121" s="44"/>
      <c r="H121" s="44"/>
      <c r="I121" s="44"/>
      <c r="J121" s="44"/>
      <c r="K121" s="44"/>
      <c r="L121" s="44"/>
      <c r="M121" s="44"/>
      <c r="N121" s="44"/>
      <c r="O121" s="44"/>
    </row>
    <row r="122" spans="1:15" ht="17.25" customHeight="1">
      <c r="A122" s="44"/>
      <c r="B122" s="44"/>
      <c r="C122" s="44"/>
      <c r="D122" s="44"/>
      <c r="E122" s="44"/>
      <c r="F122" s="44"/>
      <c r="G122" s="44"/>
      <c r="H122" s="44"/>
      <c r="I122" s="44"/>
      <c r="J122" s="44"/>
      <c r="K122" s="44"/>
      <c r="L122" s="44"/>
      <c r="M122" s="44"/>
      <c r="N122" s="44"/>
      <c r="O122" s="44"/>
    </row>
    <row r="123" spans="1:15" ht="17.25" customHeight="1">
      <c r="A123" s="44"/>
      <c r="B123" s="44"/>
      <c r="C123" s="44"/>
      <c r="D123" s="44"/>
      <c r="E123" s="44"/>
      <c r="F123" s="44"/>
      <c r="G123" s="44"/>
      <c r="H123" s="44"/>
      <c r="I123" s="44"/>
      <c r="J123" s="44"/>
      <c r="K123" s="44"/>
      <c r="L123" s="44"/>
      <c r="M123" s="44"/>
      <c r="N123" s="44"/>
      <c r="O123" s="44"/>
    </row>
    <row r="124" spans="1:15" ht="17.25" customHeight="1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</row>
    <row r="125" spans="1:15" ht="17.25" customHeight="1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</row>
    <row r="126" spans="1:15" ht="17.25" customHeight="1">
      <c r="A126" s="44"/>
      <c r="B126" s="44"/>
      <c r="C126" s="44"/>
      <c r="D126" s="44"/>
      <c r="E126" s="44"/>
      <c r="F126" s="44"/>
      <c r="G126" s="44"/>
      <c r="H126" s="44"/>
      <c r="I126" s="44"/>
      <c r="J126" s="44"/>
      <c r="K126" s="44"/>
      <c r="L126" s="44"/>
      <c r="M126" s="44"/>
      <c r="N126" s="44"/>
      <c r="O126" s="44"/>
    </row>
    <row r="127" spans="1:15" ht="17.25" customHeight="1">
      <c r="A127" s="44"/>
      <c r="B127" s="44"/>
      <c r="C127" s="44"/>
      <c r="D127" s="44"/>
      <c r="E127" s="44"/>
      <c r="F127" s="44"/>
      <c r="G127" s="44"/>
      <c r="H127" s="44"/>
      <c r="I127" s="44"/>
      <c r="J127" s="44"/>
      <c r="K127" s="44"/>
      <c r="L127" s="44"/>
      <c r="M127" s="44"/>
      <c r="N127" s="44"/>
      <c r="O127" s="44"/>
    </row>
    <row r="128" spans="1:15" ht="17.25" customHeight="1">
      <c r="A128" s="44"/>
      <c r="B128" s="44"/>
      <c r="C128" s="44"/>
      <c r="D128" s="44"/>
      <c r="E128" s="44"/>
      <c r="F128" s="44"/>
      <c r="G128" s="44"/>
      <c r="H128" s="44"/>
      <c r="I128" s="44"/>
      <c r="J128" s="44"/>
      <c r="K128" s="44"/>
      <c r="L128" s="44"/>
      <c r="M128" s="44"/>
      <c r="N128" s="44"/>
      <c r="O128" s="44"/>
    </row>
    <row r="129" spans="1:15" ht="17.25" customHeight="1">
      <c r="A129" s="44"/>
      <c r="B129" s="44"/>
      <c r="C129" s="44"/>
      <c r="D129" s="44"/>
      <c r="E129" s="44"/>
      <c r="F129" s="44"/>
      <c r="G129" s="44"/>
      <c r="H129" s="44"/>
      <c r="I129" s="44"/>
      <c r="J129" s="44"/>
      <c r="K129" s="44"/>
      <c r="L129" s="44"/>
      <c r="M129" s="44"/>
      <c r="N129" s="44"/>
      <c r="O129" s="44"/>
    </row>
    <row r="130" spans="1:15" ht="17.25" customHeight="1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</row>
    <row r="131" spans="1:15" ht="17.25" customHeight="1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</row>
    <row r="132" spans="1:15" ht="17.25" customHeight="1">
      <c r="A132" s="44"/>
      <c r="B132" s="44"/>
      <c r="C132" s="44"/>
      <c r="D132" s="44"/>
      <c r="E132" s="44"/>
      <c r="F132" s="44"/>
      <c r="G132" s="44"/>
      <c r="H132" s="44"/>
      <c r="I132" s="44"/>
      <c r="J132" s="44"/>
      <c r="K132" s="44"/>
      <c r="L132" s="44"/>
      <c r="M132" s="44"/>
      <c r="N132" s="44"/>
      <c r="O132" s="44"/>
    </row>
    <row r="133" spans="1:15" ht="17.25" customHeight="1">
      <c r="A133" s="44"/>
      <c r="B133" s="44"/>
      <c r="C133" s="44"/>
      <c r="D133" s="44"/>
      <c r="E133" s="44"/>
      <c r="F133" s="44"/>
      <c r="G133" s="44"/>
      <c r="H133" s="44"/>
      <c r="I133" s="44"/>
      <c r="J133" s="44"/>
      <c r="K133" s="44"/>
      <c r="L133" s="44"/>
      <c r="M133" s="44"/>
      <c r="N133" s="44"/>
      <c r="O133" s="44"/>
    </row>
    <row r="134" spans="1:15" ht="17.25" customHeight="1">
      <c r="A134" s="44"/>
      <c r="B134" s="44"/>
      <c r="C134" s="44"/>
      <c r="D134" s="44"/>
      <c r="E134" s="44"/>
      <c r="F134" s="44"/>
      <c r="G134" s="44"/>
      <c r="H134" s="44"/>
      <c r="I134" s="44"/>
      <c r="J134" s="44"/>
      <c r="K134" s="44"/>
      <c r="L134" s="44"/>
      <c r="M134" s="44"/>
      <c r="N134" s="44"/>
      <c r="O134" s="44"/>
    </row>
    <row r="135" spans="1:15" ht="17.25" customHeight="1">
      <c r="A135" s="44"/>
      <c r="B135" s="44"/>
      <c r="C135" s="44"/>
      <c r="D135" s="44"/>
      <c r="E135" s="44"/>
      <c r="F135" s="44"/>
      <c r="G135" s="44"/>
      <c r="H135" s="44"/>
      <c r="I135" s="44"/>
      <c r="J135" s="44"/>
      <c r="K135" s="44"/>
      <c r="L135" s="44"/>
      <c r="M135" s="44"/>
      <c r="N135" s="44"/>
      <c r="O135" s="44"/>
    </row>
    <row r="136" spans="1:15" ht="17.25" customHeight="1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</row>
    <row r="137" spans="1:15" ht="17.25" customHeight="1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</row>
    <row r="138" spans="1:15" ht="17.25" customHeight="1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</row>
    <row r="139" spans="1:15" ht="17.25" customHeight="1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</row>
    <row r="140" spans="1:15" ht="17.25" customHeight="1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</row>
    <row r="141" spans="1:15" ht="17.25" customHeight="1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</row>
    <row r="142" spans="1:15" ht="17.25" customHeight="1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</row>
    <row r="143" spans="1:15" ht="17.25" customHeight="1">
      <c r="A143" s="44"/>
      <c r="B143" s="44"/>
      <c r="C143" s="44"/>
      <c r="D143" s="44"/>
      <c r="E143" s="44"/>
      <c r="F143" s="44"/>
      <c r="G143" s="44"/>
      <c r="H143" s="44"/>
      <c r="I143" s="44"/>
      <c r="J143" s="44"/>
      <c r="K143" s="44"/>
      <c r="L143" s="44"/>
      <c r="M143" s="44"/>
      <c r="N143" s="44"/>
      <c r="O143" s="44"/>
    </row>
    <row r="144" spans="1:15" ht="17.25" customHeight="1">
      <c r="A144" s="44"/>
      <c r="B144" s="44"/>
      <c r="C144" s="44"/>
      <c r="D144" s="44"/>
      <c r="E144" s="44"/>
      <c r="F144" s="44"/>
      <c r="G144" s="44"/>
      <c r="H144" s="44"/>
      <c r="I144" s="44"/>
      <c r="J144" s="44"/>
      <c r="K144" s="44"/>
      <c r="L144" s="44"/>
      <c r="M144" s="44"/>
      <c r="N144" s="44"/>
      <c r="O144" s="44"/>
    </row>
    <row r="145" spans="1:15" ht="17.25" customHeight="1">
      <c r="A145" s="44"/>
      <c r="B145" s="44"/>
      <c r="C145" s="44"/>
      <c r="D145" s="44"/>
      <c r="E145" s="44"/>
      <c r="F145" s="44"/>
      <c r="G145" s="44"/>
      <c r="H145" s="44"/>
      <c r="I145" s="44"/>
      <c r="J145" s="44"/>
      <c r="K145" s="44"/>
      <c r="L145" s="44"/>
      <c r="M145" s="44"/>
      <c r="N145" s="44"/>
      <c r="O145" s="44"/>
    </row>
    <row r="146" spans="1:15" ht="17.25" customHeight="1">
      <c r="A146" s="44"/>
      <c r="B146" s="44"/>
      <c r="C146" s="44"/>
      <c r="D146" s="44"/>
      <c r="E146" s="44"/>
      <c r="F146" s="44"/>
      <c r="G146" s="44"/>
      <c r="H146" s="44"/>
      <c r="I146" s="44"/>
      <c r="J146" s="44"/>
      <c r="K146" s="44"/>
      <c r="L146" s="44"/>
      <c r="M146" s="44"/>
      <c r="N146" s="44"/>
      <c r="O146" s="44"/>
    </row>
    <row r="147" spans="1:15" ht="17.25" customHeight="1">
      <c r="A147" s="44"/>
      <c r="B147" s="44"/>
      <c r="C147" s="44"/>
      <c r="D147" s="44"/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44"/>
    </row>
    <row r="148" spans="1:15" ht="17.25" customHeight="1">
      <c r="A148" s="44"/>
      <c r="B148" s="44"/>
      <c r="C148" s="44"/>
      <c r="D148" s="44"/>
      <c r="E148" s="44"/>
      <c r="F148" s="44"/>
      <c r="G148" s="44"/>
      <c r="H148" s="44"/>
      <c r="I148" s="44"/>
      <c r="J148" s="44"/>
      <c r="K148" s="44"/>
      <c r="L148" s="44"/>
      <c r="M148" s="44"/>
      <c r="N148" s="44"/>
      <c r="O148" s="44"/>
    </row>
    <row r="149" spans="1:15" ht="17.25" customHeight="1">
      <c r="A149" s="44"/>
      <c r="B149" s="44"/>
      <c r="C149" s="44"/>
      <c r="D149" s="44"/>
      <c r="E149" s="44"/>
      <c r="F149" s="44"/>
      <c r="G149" s="44"/>
      <c r="H149" s="44"/>
      <c r="I149" s="44"/>
      <c r="J149" s="44"/>
      <c r="K149" s="44"/>
      <c r="L149" s="44"/>
      <c r="M149" s="44"/>
      <c r="N149" s="44"/>
      <c r="O149" s="44"/>
    </row>
    <row r="150" spans="1:15" ht="17.25" customHeight="1">
      <c r="A150" s="44"/>
      <c r="B150" s="44"/>
      <c r="C150" s="44"/>
      <c r="D150" s="44"/>
      <c r="E150" s="44"/>
      <c r="F150" s="44"/>
      <c r="G150" s="44"/>
      <c r="H150" s="44"/>
      <c r="I150" s="44"/>
      <c r="J150" s="44"/>
      <c r="K150" s="44"/>
      <c r="L150" s="44"/>
      <c r="M150" s="44"/>
      <c r="N150" s="44"/>
      <c r="O150" s="44"/>
    </row>
    <row r="151" spans="1:15" ht="17.25" customHeight="1">
      <c r="A151" s="44"/>
      <c r="B151" s="44"/>
      <c r="C151" s="44"/>
      <c r="D151" s="44"/>
      <c r="E151" s="44"/>
      <c r="F151" s="44"/>
      <c r="G151" s="44"/>
      <c r="H151" s="44"/>
      <c r="I151" s="44"/>
      <c r="J151" s="44"/>
      <c r="K151" s="44"/>
      <c r="L151" s="44"/>
      <c r="M151" s="44"/>
      <c r="N151" s="44"/>
      <c r="O151" s="44"/>
    </row>
    <row r="152" spans="1:15" ht="17.25" customHeight="1">
      <c r="A152" s="44"/>
      <c r="B152" s="44"/>
      <c r="C152" s="44"/>
      <c r="D152" s="44"/>
      <c r="E152" s="44"/>
      <c r="F152" s="44"/>
      <c r="G152" s="44"/>
      <c r="H152" s="44"/>
      <c r="I152" s="44"/>
      <c r="J152" s="44"/>
      <c r="K152" s="44"/>
      <c r="L152" s="44"/>
      <c r="M152" s="44"/>
      <c r="N152" s="44"/>
      <c r="O152" s="44"/>
    </row>
    <row r="153" spans="1:15" ht="17.25" customHeight="1">
      <c r="A153" s="44"/>
      <c r="B153" s="44"/>
      <c r="C153" s="44"/>
      <c r="D153" s="44"/>
      <c r="E153" s="44"/>
      <c r="F153" s="44"/>
      <c r="G153" s="44"/>
      <c r="H153" s="44"/>
      <c r="I153" s="44"/>
      <c r="J153" s="44"/>
      <c r="K153" s="44"/>
      <c r="L153" s="44"/>
      <c r="M153" s="44"/>
      <c r="N153" s="44"/>
      <c r="O153" s="44"/>
    </row>
    <row r="154" spans="1:15" ht="17.25" customHeight="1">
      <c r="A154" s="44"/>
      <c r="B154" s="44"/>
      <c r="C154" s="44"/>
      <c r="D154" s="44"/>
      <c r="E154" s="44"/>
      <c r="F154" s="44"/>
      <c r="G154" s="44"/>
      <c r="H154" s="44"/>
      <c r="I154" s="44"/>
      <c r="J154" s="44"/>
      <c r="K154" s="44"/>
      <c r="L154" s="44"/>
      <c r="M154" s="44"/>
      <c r="N154" s="44"/>
      <c r="O154" s="44"/>
    </row>
    <row r="155" spans="1:15" ht="17.25" customHeight="1">
      <c r="A155" s="44"/>
      <c r="B155" s="44"/>
      <c r="C155" s="44"/>
      <c r="D155" s="44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</row>
    <row r="156" spans="1:15" ht="17.25" customHeight="1">
      <c r="A156" s="44"/>
      <c r="B156" s="44"/>
      <c r="C156" s="44"/>
      <c r="D156" s="44"/>
      <c r="E156" s="44"/>
      <c r="F156" s="44"/>
      <c r="G156" s="44"/>
      <c r="H156" s="44"/>
      <c r="I156" s="44"/>
      <c r="J156" s="44"/>
      <c r="K156" s="44"/>
      <c r="L156" s="44"/>
      <c r="M156" s="44"/>
      <c r="N156" s="44"/>
      <c r="O156" s="44"/>
    </row>
    <row r="157" spans="1:15" ht="17.25" customHeight="1">
      <c r="A157" s="44"/>
      <c r="B157" s="44"/>
      <c r="C157" s="44"/>
      <c r="D157" s="44"/>
      <c r="E157" s="44"/>
      <c r="F157" s="44"/>
      <c r="G157" s="44"/>
      <c r="H157" s="44"/>
      <c r="I157" s="44"/>
      <c r="J157" s="44"/>
      <c r="K157" s="44"/>
      <c r="L157" s="44"/>
      <c r="M157" s="44"/>
      <c r="N157" s="44"/>
      <c r="O157" s="44"/>
    </row>
    <row r="158" spans="1:15" ht="17.25" customHeight="1">
      <c r="A158" s="44"/>
      <c r="B158" s="44"/>
      <c r="C158" s="44"/>
      <c r="D158" s="44"/>
      <c r="E158" s="44"/>
      <c r="F158" s="44"/>
      <c r="G158" s="44"/>
      <c r="H158" s="44"/>
      <c r="I158" s="44"/>
      <c r="J158" s="44"/>
      <c r="K158" s="44"/>
      <c r="L158" s="44"/>
      <c r="M158" s="44"/>
      <c r="N158" s="44"/>
      <c r="O158" s="44"/>
    </row>
    <row r="159" spans="1:15" ht="17.25" customHeight="1">
      <c r="A159" s="44"/>
      <c r="B159" s="44"/>
      <c r="C159" s="44"/>
      <c r="D159" s="44"/>
      <c r="E159" s="44"/>
      <c r="F159" s="44"/>
      <c r="G159" s="44"/>
      <c r="H159" s="44"/>
      <c r="I159" s="44"/>
      <c r="J159" s="44"/>
      <c r="K159" s="44"/>
      <c r="L159" s="44"/>
      <c r="M159" s="44"/>
      <c r="N159" s="44"/>
      <c r="O159" s="44"/>
    </row>
    <row r="160" spans="1:15" ht="17.25" customHeight="1">
      <c r="A160" s="44"/>
      <c r="B160" s="44"/>
      <c r="C160" s="44"/>
      <c r="D160" s="44"/>
      <c r="E160" s="44"/>
      <c r="F160" s="44"/>
      <c r="G160" s="44"/>
      <c r="H160" s="44"/>
      <c r="I160" s="44"/>
      <c r="J160" s="44"/>
      <c r="K160" s="44"/>
      <c r="L160" s="44"/>
      <c r="M160" s="44"/>
      <c r="N160" s="44"/>
      <c r="O160" s="44"/>
    </row>
    <row r="161" spans="1:15" ht="17.25" customHeight="1">
      <c r="A161" s="44"/>
      <c r="B161" s="44"/>
      <c r="C161" s="44"/>
      <c r="D161" s="44"/>
      <c r="E161" s="44"/>
      <c r="F161" s="44"/>
      <c r="G161" s="44"/>
      <c r="H161" s="44"/>
      <c r="I161" s="44"/>
      <c r="J161" s="44"/>
      <c r="K161" s="44"/>
      <c r="L161" s="44"/>
      <c r="M161" s="44"/>
      <c r="N161" s="44"/>
      <c r="O161" s="44"/>
    </row>
    <row r="162" spans="1:15" ht="17.25" customHeight="1">
      <c r="A162" s="44"/>
      <c r="B162" s="44"/>
      <c r="C162" s="44"/>
      <c r="D162" s="44"/>
      <c r="E162" s="44"/>
      <c r="F162" s="44"/>
      <c r="G162" s="44"/>
      <c r="H162" s="44"/>
      <c r="I162" s="44"/>
      <c r="J162" s="44"/>
      <c r="K162" s="44"/>
      <c r="L162" s="44"/>
      <c r="M162" s="44"/>
      <c r="N162" s="44"/>
      <c r="O162" s="44"/>
    </row>
    <row r="163" spans="1:15" ht="17.25" customHeight="1">
      <c r="A163" s="44"/>
      <c r="B163" s="44"/>
      <c r="C163" s="44"/>
      <c r="D163" s="44"/>
      <c r="E163" s="44"/>
      <c r="F163" s="44"/>
      <c r="G163" s="44"/>
      <c r="H163" s="44"/>
      <c r="I163" s="44"/>
      <c r="J163" s="44"/>
      <c r="K163" s="44"/>
      <c r="L163" s="44"/>
      <c r="M163" s="44"/>
      <c r="N163" s="44"/>
      <c r="O163" s="44"/>
    </row>
    <row r="164" spans="1:15" ht="17.25" customHeight="1">
      <c r="A164" s="44"/>
      <c r="B164" s="44"/>
      <c r="C164" s="44"/>
      <c r="D164" s="44"/>
      <c r="E164" s="44"/>
      <c r="F164" s="44"/>
      <c r="G164" s="44"/>
      <c r="H164" s="44"/>
      <c r="I164" s="44"/>
      <c r="J164" s="44"/>
      <c r="K164" s="44"/>
      <c r="L164" s="44"/>
      <c r="M164" s="44"/>
      <c r="N164" s="44"/>
      <c r="O164" s="44"/>
    </row>
    <row r="165" spans="1:15" ht="17.25" customHeight="1">
      <c r="A165" s="44"/>
      <c r="B165" s="44"/>
      <c r="C165" s="44"/>
      <c r="D165" s="44"/>
      <c r="E165" s="44"/>
      <c r="F165" s="44"/>
      <c r="G165" s="44"/>
      <c r="H165" s="44"/>
      <c r="I165" s="44"/>
      <c r="J165" s="44"/>
      <c r="K165" s="44"/>
      <c r="L165" s="44"/>
      <c r="M165" s="44"/>
      <c r="N165" s="44"/>
      <c r="O165" s="44"/>
    </row>
    <row r="166" spans="1:15" ht="17.25" customHeight="1">
      <c r="A166" s="44"/>
      <c r="B166" s="44"/>
      <c r="C166" s="44"/>
      <c r="D166" s="44"/>
      <c r="E166" s="44"/>
      <c r="F166" s="44"/>
      <c r="G166" s="44"/>
      <c r="H166" s="44"/>
      <c r="I166" s="44"/>
      <c r="J166" s="44"/>
      <c r="K166" s="44"/>
      <c r="L166" s="44"/>
      <c r="M166" s="44"/>
      <c r="N166" s="44"/>
      <c r="O166" s="44"/>
    </row>
    <row r="167" spans="1:15" ht="17.25" customHeight="1">
      <c r="A167" s="44"/>
      <c r="B167" s="44"/>
      <c r="C167" s="44"/>
      <c r="D167" s="44"/>
      <c r="E167" s="44"/>
      <c r="F167" s="44"/>
      <c r="G167" s="44"/>
      <c r="H167" s="44"/>
      <c r="I167" s="44"/>
      <c r="J167" s="44"/>
      <c r="K167" s="44"/>
      <c r="L167" s="44"/>
      <c r="M167" s="44"/>
      <c r="N167" s="44"/>
      <c r="O167" s="44"/>
    </row>
    <row r="168" spans="1:15" ht="17.25" customHeight="1">
      <c r="A168" s="44"/>
      <c r="B168" s="44"/>
      <c r="C168" s="44"/>
      <c r="D168" s="44"/>
      <c r="E168" s="44"/>
      <c r="F168" s="44"/>
      <c r="G168" s="44"/>
      <c r="H168" s="44"/>
      <c r="I168" s="44"/>
      <c r="J168" s="44"/>
      <c r="K168" s="44"/>
      <c r="L168" s="44"/>
      <c r="M168" s="44"/>
      <c r="N168" s="44"/>
      <c r="O168" s="44"/>
    </row>
    <row r="169" spans="1:15" ht="17.25" customHeight="1">
      <c r="A169" s="44"/>
      <c r="B169" s="44"/>
      <c r="C169" s="44"/>
      <c r="D169" s="44"/>
      <c r="E169" s="44"/>
      <c r="F169" s="44"/>
      <c r="G169" s="44"/>
      <c r="H169" s="44"/>
      <c r="I169" s="44"/>
      <c r="J169" s="44"/>
      <c r="K169" s="44"/>
      <c r="L169" s="44"/>
      <c r="M169" s="44"/>
      <c r="N169" s="44"/>
      <c r="O169" s="44"/>
    </row>
    <row r="170" spans="1:15" ht="17.25" customHeight="1">
      <c r="A170" s="44"/>
      <c r="B170" s="44"/>
      <c r="C170" s="44"/>
      <c r="D170" s="44"/>
      <c r="E170" s="44"/>
      <c r="F170" s="44"/>
      <c r="G170" s="44"/>
      <c r="H170" s="44"/>
      <c r="I170" s="44"/>
      <c r="J170" s="44"/>
      <c r="K170" s="44"/>
      <c r="L170" s="44"/>
      <c r="M170" s="44"/>
      <c r="N170" s="44"/>
      <c r="O170" s="44"/>
    </row>
    <row r="171" spans="1:15" ht="17.25" customHeight="1">
      <c r="A171" s="44"/>
      <c r="B171" s="44"/>
      <c r="C171" s="44"/>
      <c r="D171" s="44"/>
      <c r="E171" s="44"/>
      <c r="F171" s="44"/>
      <c r="G171" s="44"/>
      <c r="H171" s="44"/>
      <c r="I171" s="44"/>
      <c r="J171" s="44"/>
      <c r="K171" s="44"/>
      <c r="L171" s="44"/>
      <c r="M171" s="44"/>
      <c r="N171" s="44"/>
      <c r="O171" s="44"/>
    </row>
    <row r="172" spans="1:15" ht="17.25" customHeight="1">
      <c r="A172" s="44"/>
      <c r="B172" s="44"/>
      <c r="C172" s="44"/>
      <c r="D172" s="44"/>
      <c r="E172" s="44"/>
      <c r="F172" s="44"/>
      <c r="G172" s="44"/>
      <c r="H172" s="44"/>
      <c r="I172" s="44"/>
      <c r="J172" s="44"/>
      <c r="K172" s="44"/>
      <c r="L172" s="44"/>
      <c r="M172" s="44"/>
      <c r="N172" s="44"/>
      <c r="O172" s="44"/>
    </row>
    <row r="173" spans="1:15" ht="17.25" customHeight="1">
      <c r="A173" s="44"/>
      <c r="B173" s="44"/>
      <c r="C173" s="44"/>
      <c r="D173" s="44"/>
      <c r="E173" s="44"/>
      <c r="F173" s="44"/>
      <c r="G173" s="44"/>
      <c r="H173" s="44"/>
      <c r="I173" s="44"/>
      <c r="J173" s="44"/>
      <c r="K173" s="44"/>
      <c r="L173" s="44"/>
      <c r="M173" s="44"/>
      <c r="N173" s="44"/>
      <c r="O173" s="44"/>
    </row>
    <row r="174" spans="1:15" ht="17.25" customHeight="1">
      <c r="A174" s="44"/>
      <c r="B174" s="44"/>
      <c r="C174" s="44"/>
      <c r="D174" s="44"/>
      <c r="E174" s="44"/>
      <c r="F174" s="44"/>
      <c r="G174" s="44"/>
      <c r="H174" s="44"/>
      <c r="I174" s="44"/>
      <c r="J174" s="44"/>
      <c r="K174" s="44"/>
      <c r="L174" s="44"/>
      <c r="M174" s="44"/>
      <c r="N174" s="44"/>
      <c r="O174" s="44"/>
    </row>
    <row r="175" spans="1:15" ht="17.25" customHeight="1">
      <c r="A175" s="44"/>
      <c r="B175" s="44"/>
      <c r="C175" s="44"/>
      <c r="D175" s="44"/>
      <c r="E175" s="44"/>
      <c r="F175" s="44"/>
      <c r="G175" s="44"/>
      <c r="H175" s="44"/>
      <c r="I175" s="44"/>
      <c r="J175" s="44"/>
      <c r="K175" s="44"/>
      <c r="L175" s="44"/>
      <c r="M175" s="44"/>
      <c r="N175" s="44"/>
      <c r="O175" s="44"/>
    </row>
    <row r="176" spans="1:15" ht="17.25" customHeight="1">
      <c r="A176" s="44"/>
      <c r="B176" s="44"/>
      <c r="C176" s="44"/>
      <c r="D176" s="44"/>
      <c r="E176" s="44"/>
      <c r="F176" s="44"/>
      <c r="G176" s="44"/>
      <c r="H176" s="44"/>
      <c r="I176" s="44"/>
      <c r="J176" s="44"/>
      <c r="K176" s="44"/>
      <c r="L176" s="44"/>
      <c r="M176" s="44"/>
      <c r="N176" s="44"/>
      <c r="O176" s="44"/>
    </row>
    <row r="177" spans="1:15" ht="17.25" customHeight="1">
      <c r="A177" s="44"/>
      <c r="B177" s="44"/>
      <c r="C177" s="44"/>
      <c r="D177" s="44"/>
      <c r="E177" s="44"/>
      <c r="F177" s="44"/>
      <c r="G177" s="44"/>
      <c r="H177" s="44"/>
      <c r="I177" s="44"/>
      <c r="J177" s="44"/>
      <c r="K177" s="44"/>
      <c r="L177" s="44"/>
      <c r="M177" s="44"/>
      <c r="N177" s="44"/>
      <c r="O177" s="44"/>
    </row>
    <row r="178" spans="1:15" ht="17.25" customHeight="1">
      <c r="A178" s="44"/>
      <c r="B178" s="44"/>
      <c r="C178" s="44"/>
      <c r="D178" s="44"/>
      <c r="E178" s="44"/>
      <c r="F178" s="44"/>
      <c r="G178" s="44"/>
      <c r="H178" s="44"/>
      <c r="I178" s="44"/>
      <c r="J178" s="44"/>
      <c r="K178" s="44"/>
      <c r="L178" s="44"/>
      <c r="M178" s="44"/>
      <c r="N178" s="44"/>
      <c r="O178" s="44"/>
    </row>
    <row r="179" spans="1:15" ht="17.25" customHeight="1">
      <c r="A179" s="44"/>
      <c r="B179" s="44"/>
      <c r="C179" s="44"/>
      <c r="D179" s="44"/>
      <c r="E179" s="44"/>
      <c r="F179" s="44"/>
      <c r="G179" s="44"/>
      <c r="H179" s="44"/>
      <c r="I179" s="44"/>
      <c r="J179" s="44"/>
      <c r="K179" s="44"/>
      <c r="L179" s="44"/>
      <c r="M179" s="44"/>
      <c r="N179" s="44"/>
      <c r="O179" s="44"/>
    </row>
    <row r="180" spans="1:15" ht="17.25" customHeight="1">
      <c r="A180" s="44"/>
      <c r="B180" s="44"/>
      <c r="C180" s="44"/>
      <c r="D180" s="44"/>
      <c r="E180" s="44"/>
      <c r="F180" s="44"/>
      <c r="G180" s="44"/>
      <c r="H180" s="44"/>
      <c r="I180" s="44"/>
      <c r="J180" s="44"/>
      <c r="K180" s="44"/>
      <c r="L180" s="44"/>
      <c r="M180" s="44"/>
      <c r="N180" s="44"/>
      <c r="O180" s="44"/>
    </row>
    <row r="181" spans="1:15" ht="17.25" customHeight="1">
      <c r="A181" s="44"/>
      <c r="B181" s="44"/>
      <c r="C181" s="44"/>
      <c r="D181" s="44"/>
      <c r="E181" s="44"/>
      <c r="F181" s="44"/>
      <c r="G181" s="44"/>
      <c r="H181" s="44"/>
      <c r="I181" s="44"/>
      <c r="J181" s="44"/>
      <c r="K181" s="44"/>
      <c r="L181" s="44"/>
      <c r="M181" s="44"/>
      <c r="N181" s="44"/>
      <c r="O181" s="44"/>
    </row>
    <row r="182" spans="1:15" ht="17.25" customHeight="1">
      <c r="A182" s="44"/>
      <c r="B182" s="44"/>
      <c r="C182" s="44"/>
      <c r="D182" s="44"/>
      <c r="E182" s="44"/>
      <c r="F182" s="44"/>
      <c r="G182" s="44"/>
      <c r="H182" s="44"/>
      <c r="I182" s="44"/>
      <c r="J182" s="44"/>
      <c r="K182" s="44"/>
      <c r="L182" s="44"/>
      <c r="M182" s="44"/>
      <c r="N182" s="44"/>
      <c r="O182" s="44"/>
    </row>
    <row r="183" spans="1:15" ht="17.25" customHeight="1">
      <c r="A183" s="44"/>
      <c r="B183" s="44"/>
      <c r="C183" s="44"/>
      <c r="D183" s="44"/>
      <c r="E183" s="44"/>
      <c r="F183" s="44"/>
      <c r="G183" s="44"/>
      <c r="H183" s="44"/>
      <c r="I183" s="44"/>
      <c r="J183" s="44"/>
      <c r="K183" s="44"/>
      <c r="L183" s="44"/>
      <c r="M183" s="44"/>
      <c r="N183" s="44"/>
      <c r="O183" s="44"/>
    </row>
    <row r="184" spans="1:15" ht="17.25" customHeight="1">
      <c r="A184" s="44"/>
      <c r="B184" s="44"/>
      <c r="C184" s="44"/>
      <c r="D184" s="44"/>
      <c r="E184" s="44"/>
      <c r="F184" s="44"/>
      <c r="G184" s="44"/>
      <c r="H184" s="44"/>
      <c r="I184" s="44"/>
      <c r="J184" s="44"/>
      <c r="K184" s="44"/>
      <c r="L184" s="44"/>
      <c r="M184" s="44"/>
      <c r="N184" s="44"/>
      <c r="O184" s="44"/>
    </row>
    <row r="185" spans="1:15" ht="17.25" customHeight="1">
      <c r="A185" s="44"/>
      <c r="B185" s="44"/>
      <c r="C185" s="44"/>
      <c r="D185" s="44"/>
      <c r="E185" s="44"/>
      <c r="F185" s="44"/>
      <c r="G185" s="44"/>
      <c r="H185" s="44"/>
      <c r="I185" s="44"/>
      <c r="J185" s="44"/>
      <c r="K185" s="44"/>
      <c r="L185" s="44"/>
      <c r="M185" s="44"/>
      <c r="N185" s="44"/>
      <c r="O185" s="44"/>
    </row>
    <row r="186" spans="1:15" ht="17.25" customHeight="1">
      <c r="A186" s="44"/>
      <c r="B186" s="44"/>
      <c r="C186" s="44"/>
      <c r="D186" s="44"/>
      <c r="E186" s="44"/>
      <c r="F186" s="44"/>
      <c r="G186" s="44"/>
      <c r="H186" s="44"/>
      <c r="I186" s="44"/>
      <c r="J186" s="44"/>
      <c r="K186" s="44"/>
      <c r="L186" s="44"/>
      <c r="M186" s="44"/>
      <c r="N186" s="44"/>
      <c r="O186" s="44"/>
    </row>
    <row r="187" spans="1:15" ht="17.25" customHeight="1">
      <c r="A187" s="44"/>
      <c r="B187" s="44"/>
      <c r="C187" s="44"/>
      <c r="D187" s="44"/>
      <c r="E187" s="44"/>
      <c r="F187" s="44"/>
      <c r="G187" s="44"/>
      <c r="H187" s="44"/>
      <c r="I187" s="44"/>
      <c r="J187" s="44"/>
      <c r="K187" s="44"/>
      <c r="L187" s="44"/>
      <c r="M187" s="44"/>
      <c r="N187" s="44"/>
      <c r="O187" s="44"/>
    </row>
    <row r="188" spans="1:15" ht="17.25" customHeight="1">
      <c r="A188" s="44"/>
      <c r="B188" s="44"/>
      <c r="C188" s="44"/>
      <c r="D188" s="44"/>
      <c r="E188" s="44"/>
      <c r="F188" s="44"/>
      <c r="G188" s="44"/>
      <c r="H188" s="44"/>
      <c r="I188" s="44"/>
      <c r="J188" s="44"/>
      <c r="K188" s="44"/>
      <c r="L188" s="44"/>
      <c r="M188" s="44"/>
      <c r="N188" s="44"/>
      <c r="O188" s="44"/>
    </row>
    <row r="189" spans="1:15" ht="17.25" customHeight="1">
      <c r="A189" s="44"/>
      <c r="B189" s="44"/>
      <c r="C189" s="44"/>
      <c r="D189" s="44"/>
      <c r="E189" s="44"/>
      <c r="F189" s="44"/>
      <c r="G189" s="44"/>
      <c r="H189" s="44"/>
      <c r="I189" s="44"/>
      <c r="J189" s="44"/>
      <c r="K189" s="44"/>
      <c r="L189" s="44"/>
      <c r="M189" s="44"/>
      <c r="N189" s="44"/>
      <c r="O189" s="44"/>
    </row>
    <row r="190" spans="1:15" ht="17.25" customHeight="1">
      <c r="A190" s="44"/>
      <c r="B190" s="44"/>
      <c r="C190" s="44"/>
      <c r="D190" s="44"/>
      <c r="E190" s="44"/>
      <c r="F190" s="44"/>
      <c r="G190" s="44"/>
      <c r="H190" s="44"/>
      <c r="I190" s="44"/>
      <c r="J190" s="44"/>
      <c r="K190" s="44"/>
      <c r="L190" s="44"/>
      <c r="M190" s="44"/>
      <c r="N190" s="44"/>
      <c r="O190" s="44"/>
    </row>
    <row r="191" spans="1:15" ht="17.25" customHeight="1">
      <c r="A191" s="44"/>
      <c r="B191" s="44"/>
      <c r="C191" s="44"/>
      <c r="D191" s="44"/>
      <c r="E191" s="44"/>
      <c r="F191" s="44"/>
      <c r="G191" s="44"/>
      <c r="H191" s="44"/>
      <c r="I191" s="44"/>
      <c r="J191" s="44"/>
      <c r="K191" s="44"/>
      <c r="L191" s="44"/>
      <c r="M191" s="44"/>
      <c r="N191" s="44"/>
      <c r="O191" s="44"/>
    </row>
    <row r="192" spans="1:15" ht="17.25" customHeight="1">
      <c r="A192" s="44"/>
      <c r="B192" s="44"/>
      <c r="C192" s="44"/>
      <c r="D192" s="44"/>
      <c r="E192" s="44"/>
      <c r="F192" s="44"/>
      <c r="G192" s="44"/>
      <c r="H192" s="44"/>
      <c r="I192" s="44"/>
      <c r="J192" s="44"/>
      <c r="K192" s="44"/>
      <c r="L192" s="44"/>
      <c r="M192" s="44"/>
      <c r="N192" s="44"/>
      <c r="O192" s="44"/>
    </row>
    <row r="193" spans="1:15" ht="17.25" customHeight="1">
      <c r="A193" s="44"/>
      <c r="B193" s="44"/>
      <c r="C193" s="44"/>
      <c r="D193" s="44"/>
      <c r="E193" s="44"/>
      <c r="F193" s="44"/>
      <c r="G193" s="44"/>
      <c r="H193" s="44"/>
      <c r="I193" s="44"/>
      <c r="J193" s="44"/>
      <c r="K193" s="44"/>
      <c r="L193" s="44"/>
      <c r="M193" s="44"/>
      <c r="N193" s="44"/>
      <c r="O193" s="44"/>
    </row>
    <row r="194" spans="1:15" ht="17.25" customHeight="1">
      <c r="A194" s="44"/>
      <c r="B194" s="44"/>
      <c r="C194" s="44"/>
      <c r="D194" s="44"/>
      <c r="E194" s="44"/>
      <c r="F194" s="44"/>
      <c r="G194" s="44"/>
      <c r="H194" s="44"/>
      <c r="I194" s="44"/>
      <c r="J194" s="44"/>
      <c r="K194" s="44"/>
      <c r="L194" s="44"/>
      <c r="M194" s="44"/>
      <c r="N194" s="44"/>
      <c r="O194" s="44"/>
    </row>
    <row r="195" spans="1:15" ht="17.25" customHeight="1">
      <c r="A195" s="44"/>
      <c r="B195" s="44"/>
      <c r="C195" s="44"/>
      <c r="D195" s="44"/>
      <c r="E195" s="44"/>
      <c r="F195" s="44"/>
      <c r="G195" s="44"/>
      <c r="H195" s="44"/>
      <c r="I195" s="44"/>
      <c r="J195" s="44"/>
      <c r="K195" s="44"/>
      <c r="L195" s="44"/>
      <c r="M195" s="44"/>
      <c r="N195" s="44"/>
      <c r="O195" s="44"/>
    </row>
    <row r="196" spans="1:15" ht="17.25" customHeight="1">
      <c r="A196" s="44"/>
      <c r="B196" s="44"/>
      <c r="C196" s="44"/>
      <c r="D196" s="44"/>
      <c r="E196" s="44"/>
      <c r="F196" s="44"/>
      <c r="G196" s="44"/>
      <c r="H196" s="44"/>
      <c r="I196" s="44"/>
      <c r="J196" s="44"/>
      <c r="K196" s="44"/>
      <c r="L196" s="44"/>
      <c r="M196" s="44"/>
      <c r="N196" s="44"/>
      <c r="O196" s="44"/>
    </row>
    <row r="197" spans="1:15" ht="17.25" customHeight="1">
      <c r="A197" s="44"/>
      <c r="B197" s="44"/>
      <c r="C197" s="44"/>
      <c r="D197" s="44"/>
      <c r="E197" s="44"/>
      <c r="F197" s="44"/>
      <c r="G197" s="44"/>
      <c r="H197" s="44"/>
      <c r="I197" s="44"/>
      <c r="J197" s="44"/>
      <c r="K197" s="44"/>
      <c r="L197" s="44"/>
      <c r="M197" s="44"/>
      <c r="N197" s="44"/>
      <c r="O197" s="44"/>
    </row>
    <row r="198" spans="1:15" ht="17.25" customHeight="1">
      <c r="A198" s="44"/>
      <c r="B198" s="44"/>
      <c r="C198" s="44"/>
      <c r="D198" s="44"/>
      <c r="E198" s="44"/>
      <c r="F198" s="44"/>
      <c r="G198" s="44"/>
      <c r="H198" s="44"/>
      <c r="I198" s="44"/>
      <c r="J198" s="44"/>
      <c r="K198" s="44"/>
      <c r="L198" s="44"/>
      <c r="M198" s="44"/>
      <c r="N198" s="44"/>
      <c r="O198" s="44"/>
    </row>
    <row r="199" spans="1:15" ht="17.25" customHeight="1">
      <c r="A199" s="44"/>
      <c r="B199" s="44"/>
      <c r="C199" s="44"/>
      <c r="D199" s="44"/>
      <c r="E199" s="44"/>
      <c r="F199" s="44"/>
      <c r="G199" s="44"/>
      <c r="H199" s="44"/>
      <c r="I199" s="44"/>
      <c r="J199" s="44"/>
      <c r="K199" s="44"/>
      <c r="L199" s="44"/>
      <c r="M199" s="44"/>
      <c r="N199" s="44"/>
      <c r="O199" s="44"/>
    </row>
    <row r="200" spans="1:15" ht="17.25" customHeight="1">
      <c r="A200" s="44"/>
      <c r="B200" s="44"/>
      <c r="C200" s="44"/>
      <c r="D200" s="44"/>
      <c r="E200" s="44"/>
      <c r="F200" s="44"/>
      <c r="G200" s="44"/>
      <c r="H200" s="44"/>
      <c r="I200" s="44"/>
      <c r="J200" s="44"/>
      <c r="K200" s="44"/>
      <c r="L200" s="44"/>
      <c r="M200" s="44"/>
      <c r="N200" s="44"/>
      <c r="O200" s="44"/>
    </row>
    <row r="201" spans="1:15" ht="17.25" customHeight="1">
      <c r="A201" s="44"/>
      <c r="B201" s="44"/>
      <c r="C201" s="44"/>
      <c r="D201" s="44"/>
      <c r="E201" s="44"/>
      <c r="F201" s="44"/>
      <c r="G201" s="44"/>
      <c r="H201" s="44"/>
      <c r="I201" s="44"/>
      <c r="J201" s="44"/>
      <c r="K201" s="44"/>
      <c r="L201" s="44"/>
      <c r="M201" s="44"/>
      <c r="N201" s="44"/>
      <c r="O201" s="44"/>
    </row>
    <row r="202" spans="1:15" ht="17.25" customHeight="1">
      <c r="A202" s="44"/>
      <c r="B202" s="44"/>
      <c r="C202" s="44"/>
      <c r="D202" s="44"/>
      <c r="E202" s="44"/>
      <c r="F202" s="44"/>
      <c r="G202" s="44"/>
      <c r="H202" s="44"/>
      <c r="I202" s="44"/>
      <c r="J202" s="44"/>
      <c r="K202" s="44"/>
      <c r="L202" s="44"/>
      <c r="M202" s="44"/>
      <c r="N202" s="44"/>
      <c r="O202" s="44"/>
    </row>
    <row r="203" spans="1:15" ht="17.25" customHeight="1">
      <c r="A203" s="44"/>
      <c r="B203" s="44"/>
      <c r="C203" s="44"/>
      <c r="D203" s="44"/>
      <c r="E203" s="44"/>
      <c r="F203" s="44"/>
      <c r="G203" s="44"/>
      <c r="H203" s="44"/>
      <c r="I203" s="44"/>
      <c r="J203" s="44"/>
      <c r="K203" s="44"/>
      <c r="L203" s="44"/>
      <c r="M203" s="44"/>
      <c r="N203" s="44"/>
      <c r="O203" s="44"/>
    </row>
    <row r="204" spans="1:15" ht="17.25" customHeight="1">
      <c r="A204" s="44"/>
      <c r="B204" s="44"/>
      <c r="C204" s="44"/>
      <c r="D204" s="44"/>
      <c r="E204" s="44"/>
      <c r="F204" s="44"/>
      <c r="G204" s="44"/>
      <c r="H204" s="44"/>
      <c r="I204" s="44"/>
      <c r="J204" s="44"/>
      <c r="K204" s="44"/>
      <c r="L204" s="44"/>
      <c r="M204" s="44"/>
      <c r="N204" s="44"/>
      <c r="O204" s="44"/>
    </row>
    <row r="205" spans="1:15" ht="17.25" customHeight="1">
      <c r="A205" s="44"/>
      <c r="B205" s="44"/>
      <c r="C205" s="44"/>
      <c r="D205" s="44"/>
      <c r="E205" s="44"/>
      <c r="F205" s="44"/>
      <c r="G205" s="44"/>
      <c r="H205" s="44"/>
      <c r="I205" s="44"/>
      <c r="J205" s="44"/>
      <c r="K205" s="44"/>
      <c r="L205" s="44"/>
      <c r="M205" s="44"/>
      <c r="N205" s="44"/>
      <c r="O205" s="44"/>
    </row>
    <row r="206" spans="1:15" ht="17.25" customHeight="1">
      <c r="A206" s="44"/>
      <c r="B206" s="44"/>
      <c r="C206" s="44"/>
      <c r="D206" s="44"/>
      <c r="E206" s="44"/>
      <c r="F206" s="44"/>
      <c r="G206" s="44"/>
      <c r="H206" s="44"/>
      <c r="I206" s="44"/>
      <c r="J206" s="44"/>
      <c r="K206" s="44"/>
      <c r="L206" s="44"/>
      <c r="M206" s="44"/>
      <c r="N206" s="44"/>
      <c r="O206" s="44"/>
    </row>
    <row r="207" spans="1:15" ht="17.25" customHeight="1">
      <c r="A207" s="44"/>
      <c r="B207" s="44"/>
      <c r="C207" s="44"/>
      <c r="D207" s="44"/>
      <c r="E207" s="44"/>
      <c r="F207" s="44"/>
      <c r="G207" s="44"/>
      <c r="H207" s="44"/>
      <c r="I207" s="44"/>
      <c r="J207" s="44"/>
      <c r="K207" s="44"/>
      <c r="L207" s="44"/>
      <c r="M207" s="44"/>
      <c r="N207" s="44"/>
      <c r="O207" s="44"/>
    </row>
    <row r="208" spans="1:15" ht="17.25" customHeight="1">
      <c r="A208" s="44"/>
      <c r="B208" s="44"/>
      <c r="C208" s="44"/>
      <c r="D208" s="44"/>
      <c r="E208" s="44"/>
      <c r="F208" s="44"/>
      <c r="G208" s="44"/>
      <c r="H208" s="44"/>
      <c r="I208" s="44"/>
      <c r="J208" s="44"/>
      <c r="K208" s="44"/>
      <c r="L208" s="44"/>
      <c r="M208" s="44"/>
      <c r="N208" s="44"/>
      <c r="O208" s="44"/>
    </row>
    <row r="209" spans="1:15" ht="17.25" customHeight="1">
      <c r="A209" s="44"/>
      <c r="B209" s="44"/>
      <c r="C209" s="44"/>
      <c r="D209" s="44"/>
      <c r="E209" s="44"/>
      <c r="F209" s="44"/>
      <c r="G209" s="44"/>
      <c r="H209" s="44"/>
      <c r="I209" s="44"/>
      <c r="J209" s="44"/>
      <c r="K209" s="44"/>
      <c r="L209" s="44"/>
      <c r="M209" s="44"/>
      <c r="N209" s="44"/>
      <c r="O209" s="44"/>
    </row>
    <row r="210" spans="1:15" ht="17.25" customHeight="1">
      <c r="A210" s="44"/>
      <c r="B210" s="44"/>
      <c r="C210" s="44"/>
      <c r="D210" s="44"/>
      <c r="E210" s="44"/>
      <c r="F210" s="44"/>
      <c r="G210" s="44"/>
      <c r="H210" s="44"/>
      <c r="I210" s="44"/>
      <c r="J210" s="44"/>
      <c r="K210" s="44"/>
      <c r="L210" s="44"/>
      <c r="M210" s="44"/>
      <c r="N210" s="44"/>
      <c r="O210" s="44"/>
    </row>
    <row r="211" spans="1:15" ht="17.25" customHeight="1">
      <c r="A211" s="44"/>
      <c r="B211" s="44"/>
      <c r="C211" s="44"/>
      <c r="D211" s="44"/>
      <c r="E211" s="44"/>
      <c r="F211" s="44"/>
      <c r="G211" s="44"/>
      <c r="H211" s="44"/>
      <c r="I211" s="44"/>
      <c r="J211" s="44"/>
      <c r="K211" s="44"/>
      <c r="L211" s="44"/>
      <c r="M211" s="44"/>
      <c r="N211" s="44"/>
      <c r="O211" s="44"/>
    </row>
    <row r="212" spans="1:15" ht="17.25" customHeight="1">
      <c r="A212" s="44"/>
      <c r="B212" s="44"/>
      <c r="C212" s="44"/>
      <c r="D212" s="44"/>
      <c r="E212" s="44"/>
      <c r="F212" s="44"/>
      <c r="G212" s="44"/>
      <c r="H212" s="44"/>
      <c r="I212" s="44"/>
      <c r="J212" s="44"/>
      <c r="K212" s="44"/>
      <c r="L212" s="44"/>
      <c r="M212" s="44"/>
      <c r="N212" s="44"/>
      <c r="O212" s="44"/>
    </row>
    <row r="213" spans="1:15" ht="17.25" customHeight="1">
      <c r="A213" s="44"/>
      <c r="B213" s="44"/>
      <c r="C213" s="44"/>
      <c r="D213" s="44"/>
      <c r="E213" s="44"/>
      <c r="F213" s="44"/>
      <c r="G213" s="44"/>
      <c r="H213" s="44"/>
      <c r="I213" s="44"/>
      <c r="J213" s="44"/>
      <c r="K213" s="44"/>
      <c r="L213" s="44"/>
      <c r="M213" s="44"/>
      <c r="N213" s="44"/>
      <c r="O213" s="44"/>
    </row>
    <row r="214" spans="1:15" ht="17.25" customHeight="1">
      <c r="A214" s="44"/>
      <c r="B214" s="44"/>
      <c r="C214" s="44"/>
      <c r="D214" s="44"/>
      <c r="E214" s="44"/>
      <c r="F214" s="44"/>
      <c r="G214" s="44"/>
      <c r="H214" s="44"/>
      <c r="I214" s="44"/>
      <c r="J214" s="44"/>
      <c r="K214" s="44"/>
      <c r="L214" s="44"/>
      <c r="M214" s="44"/>
      <c r="N214" s="44"/>
      <c r="O214" s="44"/>
    </row>
    <row r="215" spans="1:15" ht="17.25" customHeight="1">
      <c r="A215" s="44"/>
      <c r="B215" s="44"/>
      <c r="C215" s="44"/>
      <c r="D215" s="44"/>
      <c r="E215" s="44"/>
      <c r="F215" s="44"/>
      <c r="G215" s="44"/>
      <c r="H215" s="44"/>
      <c r="I215" s="44"/>
      <c r="J215" s="44"/>
      <c r="K215" s="44"/>
      <c r="L215" s="44"/>
      <c r="M215" s="44"/>
      <c r="N215" s="44"/>
      <c r="O215" s="44"/>
    </row>
    <row r="216" spans="1:15" ht="17.25" customHeight="1">
      <c r="A216" s="44"/>
      <c r="B216" s="44"/>
      <c r="C216" s="44"/>
      <c r="D216" s="44"/>
      <c r="E216" s="44"/>
      <c r="F216" s="44"/>
      <c r="G216" s="44"/>
      <c r="H216" s="44"/>
      <c r="I216" s="44"/>
      <c r="J216" s="44"/>
      <c r="K216" s="44"/>
      <c r="L216" s="44"/>
      <c r="M216" s="44"/>
      <c r="N216" s="44"/>
      <c r="O216" s="44"/>
    </row>
    <row r="217" spans="1:15" ht="17.25" customHeight="1">
      <c r="A217" s="44"/>
      <c r="B217" s="44"/>
      <c r="C217" s="44"/>
      <c r="D217" s="44"/>
      <c r="E217" s="44"/>
      <c r="F217" s="44"/>
      <c r="G217" s="44"/>
      <c r="H217" s="44"/>
      <c r="I217" s="44"/>
      <c r="J217" s="44"/>
      <c r="K217" s="44"/>
      <c r="L217" s="44"/>
      <c r="M217" s="44"/>
      <c r="N217" s="44"/>
      <c r="O217" s="44"/>
    </row>
    <row r="218" spans="1:15" ht="17.25" customHeight="1">
      <c r="A218" s="44"/>
      <c r="B218" s="44"/>
      <c r="C218" s="44"/>
      <c r="D218" s="44"/>
      <c r="E218" s="44"/>
      <c r="F218" s="44"/>
      <c r="G218" s="44"/>
      <c r="H218" s="44"/>
      <c r="I218" s="44"/>
      <c r="J218" s="44"/>
      <c r="K218" s="44"/>
      <c r="L218" s="44"/>
      <c r="M218" s="44"/>
      <c r="N218" s="44"/>
      <c r="O218" s="44"/>
    </row>
    <row r="219" spans="1:15" ht="17.25" customHeight="1">
      <c r="A219" s="44"/>
      <c r="B219" s="44"/>
      <c r="C219" s="44"/>
      <c r="D219" s="44"/>
      <c r="E219" s="44"/>
      <c r="F219" s="44"/>
      <c r="G219" s="44"/>
      <c r="H219" s="44"/>
      <c r="I219" s="44"/>
      <c r="J219" s="44"/>
      <c r="K219" s="44"/>
      <c r="L219" s="44"/>
      <c r="M219" s="44"/>
      <c r="N219" s="44"/>
      <c r="O219" s="44"/>
    </row>
    <row r="220" spans="1:15" ht="17.25" customHeight="1">
      <c r="A220" s="44"/>
      <c r="B220" s="44"/>
      <c r="C220" s="44"/>
      <c r="D220" s="44"/>
      <c r="E220" s="44"/>
      <c r="F220" s="44"/>
      <c r="G220" s="44"/>
      <c r="H220" s="44"/>
      <c r="I220" s="44"/>
      <c r="J220" s="44"/>
      <c r="K220" s="44"/>
      <c r="L220" s="44"/>
      <c r="M220" s="44"/>
      <c r="N220" s="44"/>
      <c r="O220" s="44"/>
    </row>
    <row r="221" spans="1:15" ht="17.25" customHeight="1">
      <c r="A221" s="44"/>
      <c r="B221" s="44"/>
      <c r="C221" s="44"/>
      <c r="D221" s="44"/>
      <c r="E221" s="44"/>
      <c r="F221" s="44"/>
      <c r="G221" s="44"/>
      <c r="H221" s="44"/>
      <c r="I221" s="44"/>
      <c r="J221" s="44"/>
      <c r="K221" s="44"/>
      <c r="L221" s="44"/>
      <c r="M221" s="44"/>
      <c r="N221" s="44"/>
      <c r="O221" s="44"/>
    </row>
    <row r="222" spans="1:15" ht="17.25" customHeight="1">
      <c r="A222" s="44"/>
      <c r="B222" s="44"/>
      <c r="C222" s="44"/>
      <c r="D222" s="44"/>
      <c r="E222" s="44"/>
      <c r="F222" s="44"/>
      <c r="G222" s="44"/>
      <c r="H222" s="44"/>
      <c r="I222" s="44"/>
      <c r="J222" s="44"/>
      <c r="K222" s="44"/>
      <c r="L222" s="44"/>
      <c r="M222" s="44"/>
      <c r="N222" s="44"/>
      <c r="O222" s="44"/>
    </row>
    <row r="223" spans="1:15" ht="17.25" customHeight="1">
      <c r="A223" s="44"/>
      <c r="B223" s="44"/>
      <c r="C223" s="44"/>
      <c r="D223" s="44"/>
      <c r="E223" s="44"/>
      <c r="F223" s="44"/>
      <c r="G223" s="44"/>
      <c r="H223" s="44"/>
      <c r="I223" s="44"/>
      <c r="J223" s="44"/>
      <c r="K223" s="44"/>
      <c r="L223" s="44"/>
      <c r="M223" s="44"/>
      <c r="N223" s="44"/>
      <c r="O223" s="44"/>
    </row>
    <row r="224" spans="1:15" ht="17.25" customHeight="1">
      <c r="A224" s="44"/>
      <c r="B224" s="44"/>
      <c r="C224" s="44"/>
      <c r="D224" s="44"/>
      <c r="E224" s="44"/>
      <c r="F224" s="44"/>
      <c r="G224" s="44"/>
      <c r="H224" s="44"/>
      <c r="I224" s="44"/>
      <c r="J224" s="44"/>
      <c r="K224" s="44"/>
      <c r="L224" s="44"/>
      <c r="M224" s="44"/>
      <c r="N224" s="44"/>
      <c r="O224" s="44"/>
    </row>
    <row r="225" spans="1:15" ht="17.25" customHeight="1">
      <c r="A225" s="44"/>
      <c r="B225" s="44"/>
      <c r="C225" s="44"/>
      <c r="D225" s="44"/>
      <c r="E225" s="44"/>
      <c r="F225" s="44"/>
      <c r="G225" s="44"/>
      <c r="H225" s="44"/>
      <c r="I225" s="44"/>
      <c r="J225" s="44"/>
      <c r="K225" s="44"/>
      <c r="L225" s="44"/>
      <c r="M225" s="44"/>
      <c r="N225" s="44"/>
      <c r="O225" s="44"/>
    </row>
    <row r="226" spans="1:15" ht="17.25" customHeight="1">
      <c r="A226" s="44"/>
      <c r="B226" s="44"/>
      <c r="C226" s="44"/>
      <c r="D226" s="44"/>
      <c r="E226" s="44"/>
      <c r="F226" s="44"/>
      <c r="G226" s="44"/>
      <c r="H226" s="44"/>
      <c r="I226" s="44"/>
      <c r="J226" s="44"/>
      <c r="K226" s="44"/>
      <c r="L226" s="44"/>
      <c r="M226" s="44"/>
      <c r="N226" s="44"/>
      <c r="O226" s="44"/>
    </row>
    <row r="227" spans="1:15" ht="17.25" customHeight="1">
      <c r="A227" s="44"/>
      <c r="B227" s="44"/>
      <c r="C227" s="44"/>
      <c r="D227" s="44"/>
      <c r="E227" s="44"/>
      <c r="F227" s="44"/>
      <c r="G227" s="44"/>
      <c r="H227" s="44"/>
      <c r="I227" s="44"/>
      <c r="J227" s="44"/>
      <c r="K227" s="44"/>
      <c r="L227" s="44"/>
      <c r="M227" s="44"/>
      <c r="N227" s="44"/>
      <c r="O227" s="44"/>
    </row>
    <row r="228" spans="1:15" ht="17.25" customHeight="1">
      <c r="A228" s="44"/>
      <c r="B228" s="44"/>
      <c r="C228" s="44"/>
      <c r="D228" s="44"/>
      <c r="E228" s="44"/>
      <c r="F228" s="44"/>
      <c r="G228" s="44"/>
      <c r="H228" s="44"/>
      <c r="I228" s="44"/>
      <c r="J228" s="44"/>
      <c r="K228" s="44"/>
      <c r="L228" s="44"/>
      <c r="M228" s="44"/>
      <c r="N228" s="44"/>
      <c r="O228" s="44"/>
    </row>
    <row r="229" spans="1:15" ht="17.25" customHeight="1">
      <c r="A229" s="44"/>
      <c r="B229" s="44"/>
      <c r="C229" s="44"/>
      <c r="D229" s="44"/>
      <c r="E229" s="44"/>
      <c r="F229" s="44"/>
      <c r="G229" s="44"/>
      <c r="H229" s="44"/>
      <c r="I229" s="44"/>
      <c r="J229" s="44"/>
      <c r="K229" s="44"/>
      <c r="L229" s="44"/>
      <c r="M229" s="44"/>
      <c r="N229" s="44"/>
      <c r="O229" s="44"/>
    </row>
    <row r="230" spans="1:15" ht="17.25" customHeight="1">
      <c r="A230" s="44"/>
      <c r="B230" s="44"/>
      <c r="C230" s="44"/>
      <c r="D230" s="44"/>
      <c r="E230" s="44"/>
      <c r="F230" s="44"/>
      <c r="G230" s="44"/>
      <c r="H230" s="44"/>
      <c r="I230" s="44"/>
      <c r="J230" s="44"/>
      <c r="K230" s="44"/>
      <c r="L230" s="44"/>
      <c r="M230" s="44"/>
      <c r="N230" s="44"/>
      <c r="O230" s="44"/>
    </row>
    <row r="231" spans="1:15" ht="17.25" customHeight="1">
      <c r="A231" s="44"/>
      <c r="B231" s="44"/>
      <c r="C231" s="44"/>
      <c r="D231" s="44"/>
      <c r="E231" s="44"/>
      <c r="F231" s="44"/>
      <c r="G231" s="44"/>
      <c r="H231" s="44"/>
      <c r="I231" s="44"/>
      <c r="J231" s="44"/>
      <c r="K231" s="44"/>
      <c r="L231" s="44"/>
      <c r="M231" s="44"/>
      <c r="N231" s="44"/>
      <c r="O231" s="44"/>
    </row>
    <row r="232" spans="1:15" ht="17.25" customHeight="1">
      <c r="A232" s="44"/>
      <c r="B232" s="44"/>
      <c r="C232" s="44"/>
      <c r="D232" s="44"/>
      <c r="E232" s="44"/>
      <c r="F232" s="44"/>
      <c r="G232" s="44"/>
      <c r="H232" s="44"/>
      <c r="I232" s="44"/>
      <c r="J232" s="44"/>
      <c r="K232" s="44"/>
      <c r="L232" s="44"/>
      <c r="M232" s="44"/>
      <c r="N232" s="44"/>
      <c r="O232" s="44"/>
    </row>
    <row r="233" spans="1:15" ht="17.25" customHeight="1">
      <c r="A233" s="44"/>
      <c r="B233" s="44"/>
      <c r="C233" s="44"/>
      <c r="D233" s="44"/>
      <c r="E233" s="44"/>
      <c r="F233" s="44"/>
      <c r="G233" s="44"/>
      <c r="H233" s="44"/>
      <c r="I233" s="44"/>
      <c r="J233" s="44"/>
      <c r="K233" s="44"/>
      <c r="L233" s="44"/>
      <c r="M233" s="44"/>
      <c r="N233" s="44"/>
      <c r="O233" s="44"/>
    </row>
    <row r="234" spans="1:15" ht="17.25" customHeight="1">
      <c r="A234" s="44"/>
      <c r="B234" s="44"/>
      <c r="C234" s="44"/>
      <c r="D234" s="44"/>
      <c r="E234" s="44"/>
      <c r="F234" s="44"/>
      <c r="G234" s="44"/>
      <c r="H234" s="44"/>
      <c r="I234" s="44"/>
      <c r="J234" s="44"/>
      <c r="K234" s="44"/>
      <c r="L234" s="44"/>
      <c r="M234" s="44"/>
      <c r="N234" s="44"/>
      <c r="O234" s="44"/>
    </row>
    <row r="235" spans="1:15" ht="17.25" customHeight="1">
      <c r="A235" s="44"/>
      <c r="B235" s="44"/>
      <c r="C235" s="44"/>
      <c r="D235" s="44"/>
      <c r="E235" s="44"/>
      <c r="F235" s="44"/>
      <c r="G235" s="44"/>
      <c r="H235" s="44"/>
      <c r="I235" s="44"/>
      <c r="J235" s="44"/>
      <c r="K235" s="44"/>
      <c r="L235" s="44"/>
      <c r="M235" s="44"/>
      <c r="N235" s="44"/>
      <c r="O235" s="44"/>
    </row>
    <row r="236" spans="1:15" ht="17.25" customHeight="1">
      <c r="A236" s="44"/>
      <c r="B236" s="44"/>
      <c r="C236" s="44"/>
      <c r="D236" s="44"/>
      <c r="E236" s="44"/>
      <c r="F236" s="44"/>
      <c r="G236" s="44"/>
      <c r="H236" s="44"/>
      <c r="I236" s="44"/>
      <c r="J236" s="44"/>
      <c r="K236" s="44"/>
      <c r="L236" s="44"/>
      <c r="M236" s="44"/>
      <c r="N236" s="44"/>
      <c r="O236" s="44"/>
    </row>
    <row r="237" spans="1:15" ht="17.25" customHeight="1">
      <c r="A237" s="44"/>
      <c r="B237" s="44"/>
      <c r="C237" s="44"/>
      <c r="D237" s="44"/>
      <c r="E237" s="44"/>
      <c r="F237" s="44"/>
      <c r="G237" s="44"/>
      <c r="H237" s="44"/>
      <c r="I237" s="44"/>
      <c r="J237" s="44"/>
      <c r="K237" s="44"/>
      <c r="L237" s="44"/>
      <c r="M237" s="44"/>
      <c r="N237" s="44"/>
      <c r="O237" s="44"/>
    </row>
    <row r="238" spans="1:15" ht="17.25" customHeight="1">
      <c r="A238" s="44"/>
      <c r="B238" s="44"/>
      <c r="C238" s="44"/>
      <c r="D238" s="44"/>
      <c r="E238" s="44"/>
      <c r="F238" s="44"/>
      <c r="G238" s="44"/>
      <c r="H238" s="44"/>
      <c r="I238" s="44"/>
      <c r="J238" s="44"/>
      <c r="K238" s="44"/>
      <c r="L238" s="44"/>
      <c r="M238" s="44"/>
      <c r="N238" s="44"/>
      <c r="O238" s="44"/>
    </row>
    <row r="239" spans="1:15" ht="17.25" customHeight="1">
      <c r="A239" s="44"/>
      <c r="B239" s="44"/>
      <c r="C239" s="44"/>
      <c r="D239" s="44"/>
      <c r="E239" s="44"/>
      <c r="F239" s="44"/>
      <c r="G239" s="44"/>
      <c r="H239" s="44"/>
      <c r="I239" s="44"/>
      <c r="J239" s="44"/>
      <c r="K239" s="44"/>
      <c r="L239" s="44"/>
      <c r="M239" s="44"/>
      <c r="N239" s="44"/>
      <c r="O239" s="44"/>
    </row>
    <row r="240" spans="1:15" ht="17.25" customHeight="1">
      <c r="A240" s="44"/>
      <c r="B240" s="44"/>
      <c r="C240" s="44"/>
      <c r="D240" s="44"/>
      <c r="E240" s="44"/>
      <c r="F240" s="44"/>
      <c r="G240" s="44"/>
      <c r="H240" s="44"/>
      <c r="I240" s="44"/>
      <c r="J240" s="44"/>
      <c r="K240" s="44"/>
      <c r="L240" s="44"/>
      <c r="M240" s="44"/>
      <c r="N240" s="44"/>
      <c r="O240" s="44"/>
    </row>
    <row r="241" spans="1:15" ht="17.25" customHeight="1">
      <c r="A241" s="44"/>
      <c r="B241" s="44"/>
      <c r="C241" s="44"/>
      <c r="D241" s="44"/>
      <c r="E241" s="44"/>
      <c r="F241" s="44"/>
      <c r="G241" s="44"/>
      <c r="H241" s="44"/>
      <c r="I241" s="44"/>
      <c r="J241" s="44"/>
      <c r="K241" s="44"/>
      <c r="L241" s="44"/>
      <c r="M241" s="44"/>
      <c r="N241" s="44"/>
      <c r="O241" s="44"/>
    </row>
    <row r="242" spans="1:15" ht="17.25" customHeight="1">
      <c r="A242" s="44"/>
      <c r="B242" s="44"/>
      <c r="C242" s="44"/>
      <c r="D242" s="44"/>
      <c r="E242" s="44"/>
      <c r="F242" s="44"/>
      <c r="G242" s="44"/>
      <c r="H242" s="44"/>
      <c r="I242" s="44"/>
      <c r="J242" s="44"/>
      <c r="K242" s="44"/>
      <c r="L242" s="44"/>
      <c r="M242" s="44"/>
      <c r="N242" s="44"/>
      <c r="O242" s="44"/>
    </row>
    <row r="243" spans="1:15" ht="17.25" customHeight="1">
      <c r="A243" s="44"/>
      <c r="B243" s="44"/>
      <c r="C243" s="44"/>
      <c r="D243" s="44"/>
      <c r="E243" s="44"/>
      <c r="F243" s="44"/>
      <c r="G243" s="44"/>
      <c r="H243" s="44"/>
      <c r="I243" s="44"/>
      <c r="J243" s="44"/>
      <c r="K243" s="44"/>
      <c r="L243" s="44"/>
      <c r="M243" s="44"/>
      <c r="N243" s="44"/>
      <c r="O243" s="44"/>
    </row>
    <row r="244" spans="1:15" ht="17.25" customHeight="1">
      <c r="A244" s="44"/>
      <c r="B244" s="44"/>
      <c r="C244" s="44"/>
      <c r="D244" s="44"/>
      <c r="E244" s="44"/>
      <c r="F244" s="44"/>
      <c r="G244" s="44"/>
      <c r="H244" s="44"/>
      <c r="I244" s="44"/>
      <c r="J244" s="44"/>
      <c r="K244" s="44"/>
      <c r="L244" s="44"/>
      <c r="M244" s="44"/>
      <c r="N244" s="44"/>
      <c r="O244" s="44"/>
    </row>
    <row r="245" spans="1:15" ht="17.25" customHeight="1">
      <c r="A245" s="44"/>
      <c r="B245" s="44"/>
      <c r="C245" s="44"/>
      <c r="D245" s="44"/>
      <c r="E245" s="44"/>
      <c r="F245" s="44"/>
      <c r="G245" s="44"/>
      <c r="H245" s="44"/>
      <c r="I245" s="44"/>
      <c r="J245" s="44"/>
      <c r="K245" s="44"/>
      <c r="L245" s="44"/>
      <c r="M245" s="44"/>
      <c r="N245" s="44"/>
      <c r="O245" s="44"/>
    </row>
    <row r="246" spans="1:15" ht="17.25" customHeight="1">
      <c r="A246" s="44"/>
      <c r="B246" s="44"/>
      <c r="C246" s="44"/>
      <c r="D246" s="44"/>
      <c r="E246" s="44"/>
      <c r="F246" s="44"/>
      <c r="G246" s="44"/>
      <c r="H246" s="44"/>
      <c r="I246" s="44"/>
      <c r="J246" s="44"/>
      <c r="K246" s="44"/>
      <c r="L246" s="44"/>
      <c r="M246" s="44"/>
      <c r="N246" s="44"/>
      <c r="O246" s="44"/>
    </row>
    <row r="247" spans="1:15" ht="17.25" customHeight="1">
      <c r="A247" s="44"/>
      <c r="B247" s="44"/>
      <c r="C247" s="44"/>
      <c r="D247" s="44"/>
      <c r="E247" s="44"/>
      <c r="F247" s="44"/>
      <c r="G247" s="44"/>
      <c r="H247" s="44"/>
      <c r="I247" s="44"/>
      <c r="J247" s="44"/>
      <c r="K247" s="44"/>
      <c r="L247" s="44"/>
      <c r="M247" s="44"/>
      <c r="N247" s="44"/>
      <c r="O247" s="44"/>
    </row>
    <row r="248" spans="1:15" ht="17.25" customHeight="1">
      <c r="A248" s="44"/>
      <c r="B248" s="44"/>
      <c r="C248" s="44"/>
      <c r="D248" s="44"/>
      <c r="E248" s="44"/>
      <c r="F248" s="44"/>
      <c r="G248" s="44"/>
      <c r="H248" s="44"/>
      <c r="I248" s="44"/>
      <c r="J248" s="44"/>
      <c r="K248" s="44"/>
      <c r="L248" s="44"/>
      <c r="M248" s="44"/>
      <c r="N248" s="44"/>
      <c r="O248" s="44"/>
    </row>
    <row r="249" spans="1:15" ht="17.25" customHeight="1">
      <c r="A249" s="44"/>
      <c r="B249" s="44"/>
      <c r="C249" s="44"/>
      <c r="D249" s="44"/>
      <c r="E249" s="44"/>
      <c r="F249" s="44"/>
      <c r="G249" s="44"/>
      <c r="H249" s="44"/>
      <c r="I249" s="44"/>
      <c r="J249" s="44"/>
      <c r="K249" s="44"/>
      <c r="L249" s="44"/>
      <c r="M249" s="44"/>
      <c r="N249" s="44"/>
      <c r="O249" s="44"/>
    </row>
    <row r="250" spans="1:15" ht="17.25" customHeight="1">
      <c r="A250" s="44"/>
      <c r="B250" s="44"/>
      <c r="C250" s="44"/>
      <c r="D250" s="44"/>
      <c r="E250" s="44"/>
      <c r="F250" s="44"/>
      <c r="G250" s="44"/>
      <c r="H250" s="44"/>
      <c r="I250" s="44"/>
      <c r="J250" s="44"/>
      <c r="K250" s="44"/>
      <c r="L250" s="44"/>
      <c r="M250" s="44"/>
      <c r="N250" s="44"/>
      <c r="O250" s="44"/>
    </row>
    <row r="251" spans="1:15" ht="17.25" customHeight="1">
      <c r="A251" s="44"/>
      <c r="B251" s="44"/>
      <c r="C251" s="44"/>
      <c r="D251" s="44"/>
      <c r="E251" s="44"/>
      <c r="F251" s="44"/>
      <c r="G251" s="44"/>
      <c r="H251" s="44"/>
      <c r="I251" s="44"/>
      <c r="J251" s="44"/>
      <c r="K251" s="44"/>
      <c r="L251" s="44"/>
      <c r="M251" s="44"/>
      <c r="N251" s="44"/>
      <c r="O251" s="44"/>
    </row>
    <row r="252" spans="1:15" ht="17.25" customHeight="1">
      <c r="A252" s="44"/>
      <c r="B252" s="44"/>
      <c r="C252" s="44"/>
      <c r="D252" s="44"/>
      <c r="E252" s="44"/>
      <c r="F252" s="44"/>
      <c r="G252" s="44"/>
      <c r="H252" s="44"/>
      <c r="I252" s="44"/>
      <c r="J252" s="44"/>
      <c r="K252" s="44"/>
      <c r="L252" s="44"/>
      <c r="M252" s="44"/>
      <c r="N252" s="44"/>
      <c r="O252" s="44"/>
    </row>
    <row r="253" spans="1:15" ht="17.25" customHeight="1">
      <c r="A253" s="44"/>
      <c r="B253" s="44"/>
      <c r="C253" s="44"/>
      <c r="D253" s="44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4"/>
    </row>
    <row r="254" spans="1:15" ht="17.25" customHeight="1">
      <c r="A254" s="44"/>
      <c r="B254" s="44"/>
      <c r="C254" s="44"/>
      <c r="D254" s="44"/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O254" s="44"/>
    </row>
    <row r="255" spans="1:15" ht="17.25" customHeight="1">
      <c r="A255" s="44"/>
      <c r="B255" s="44"/>
      <c r="C255" s="44"/>
      <c r="D255" s="44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</row>
    <row r="256" spans="1:15" ht="17.25" customHeight="1">
      <c r="A256" s="44"/>
      <c r="B256" s="44"/>
      <c r="C256" s="44"/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</row>
    <row r="257" spans="1:15" ht="17.25" customHeight="1">
      <c r="A257" s="44"/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</row>
    <row r="258" spans="1:15" ht="17.25" customHeight="1">
      <c r="A258" s="44"/>
      <c r="B258" s="44"/>
      <c r="C258" s="44"/>
      <c r="D258" s="44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</row>
    <row r="259" spans="1:15" ht="17.25" customHeight="1">
      <c r="A259" s="44"/>
      <c r="B259" s="44"/>
      <c r="C259" s="44"/>
      <c r="D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</row>
    <row r="260" spans="1:15" ht="17.25" customHeight="1">
      <c r="A260" s="44"/>
      <c r="B260" s="44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</row>
    <row r="261" spans="1:15" ht="17.25" customHeight="1">
      <c r="A261" s="44"/>
      <c r="B261" s="44"/>
      <c r="C261" s="44"/>
      <c r="D261" s="44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</row>
    <row r="262" spans="1:15" ht="17.25" customHeight="1">
      <c r="A262" s="44"/>
      <c r="B262" s="44"/>
      <c r="C262" s="44"/>
      <c r="D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</row>
    <row r="263" spans="1:15" ht="17.25" customHeight="1">
      <c r="A263" s="44"/>
      <c r="B263" s="44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</row>
    <row r="264" spans="1:15" ht="17.25" customHeight="1">
      <c r="A264" s="44"/>
      <c r="B264" s="44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</row>
    <row r="265" spans="1:15" ht="17.25" customHeight="1">
      <c r="A265" s="44"/>
      <c r="B265" s="44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</row>
    <row r="266" spans="1:15" ht="17.25" customHeight="1">
      <c r="A266" s="44"/>
      <c r="B266" s="44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</row>
    <row r="267" spans="1:15" ht="17.25" customHeight="1">
      <c r="A267" s="44"/>
      <c r="B267" s="44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</row>
    <row r="268" spans="1:15" ht="17.25" customHeight="1">
      <c r="A268" s="44"/>
      <c r="B268" s="44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</row>
    <row r="269" spans="1:15" ht="17.25" customHeight="1">
      <c r="A269" s="44"/>
      <c r="B269" s="44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</row>
    <row r="270" spans="1:15" ht="17.25" customHeight="1">
      <c r="A270" s="44"/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</row>
    <row r="271" spans="1:15" ht="17.25" customHeight="1">
      <c r="A271" s="44"/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</row>
    <row r="272" spans="1:15" ht="17.25" customHeight="1">
      <c r="A272" s="44"/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</row>
    <row r="273" spans="1:15" ht="17.25" customHeight="1">
      <c r="A273" s="44"/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</row>
    <row r="274" spans="1:15" ht="17.25" customHeight="1">
      <c r="A274" s="44"/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</row>
    <row r="275" spans="1:15" ht="17.25" customHeight="1">
      <c r="A275" s="44"/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</row>
    <row r="276" spans="1:15" ht="17.25" customHeight="1">
      <c r="A276" s="44"/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</row>
    <row r="277" spans="1:15" ht="17.25" customHeight="1">
      <c r="A277" s="44"/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</row>
    <row r="278" spans="1:15" ht="17.25" customHeight="1">
      <c r="A278" s="44"/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</row>
    <row r="279" spans="1:15" ht="17.25" customHeight="1">
      <c r="A279" s="44"/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</row>
    <row r="280" spans="1:15" ht="17.25" customHeight="1">
      <c r="A280" s="44"/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</row>
    <row r="281" spans="1:15" ht="17.25" customHeight="1">
      <c r="A281" s="44"/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</row>
    <row r="282" spans="1:15" ht="17.25" customHeight="1">
      <c r="A282" s="44"/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</row>
    <row r="283" spans="1:15" ht="17.25" customHeight="1">
      <c r="A283" s="44"/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</row>
    <row r="284" spans="1:15" ht="17.25" customHeight="1">
      <c r="A284" s="44"/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</row>
    <row r="285" spans="1:15" ht="17.25" customHeight="1">
      <c r="A285" s="44"/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</row>
    <row r="286" spans="1:15" ht="17.25" customHeight="1">
      <c r="A286" s="44"/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</row>
    <row r="287" spans="1:15" ht="17.25" customHeight="1">
      <c r="A287" s="44"/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</row>
    <row r="288" spans="1:15" ht="17.25" customHeight="1">
      <c r="A288" s="44"/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</row>
    <row r="289" spans="1:15" ht="17.25" customHeight="1">
      <c r="A289" s="44"/>
      <c r="B289" s="44"/>
      <c r="C289" s="44"/>
      <c r="D289" s="44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</row>
    <row r="290" spans="1:15" ht="17.25" customHeight="1">
      <c r="A290" s="44"/>
      <c r="B290" s="44"/>
      <c r="C290" s="44"/>
      <c r="D290" s="44"/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44"/>
    </row>
    <row r="291" spans="1:15" ht="17.25" customHeight="1">
      <c r="A291" s="44"/>
      <c r="B291" s="44"/>
      <c r="C291" s="44"/>
      <c r="D291" s="44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</row>
    <row r="292" spans="1:15" ht="17.25" customHeight="1">
      <c r="A292" s="44"/>
      <c r="B292" s="44"/>
      <c r="C292" s="44"/>
      <c r="D292" s="44"/>
      <c r="E292" s="44"/>
      <c r="F292" s="44"/>
      <c r="G292" s="44"/>
      <c r="H292" s="44"/>
      <c r="I292" s="44"/>
      <c r="J292" s="44"/>
      <c r="K292" s="44"/>
      <c r="L292" s="44"/>
      <c r="M292" s="44"/>
      <c r="N292" s="44"/>
      <c r="O292" s="44"/>
    </row>
    <row r="293" spans="1:15" ht="17.25" customHeight="1">
      <c r="A293" s="44"/>
      <c r="B293" s="44"/>
      <c r="C293" s="44"/>
      <c r="D293" s="44"/>
      <c r="E293" s="44"/>
      <c r="F293" s="44"/>
      <c r="G293" s="44"/>
      <c r="H293" s="44"/>
      <c r="I293" s="44"/>
      <c r="J293" s="44"/>
      <c r="K293" s="44"/>
      <c r="L293" s="44"/>
      <c r="M293" s="44"/>
      <c r="N293" s="44"/>
      <c r="O293" s="44"/>
    </row>
    <row r="294" spans="1:15" ht="17.25" customHeight="1">
      <c r="A294" s="44"/>
      <c r="B294" s="44"/>
      <c r="C294" s="44"/>
      <c r="D294" s="44"/>
      <c r="E294" s="44"/>
      <c r="F294" s="44"/>
      <c r="G294" s="44"/>
      <c r="H294" s="44"/>
      <c r="I294" s="44"/>
      <c r="J294" s="44"/>
      <c r="K294" s="44"/>
      <c r="L294" s="44"/>
      <c r="M294" s="44"/>
      <c r="N294" s="44"/>
      <c r="O294" s="44"/>
    </row>
    <row r="295" spans="1:15" ht="17.25" customHeight="1">
      <c r="A295" s="44"/>
      <c r="B295" s="44"/>
      <c r="C295" s="44"/>
      <c r="D295" s="44"/>
      <c r="E295" s="44"/>
      <c r="F295" s="44"/>
      <c r="G295" s="44"/>
      <c r="H295" s="44"/>
      <c r="I295" s="44"/>
      <c r="J295" s="44"/>
      <c r="K295" s="44"/>
      <c r="L295" s="44"/>
      <c r="M295" s="44"/>
      <c r="N295" s="44"/>
      <c r="O295" s="44"/>
    </row>
    <row r="296" spans="1:15" ht="17.25" customHeight="1">
      <c r="A296" s="44"/>
      <c r="B296" s="44"/>
      <c r="C296" s="44"/>
      <c r="D296" s="44"/>
      <c r="E296" s="44"/>
      <c r="F296" s="44"/>
      <c r="G296" s="44"/>
      <c r="H296" s="44"/>
      <c r="I296" s="44"/>
      <c r="J296" s="44"/>
      <c r="K296" s="44"/>
      <c r="L296" s="44"/>
      <c r="M296" s="44"/>
      <c r="N296" s="44"/>
      <c r="O296" s="44"/>
    </row>
    <row r="297" spans="1:15" ht="17.25" customHeight="1">
      <c r="A297" s="44"/>
      <c r="B297" s="44"/>
      <c r="C297" s="44"/>
      <c r="D297" s="44"/>
      <c r="E297" s="44"/>
      <c r="F297" s="44"/>
      <c r="G297" s="44"/>
      <c r="H297" s="44"/>
      <c r="I297" s="44"/>
      <c r="J297" s="44"/>
      <c r="K297" s="44"/>
      <c r="L297" s="44"/>
      <c r="M297" s="44"/>
      <c r="N297" s="44"/>
      <c r="O297" s="44"/>
    </row>
    <row r="298" spans="1:15" ht="17.25" customHeight="1">
      <c r="A298" s="44"/>
      <c r="B298" s="44"/>
      <c r="C298" s="44"/>
      <c r="D298" s="44"/>
      <c r="E298" s="44"/>
      <c r="F298" s="44"/>
      <c r="G298" s="44"/>
      <c r="H298" s="44"/>
      <c r="I298" s="44"/>
      <c r="J298" s="44"/>
      <c r="K298" s="44"/>
      <c r="L298" s="44"/>
      <c r="M298" s="44"/>
      <c r="N298" s="44"/>
      <c r="O298" s="44"/>
    </row>
    <row r="299" spans="1:15" ht="17.25" customHeight="1">
      <c r="A299" s="44"/>
      <c r="B299" s="44"/>
      <c r="C299" s="44"/>
      <c r="D299" s="44"/>
      <c r="E299" s="44"/>
      <c r="F299" s="44"/>
      <c r="G299" s="44"/>
      <c r="H299" s="44"/>
      <c r="I299" s="44"/>
      <c r="J299" s="44"/>
      <c r="K299" s="44"/>
      <c r="L299" s="44"/>
      <c r="M299" s="44"/>
      <c r="N299" s="44"/>
      <c r="O299" s="44"/>
    </row>
    <row r="300" spans="1:15" ht="17.25" customHeight="1">
      <c r="A300" s="44"/>
      <c r="B300" s="44"/>
      <c r="C300" s="44"/>
      <c r="D300" s="44"/>
      <c r="E300" s="44"/>
      <c r="F300" s="44"/>
      <c r="G300" s="44"/>
      <c r="H300" s="44"/>
      <c r="I300" s="44"/>
      <c r="J300" s="44"/>
      <c r="K300" s="44"/>
      <c r="L300" s="44"/>
      <c r="M300" s="44"/>
      <c r="N300" s="44"/>
      <c r="O300" s="44"/>
    </row>
    <row r="301" spans="1:15" ht="17.25" customHeight="1">
      <c r="A301" s="44"/>
      <c r="B301" s="44"/>
      <c r="C301" s="44"/>
      <c r="D301" s="44"/>
      <c r="E301" s="44"/>
      <c r="F301" s="44"/>
      <c r="G301" s="44"/>
      <c r="H301" s="44"/>
      <c r="I301" s="44"/>
      <c r="J301" s="44"/>
      <c r="K301" s="44"/>
      <c r="L301" s="44"/>
      <c r="M301" s="44"/>
      <c r="N301" s="44"/>
      <c r="O301" s="44"/>
    </row>
    <row r="302" spans="1:15" ht="17.25" customHeight="1">
      <c r="A302" s="44"/>
      <c r="B302" s="44"/>
      <c r="C302" s="44"/>
      <c r="D302" s="44"/>
      <c r="E302" s="44"/>
      <c r="F302" s="44"/>
      <c r="G302" s="44"/>
      <c r="H302" s="44"/>
      <c r="I302" s="44"/>
      <c r="J302" s="44"/>
      <c r="K302" s="44"/>
      <c r="L302" s="44"/>
      <c r="M302" s="44"/>
      <c r="N302" s="44"/>
      <c r="O302" s="44"/>
    </row>
    <row r="303" spans="1:15" ht="17.25" customHeight="1">
      <c r="A303" s="44"/>
      <c r="B303" s="44"/>
      <c r="C303" s="44"/>
      <c r="D303" s="44"/>
      <c r="E303" s="44"/>
      <c r="F303" s="44"/>
      <c r="G303" s="44"/>
      <c r="H303" s="44"/>
      <c r="I303" s="44"/>
      <c r="J303" s="44"/>
      <c r="K303" s="44"/>
      <c r="L303" s="44"/>
      <c r="M303" s="44"/>
      <c r="N303" s="44"/>
      <c r="O303" s="44"/>
    </row>
    <row r="304" spans="1:15" ht="17.25" customHeight="1">
      <c r="A304" s="44"/>
      <c r="B304" s="44"/>
      <c r="C304" s="44"/>
      <c r="D304" s="44"/>
      <c r="E304" s="44"/>
      <c r="F304" s="44"/>
      <c r="G304" s="44"/>
      <c r="H304" s="44"/>
      <c r="I304" s="44"/>
      <c r="J304" s="44"/>
      <c r="K304" s="44"/>
      <c r="L304" s="44"/>
      <c r="M304" s="44"/>
      <c r="N304" s="44"/>
      <c r="O304" s="44"/>
    </row>
    <row r="305" spans="1:15" ht="17.25" customHeight="1">
      <c r="A305" s="44"/>
      <c r="B305" s="44"/>
      <c r="C305" s="44"/>
      <c r="D305" s="44"/>
      <c r="E305" s="44"/>
      <c r="F305" s="44"/>
      <c r="G305" s="44"/>
      <c r="H305" s="44"/>
      <c r="I305" s="44"/>
      <c r="J305" s="44"/>
      <c r="K305" s="44"/>
      <c r="L305" s="44"/>
      <c r="M305" s="44"/>
      <c r="N305" s="44"/>
      <c r="O305" s="44"/>
    </row>
    <row r="306" spans="1:15" ht="17.25" customHeight="1">
      <c r="A306" s="44"/>
      <c r="B306" s="44"/>
      <c r="C306" s="44"/>
      <c r="D306" s="44"/>
      <c r="E306" s="44"/>
      <c r="F306" s="44"/>
      <c r="G306" s="44"/>
      <c r="H306" s="44"/>
      <c r="I306" s="44"/>
      <c r="J306" s="44"/>
      <c r="K306" s="44"/>
      <c r="L306" s="44"/>
      <c r="M306" s="44"/>
      <c r="N306" s="44"/>
      <c r="O306" s="44"/>
    </row>
    <row r="307" spans="1:15" ht="17.25" customHeight="1">
      <c r="A307" s="44"/>
      <c r="B307" s="44"/>
      <c r="C307" s="44"/>
      <c r="D307" s="44"/>
      <c r="E307" s="44"/>
      <c r="F307" s="44"/>
      <c r="G307" s="44"/>
      <c r="H307" s="44"/>
      <c r="I307" s="44"/>
      <c r="J307" s="44"/>
      <c r="K307" s="44"/>
      <c r="L307" s="44"/>
      <c r="M307" s="44"/>
      <c r="N307" s="44"/>
      <c r="O307" s="44"/>
    </row>
    <row r="308" spans="1:15" ht="17.25" customHeight="1">
      <c r="A308" s="44"/>
      <c r="B308" s="44"/>
      <c r="C308" s="44"/>
      <c r="D308" s="44"/>
      <c r="E308" s="44"/>
      <c r="F308" s="44"/>
      <c r="G308" s="44"/>
      <c r="H308" s="44"/>
      <c r="I308" s="44"/>
      <c r="J308" s="44"/>
      <c r="K308" s="44"/>
      <c r="L308" s="44"/>
      <c r="M308" s="44"/>
      <c r="N308" s="44"/>
      <c r="O308" s="44"/>
    </row>
    <row r="309" spans="1:15" ht="17.25" customHeight="1">
      <c r="A309" s="44"/>
      <c r="B309" s="44"/>
      <c r="C309" s="44"/>
      <c r="D309" s="44"/>
      <c r="E309" s="44"/>
      <c r="F309" s="44"/>
      <c r="G309" s="44"/>
      <c r="H309" s="44"/>
      <c r="I309" s="44"/>
      <c r="J309" s="44"/>
      <c r="K309" s="44"/>
      <c r="L309" s="44"/>
      <c r="M309" s="44"/>
      <c r="N309" s="44"/>
      <c r="O309" s="44"/>
    </row>
    <row r="310" spans="1:15" ht="17.25" customHeight="1">
      <c r="A310" s="44"/>
      <c r="B310" s="44"/>
      <c r="C310" s="44"/>
      <c r="D310" s="44"/>
      <c r="E310" s="44"/>
      <c r="F310" s="44"/>
      <c r="G310" s="44"/>
      <c r="H310" s="44"/>
      <c r="I310" s="44"/>
      <c r="J310" s="44"/>
      <c r="K310" s="44"/>
      <c r="L310" s="44"/>
      <c r="M310" s="44"/>
      <c r="N310" s="44"/>
      <c r="O310" s="44"/>
    </row>
    <row r="311" spans="1:15" ht="17.25" customHeight="1">
      <c r="A311" s="44"/>
      <c r="B311" s="44"/>
      <c r="C311" s="44"/>
      <c r="D311" s="44"/>
      <c r="E311" s="44"/>
      <c r="F311" s="44"/>
      <c r="G311" s="44"/>
      <c r="H311" s="44"/>
      <c r="I311" s="44"/>
      <c r="J311" s="44"/>
      <c r="K311" s="44"/>
      <c r="L311" s="44"/>
      <c r="M311" s="44"/>
      <c r="N311" s="44"/>
      <c r="O311" s="44"/>
    </row>
    <row r="312" spans="1:15" ht="17.25" customHeight="1">
      <c r="A312" s="44"/>
      <c r="B312" s="44"/>
      <c r="C312" s="44"/>
      <c r="D312" s="44"/>
      <c r="E312" s="44"/>
      <c r="F312" s="44"/>
      <c r="G312" s="44"/>
      <c r="H312" s="44"/>
      <c r="I312" s="44"/>
      <c r="J312" s="44"/>
      <c r="K312" s="44"/>
      <c r="L312" s="44"/>
      <c r="M312" s="44"/>
      <c r="N312" s="44"/>
      <c r="O312" s="44"/>
    </row>
    <row r="313" spans="1:15" ht="17.25" customHeight="1">
      <c r="A313" s="44"/>
      <c r="B313" s="44"/>
      <c r="C313" s="44"/>
      <c r="D313" s="44"/>
      <c r="E313" s="44"/>
      <c r="F313" s="44"/>
      <c r="G313" s="44"/>
      <c r="H313" s="44"/>
      <c r="I313" s="44"/>
      <c r="J313" s="44"/>
      <c r="K313" s="44"/>
      <c r="L313" s="44"/>
      <c r="M313" s="44"/>
      <c r="N313" s="44"/>
      <c r="O313" s="44"/>
    </row>
    <row r="314" spans="1:15" ht="17.25" customHeight="1">
      <c r="A314" s="44"/>
      <c r="B314" s="44"/>
      <c r="C314" s="44"/>
      <c r="D314" s="44"/>
      <c r="E314" s="44"/>
      <c r="F314" s="44"/>
      <c r="G314" s="44"/>
      <c r="H314" s="44"/>
      <c r="I314" s="44"/>
      <c r="J314" s="44"/>
      <c r="K314" s="44"/>
      <c r="L314" s="44"/>
      <c r="M314" s="44"/>
      <c r="N314" s="44"/>
      <c r="O314" s="44"/>
    </row>
    <row r="315" spans="1:15" ht="17.25" customHeight="1">
      <c r="A315" s="44"/>
      <c r="B315" s="44"/>
      <c r="C315" s="44"/>
      <c r="D315" s="44"/>
      <c r="E315" s="44"/>
      <c r="F315" s="44"/>
      <c r="G315" s="44"/>
      <c r="H315" s="44"/>
      <c r="I315" s="44"/>
      <c r="J315" s="44"/>
      <c r="K315" s="44"/>
      <c r="L315" s="44"/>
      <c r="M315" s="44"/>
      <c r="N315" s="44"/>
      <c r="O315" s="44"/>
    </row>
    <row r="316" spans="1:15" ht="17.25" customHeight="1">
      <c r="A316" s="44"/>
      <c r="B316" s="44"/>
      <c r="C316" s="44"/>
      <c r="D316" s="44"/>
      <c r="E316" s="44"/>
      <c r="F316" s="44"/>
      <c r="G316" s="44"/>
      <c r="H316" s="44"/>
      <c r="I316" s="44"/>
      <c r="J316" s="44"/>
      <c r="K316" s="44"/>
      <c r="L316" s="44"/>
      <c r="M316" s="44"/>
      <c r="N316" s="44"/>
      <c r="O316" s="44"/>
    </row>
    <row r="317" spans="1:15" ht="17.25" customHeight="1">
      <c r="A317" s="44"/>
      <c r="B317" s="44"/>
      <c r="C317" s="44"/>
      <c r="D317" s="44"/>
      <c r="E317" s="44"/>
      <c r="F317" s="44"/>
      <c r="G317" s="44"/>
      <c r="H317" s="44"/>
      <c r="I317" s="44"/>
      <c r="J317" s="44"/>
      <c r="K317" s="44"/>
      <c r="L317" s="44"/>
      <c r="M317" s="44"/>
      <c r="N317" s="44"/>
      <c r="O317" s="44"/>
    </row>
    <row r="318" spans="1:15" ht="17.25" customHeight="1">
      <c r="A318" s="44"/>
      <c r="B318" s="44"/>
      <c r="C318" s="44"/>
      <c r="D318" s="44"/>
      <c r="E318" s="44"/>
      <c r="F318" s="44"/>
      <c r="G318" s="44"/>
      <c r="H318" s="44"/>
      <c r="I318" s="44"/>
      <c r="J318" s="44"/>
      <c r="K318" s="44"/>
      <c r="L318" s="44"/>
      <c r="M318" s="44"/>
      <c r="N318" s="44"/>
      <c r="O318" s="44"/>
    </row>
    <row r="319" spans="1:15" ht="17.25" customHeight="1">
      <c r="A319" s="44"/>
      <c r="B319" s="44"/>
      <c r="C319" s="44"/>
      <c r="D319" s="44"/>
      <c r="E319" s="44"/>
      <c r="F319" s="44"/>
      <c r="G319" s="44"/>
      <c r="H319" s="44"/>
      <c r="I319" s="44"/>
      <c r="J319" s="44"/>
      <c r="K319" s="44"/>
      <c r="L319" s="44"/>
      <c r="M319" s="44"/>
      <c r="N319" s="44"/>
      <c r="O319" s="44"/>
    </row>
    <row r="320" spans="1:15" ht="17.25" customHeight="1">
      <c r="A320" s="44"/>
      <c r="B320" s="44"/>
      <c r="C320" s="44"/>
      <c r="D320" s="44"/>
      <c r="E320" s="44"/>
      <c r="F320" s="44"/>
      <c r="G320" s="44"/>
      <c r="H320" s="44"/>
      <c r="I320" s="44"/>
      <c r="J320" s="44"/>
      <c r="K320" s="44"/>
      <c r="L320" s="44"/>
      <c r="M320" s="44"/>
      <c r="N320" s="44"/>
      <c r="O320" s="44"/>
    </row>
    <row r="321" spans="1:15" ht="17.25" customHeight="1">
      <c r="A321" s="44"/>
      <c r="B321" s="44"/>
      <c r="C321" s="44"/>
      <c r="D321" s="44"/>
      <c r="E321" s="44"/>
      <c r="F321" s="44"/>
      <c r="G321" s="44"/>
      <c r="H321" s="44"/>
      <c r="I321" s="44"/>
      <c r="J321" s="44"/>
      <c r="K321" s="44"/>
      <c r="L321" s="44"/>
      <c r="M321" s="44"/>
      <c r="N321" s="44"/>
      <c r="O321" s="44"/>
    </row>
    <row r="322" spans="1:15" ht="17.25" customHeight="1">
      <c r="A322" s="44"/>
      <c r="B322" s="44"/>
      <c r="C322" s="44"/>
      <c r="D322" s="44"/>
      <c r="E322" s="44"/>
      <c r="F322" s="44"/>
      <c r="G322" s="44"/>
      <c r="H322" s="44"/>
      <c r="I322" s="44"/>
      <c r="J322" s="44"/>
      <c r="K322" s="44"/>
      <c r="L322" s="44"/>
      <c r="M322" s="44"/>
      <c r="N322" s="44"/>
      <c r="O322" s="44"/>
    </row>
    <row r="323" spans="1:15" ht="17.25" customHeight="1">
      <c r="A323" s="44"/>
      <c r="B323" s="44"/>
      <c r="C323" s="44"/>
      <c r="D323" s="44"/>
      <c r="E323" s="44"/>
      <c r="F323" s="44"/>
      <c r="G323" s="44"/>
      <c r="H323" s="44"/>
      <c r="I323" s="44"/>
      <c r="J323" s="44"/>
      <c r="K323" s="44"/>
      <c r="L323" s="44"/>
      <c r="M323" s="44"/>
      <c r="N323" s="44"/>
      <c r="O323" s="44"/>
    </row>
    <row r="324" spans="1:15" ht="17.25" customHeight="1">
      <c r="A324" s="44"/>
      <c r="B324" s="44"/>
      <c r="C324" s="44"/>
      <c r="D324" s="44"/>
      <c r="E324" s="44"/>
      <c r="F324" s="44"/>
      <c r="G324" s="44"/>
      <c r="H324" s="44"/>
      <c r="I324" s="44"/>
      <c r="J324" s="44"/>
      <c r="K324" s="44"/>
      <c r="L324" s="44"/>
      <c r="M324" s="44"/>
      <c r="N324" s="44"/>
      <c r="O324" s="44"/>
    </row>
    <row r="325" spans="1:15" ht="17.25" customHeight="1">
      <c r="A325" s="44"/>
      <c r="B325" s="44"/>
      <c r="C325" s="44"/>
      <c r="D325" s="44"/>
      <c r="E325" s="44"/>
      <c r="F325" s="44"/>
      <c r="G325" s="44"/>
      <c r="H325" s="44"/>
      <c r="I325" s="44"/>
      <c r="J325" s="44"/>
      <c r="K325" s="44"/>
      <c r="L325" s="44"/>
      <c r="M325" s="44"/>
      <c r="N325" s="44"/>
      <c r="O325" s="44"/>
    </row>
    <row r="326" spans="1:15" ht="17.25" customHeight="1">
      <c r="A326" s="44"/>
      <c r="B326" s="44"/>
      <c r="C326" s="44"/>
      <c r="D326" s="44"/>
      <c r="E326" s="44"/>
      <c r="F326" s="44"/>
      <c r="G326" s="44"/>
      <c r="H326" s="44"/>
      <c r="I326" s="44"/>
      <c r="J326" s="44"/>
      <c r="K326" s="44"/>
      <c r="L326" s="44"/>
      <c r="M326" s="44"/>
      <c r="N326" s="44"/>
      <c r="O326" s="44"/>
    </row>
    <row r="327" spans="1:15" ht="17.25" customHeight="1">
      <c r="A327" s="44"/>
      <c r="B327" s="44"/>
      <c r="C327" s="44"/>
      <c r="D327" s="44"/>
      <c r="E327" s="44"/>
      <c r="F327" s="44"/>
      <c r="G327" s="44"/>
      <c r="H327" s="44"/>
      <c r="I327" s="44"/>
      <c r="J327" s="44"/>
      <c r="K327" s="44"/>
      <c r="L327" s="44"/>
      <c r="M327" s="44"/>
      <c r="N327" s="44"/>
      <c r="O327" s="44"/>
    </row>
    <row r="328" spans="1:15" ht="17.25" customHeight="1">
      <c r="A328" s="44"/>
      <c r="B328" s="44"/>
      <c r="C328" s="44"/>
      <c r="D328" s="44"/>
      <c r="E328" s="44"/>
      <c r="F328" s="44"/>
      <c r="G328" s="44"/>
      <c r="H328" s="44"/>
      <c r="I328" s="44"/>
      <c r="J328" s="44"/>
      <c r="K328" s="44"/>
      <c r="L328" s="44"/>
      <c r="M328" s="44"/>
      <c r="N328" s="44"/>
      <c r="O328" s="44"/>
    </row>
    <row r="329" spans="1:15" ht="17.25" customHeight="1">
      <c r="A329" s="44"/>
      <c r="B329" s="44"/>
      <c r="C329" s="44"/>
      <c r="D329" s="44"/>
      <c r="E329" s="44"/>
      <c r="F329" s="44"/>
      <c r="G329" s="44"/>
      <c r="H329" s="44"/>
      <c r="I329" s="44"/>
      <c r="J329" s="44"/>
      <c r="K329" s="44"/>
      <c r="L329" s="44"/>
      <c r="M329" s="44"/>
      <c r="N329" s="44"/>
      <c r="O329" s="44"/>
    </row>
    <row r="330" spans="1:15" ht="17.25" customHeight="1">
      <c r="A330" s="44"/>
      <c r="B330" s="44"/>
      <c r="C330" s="44"/>
      <c r="D330" s="44"/>
      <c r="E330" s="44"/>
      <c r="F330" s="44"/>
      <c r="G330" s="44"/>
      <c r="H330" s="44"/>
      <c r="I330" s="44"/>
      <c r="J330" s="44"/>
      <c r="K330" s="44"/>
      <c r="L330" s="44"/>
      <c r="M330" s="44"/>
      <c r="N330" s="44"/>
      <c r="O330" s="44"/>
    </row>
    <row r="331" spans="1:15" ht="17.25" customHeight="1">
      <c r="A331" s="44"/>
      <c r="B331" s="44"/>
      <c r="C331" s="44"/>
      <c r="D331" s="44"/>
      <c r="E331" s="44"/>
      <c r="F331" s="44"/>
      <c r="G331" s="44"/>
      <c r="H331" s="44"/>
      <c r="I331" s="44"/>
      <c r="J331" s="44"/>
      <c r="K331" s="44"/>
      <c r="L331" s="44"/>
      <c r="M331" s="44"/>
      <c r="N331" s="44"/>
      <c r="O331" s="44"/>
    </row>
    <row r="332" spans="1:15" ht="17.25" customHeight="1">
      <c r="A332" s="44"/>
      <c r="B332" s="44"/>
      <c r="C332" s="44"/>
      <c r="D332" s="44"/>
      <c r="E332" s="44"/>
      <c r="F332" s="44"/>
      <c r="G332" s="44"/>
      <c r="H332" s="44"/>
      <c r="I332" s="44"/>
      <c r="J332" s="44"/>
      <c r="K332" s="44"/>
      <c r="L332" s="44"/>
      <c r="M332" s="44"/>
      <c r="N332" s="44"/>
      <c r="O332" s="44"/>
    </row>
    <row r="333" spans="1:15" ht="17.25" customHeight="1">
      <c r="A333" s="44"/>
      <c r="B333" s="44"/>
      <c r="C333" s="44"/>
      <c r="D333" s="44"/>
      <c r="E333" s="44"/>
      <c r="F333" s="44"/>
      <c r="G333" s="44"/>
      <c r="H333" s="44"/>
      <c r="I333" s="44"/>
      <c r="J333" s="44"/>
      <c r="K333" s="44"/>
      <c r="L333" s="44"/>
      <c r="M333" s="44"/>
      <c r="N333" s="44"/>
      <c r="O333" s="44"/>
    </row>
    <row r="334" spans="1:15" ht="17.25" customHeight="1">
      <c r="A334" s="44"/>
      <c r="B334" s="44"/>
      <c r="C334" s="44"/>
      <c r="D334" s="44"/>
      <c r="E334" s="44"/>
      <c r="F334" s="44"/>
      <c r="G334" s="44"/>
      <c r="H334" s="44"/>
      <c r="I334" s="44"/>
      <c r="J334" s="44"/>
      <c r="K334" s="44"/>
      <c r="L334" s="44"/>
      <c r="M334" s="44"/>
      <c r="N334" s="44"/>
      <c r="O334" s="44"/>
    </row>
    <row r="335" spans="1:15" ht="17.25" customHeight="1">
      <c r="A335" s="44"/>
      <c r="B335" s="44"/>
      <c r="C335" s="44"/>
      <c r="D335" s="44"/>
      <c r="E335" s="44"/>
      <c r="F335" s="44"/>
      <c r="G335" s="44"/>
      <c r="H335" s="44"/>
      <c r="I335" s="44"/>
      <c r="J335" s="44"/>
      <c r="K335" s="44"/>
      <c r="L335" s="44"/>
      <c r="M335" s="44"/>
      <c r="N335" s="44"/>
      <c r="O335" s="44"/>
    </row>
    <row r="336" spans="1:15" ht="17.25" customHeight="1">
      <c r="A336" s="44"/>
      <c r="B336" s="44"/>
      <c r="C336" s="44"/>
      <c r="D336" s="44"/>
      <c r="E336" s="44"/>
      <c r="F336" s="44"/>
      <c r="G336" s="44"/>
      <c r="H336" s="44"/>
      <c r="I336" s="44"/>
      <c r="J336" s="44"/>
      <c r="K336" s="44"/>
      <c r="L336" s="44"/>
      <c r="M336" s="44"/>
      <c r="N336" s="44"/>
      <c r="O336" s="44"/>
    </row>
    <row r="337" spans="1:15" ht="17.25" customHeight="1">
      <c r="A337" s="44"/>
      <c r="B337" s="44"/>
      <c r="C337" s="44"/>
      <c r="D337" s="44"/>
      <c r="E337" s="44"/>
      <c r="F337" s="44"/>
      <c r="G337" s="44"/>
      <c r="H337" s="44"/>
      <c r="I337" s="44"/>
      <c r="J337" s="44"/>
      <c r="K337" s="44"/>
      <c r="L337" s="44"/>
      <c r="M337" s="44"/>
      <c r="N337" s="44"/>
      <c r="O337" s="44"/>
    </row>
    <row r="338" spans="1:15" ht="17.25" customHeight="1">
      <c r="A338" s="44"/>
      <c r="B338" s="44"/>
      <c r="C338" s="44"/>
      <c r="D338" s="44"/>
      <c r="E338" s="44"/>
      <c r="F338" s="44"/>
      <c r="G338" s="44"/>
      <c r="H338" s="44"/>
      <c r="I338" s="44"/>
      <c r="J338" s="44"/>
      <c r="K338" s="44"/>
      <c r="L338" s="44"/>
      <c r="M338" s="44"/>
      <c r="N338" s="44"/>
      <c r="O338" s="44"/>
    </row>
    <row r="339" spans="1:15" ht="17.25" customHeight="1">
      <c r="A339" s="44"/>
      <c r="B339" s="44"/>
      <c r="C339" s="44"/>
      <c r="D339" s="44"/>
      <c r="E339" s="44"/>
      <c r="F339" s="44"/>
      <c r="G339" s="44"/>
      <c r="H339" s="44"/>
      <c r="I339" s="44"/>
      <c r="J339" s="44"/>
      <c r="K339" s="44"/>
      <c r="L339" s="44"/>
      <c r="M339" s="44"/>
      <c r="N339" s="44"/>
      <c r="O339" s="44"/>
    </row>
    <row r="340" spans="1:15" ht="17.25" customHeight="1">
      <c r="A340" s="44"/>
      <c r="B340" s="44"/>
      <c r="C340" s="44"/>
      <c r="D340" s="44"/>
      <c r="E340" s="44"/>
      <c r="F340" s="44"/>
      <c r="G340" s="44"/>
      <c r="H340" s="44"/>
      <c r="I340" s="44"/>
      <c r="J340" s="44"/>
      <c r="K340" s="44"/>
      <c r="L340" s="44"/>
      <c r="M340" s="44"/>
      <c r="N340" s="44"/>
      <c r="O340" s="44"/>
    </row>
    <row r="341" spans="1:15" ht="17.25" customHeight="1">
      <c r="A341" s="44"/>
      <c r="B341" s="44"/>
      <c r="C341" s="44"/>
      <c r="D341" s="44"/>
      <c r="E341" s="44"/>
      <c r="F341" s="44"/>
      <c r="G341" s="44"/>
      <c r="H341" s="44"/>
      <c r="I341" s="44"/>
      <c r="J341" s="44"/>
      <c r="K341" s="44"/>
      <c r="L341" s="44"/>
      <c r="M341" s="44"/>
      <c r="N341" s="44"/>
      <c r="O341" s="44"/>
    </row>
    <row r="342" spans="1:15" ht="17.25" customHeight="1">
      <c r="A342" s="44"/>
      <c r="B342" s="44"/>
      <c r="C342" s="44"/>
      <c r="D342" s="44"/>
      <c r="E342" s="44"/>
      <c r="F342" s="44"/>
      <c r="G342" s="44"/>
      <c r="H342" s="44"/>
      <c r="I342" s="44"/>
      <c r="J342" s="44"/>
      <c r="K342" s="44"/>
      <c r="L342" s="44"/>
      <c r="M342" s="44"/>
      <c r="N342" s="44"/>
      <c r="O342" s="44"/>
    </row>
    <row r="343" spans="1:15" ht="17.25" customHeight="1">
      <c r="A343" s="44"/>
      <c r="B343" s="44"/>
      <c r="C343" s="44"/>
      <c r="D343" s="44"/>
      <c r="E343" s="44"/>
      <c r="F343" s="44"/>
      <c r="G343" s="44"/>
      <c r="H343" s="44"/>
      <c r="I343" s="44"/>
      <c r="J343" s="44"/>
      <c r="K343" s="44"/>
      <c r="L343" s="44"/>
      <c r="M343" s="44"/>
      <c r="N343" s="44"/>
      <c r="O343" s="44"/>
    </row>
    <row r="344" spans="1:15" ht="17.25" customHeight="1">
      <c r="A344" s="44"/>
      <c r="B344" s="44"/>
      <c r="C344" s="44"/>
      <c r="D344" s="44"/>
      <c r="E344" s="44"/>
      <c r="F344" s="44"/>
      <c r="G344" s="44"/>
      <c r="H344" s="44"/>
      <c r="I344" s="44"/>
      <c r="J344" s="44"/>
      <c r="K344" s="44"/>
      <c r="L344" s="44"/>
      <c r="M344" s="44"/>
      <c r="N344" s="44"/>
      <c r="O344" s="44"/>
    </row>
    <row r="345" spans="1:15" ht="17.25" customHeight="1">
      <c r="A345" s="44"/>
      <c r="B345" s="44"/>
      <c r="C345" s="44"/>
      <c r="D345" s="44"/>
      <c r="E345" s="44"/>
      <c r="F345" s="44"/>
      <c r="G345" s="44"/>
      <c r="H345" s="44"/>
      <c r="I345" s="44"/>
      <c r="J345" s="44"/>
      <c r="K345" s="44"/>
      <c r="L345" s="44"/>
      <c r="M345" s="44"/>
      <c r="N345" s="44"/>
      <c r="O345" s="44"/>
    </row>
    <row r="346" spans="1:15" ht="17.25" customHeight="1">
      <c r="A346" s="44"/>
      <c r="B346" s="44"/>
      <c r="C346" s="44"/>
      <c r="D346" s="44"/>
      <c r="E346" s="44"/>
      <c r="F346" s="44"/>
      <c r="G346" s="44"/>
      <c r="H346" s="44"/>
      <c r="I346" s="44"/>
      <c r="J346" s="44"/>
      <c r="K346" s="44"/>
      <c r="L346" s="44"/>
      <c r="M346" s="44"/>
      <c r="N346" s="44"/>
      <c r="O346" s="44"/>
    </row>
    <row r="347" spans="1:15" ht="17.25" customHeight="1">
      <c r="A347" s="44"/>
      <c r="B347" s="44"/>
      <c r="C347" s="44"/>
      <c r="D347" s="44"/>
      <c r="E347" s="44"/>
      <c r="F347" s="44"/>
      <c r="G347" s="44"/>
      <c r="H347" s="44"/>
      <c r="I347" s="44"/>
      <c r="J347" s="44"/>
      <c r="K347" s="44"/>
      <c r="L347" s="44"/>
      <c r="M347" s="44"/>
      <c r="N347" s="44"/>
      <c r="O347" s="44"/>
    </row>
    <row r="348" spans="1:15" ht="17.25" customHeight="1">
      <c r="A348" s="44"/>
      <c r="B348" s="44"/>
      <c r="C348" s="44"/>
      <c r="D348" s="44"/>
      <c r="E348" s="44"/>
      <c r="F348" s="44"/>
      <c r="G348" s="44"/>
      <c r="H348" s="44"/>
      <c r="I348" s="44"/>
      <c r="J348" s="44"/>
      <c r="K348" s="44"/>
      <c r="L348" s="44"/>
      <c r="M348" s="44"/>
      <c r="N348" s="44"/>
      <c r="O348" s="44"/>
    </row>
    <row r="349" spans="1:15" ht="17.25" customHeight="1">
      <c r="A349" s="44"/>
      <c r="B349" s="44"/>
      <c r="C349" s="44"/>
      <c r="D349" s="44"/>
      <c r="E349" s="44"/>
      <c r="F349" s="44"/>
      <c r="G349" s="44"/>
      <c r="H349" s="44"/>
      <c r="I349" s="44"/>
      <c r="J349" s="44"/>
      <c r="K349" s="44"/>
      <c r="L349" s="44"/>
      <c r="M349" s="44"/>
      <c r="N349" s="44"/>
      <c r="O349" s="44"/>
    </row>
    <row r="350" spans="1:15" ht="17.25" customHeight="1">
      <c r="A350" s="44"/>
      <c r="B350" s="44"/>
      <c r="C350" s="44"/>
      <c r="D350" s="44"/>
      <c r="E350" s="44"/>
      <c r="F350" s="44"/>
      <c r="G350" s="44"/>
      <c r="H350" s="44"/>
      <c r="I350" s="44"/>
      <c r="J350" s="44"/>
      <c r="K350" s="44"/>
      <c r="L350" s="44"/>
      <c r="M350" s="44"/>
      <c r="N350" s="44"/>
      <c r="O350" s="44"/>
    </row>
    <row r="351" spans="1:15" ht="17.25" customHeight="1">
      <c r="A351" s="44"/>
      <c r="B351" s="44"/>
      <c r="C351" s="44"/>
      <c r="D351" s="44"/>
      <c r="E351" s="44"/>
      <c r="F351" s="44"/>
      <c r="G351" s="44"/>
      <c r="H351" s="44"/>
      <c r="I351" s="44"/>
      <c r="J351" s="44"/>
      <c r="K351" s="44"/>
      <c r="L351" s="44"/>
      <c r="M351" s="44"/>
      <c r="N351" s="44"/>
      <c r="O351" s="44"/>
    </row>
    <row r="352" spans="1:15" ht="17.25" customHeight="1">
      <c r="A352" s="44"/>
      <c r="B352" s="44"/>
      <c r="C352" s="44"/>
      <c r="D352" s="44"/>
      <c r="E352" s="44"/>
      <c r="F352" s="44"/>
      <c r="G352" s="44"/>
      <c r="H352" s="44"/>
      <c r="I352" s="44"/>
      <c r="J352" s="44"/>
      <c r="K352" s="44"/>
      <c r="L352" s="44"/>
      <c r="M352" s="44"/>
      <c r="N352" s="44"/>
      <c r="O352" s="44"/>
    </row>
    <row r="353" spans="1:15" ht="17.25" customHeight="1">
      <c r="A353" s="44"/>
      <c r="B353" s="44"/>
      <c r="C353" s="44"/>
      <c r="D353" s="44"/>
      <c r="E353" s="44"/>
      <c r="F353" s="44"/>
      <c r="G353" s="44"/>
      <c r="H353" s="44"/>
      <c r="I353" s="44"/>
      <c r="J353" s="44"/>
      <c r="K353" s="44"/>
      <c r="L353" s="44"/>
      <c r="M353" s="44"/>
      <c r="N353" s="44"/>
      <c r="O353" s="44"/>
    </row>
    <row r="354" spans="1:15" ht="17.25" customHeight="1">
      <c r="A354" s="44"/>
      <c r="B354" s="44"/>
      <c r="C354" s="44"/>
      <c r="D354" s="44"/>
      <c r="E354" s="44"/>
      <c r="F354" s="44"/>
      <c r="G354" s="44"/>
      <c r="H354" s="44"/>
      <c r="I354" s="44"/>
      <c r="J354" s="44"/>
      <c r="K354" s="44"/>
      <c r="L354" s="44"/>
      <c r="M354" s="44"/>
      <c r="N354" s="44"/>
      <c r="O354" s="44"/>
    </row>
    <row r="355" spans="1:15" ht="17.25" customHeight="1">
      <c r="A355" s="44"/>
      <c r="B355" s="44"/>
      <c r="C355" s="44"/>
      <c r="D355" s="44"/>
      <c r="E355" s="44"/>
      <c r="F355" s="44"/>
      <c r="G355" s="44"/>
      <c r="H355" s="44"/>
      <c r="I355" s="44"/>
      <c r="J355" s="44"/>
      <c r="K355" s="44"/>
      <c r="L355" s="44"/>
      <c r="M355" s="44"/>
      <c r="N355" s="44"/>
      <c r="O355" s="44"/>
    </row>
    <row r="356" spans="1:15" ht="17.25" customHeight="1">
      <c r="A356" s="44"/>
      <c r="B356" s="44"/>
      <c r="C356" s="44"/>
      <c r="D356" s="44"/>
      <c r="E356" s="44"/>
      <c r="F356" s="44"/>
      <c r="G356" s="44"/>
      <c r="H356" s="44"/>
      <c r="I356" s="44"/>
      <c r="J356" s="44"/>
      <c r="K356" s="44"/>
      <c r="L356" s="44"/>
      <c r="M356" s="44"/>
      <c r="N356" s="44"/>
      <c r="O356" s="44"/>
    </row>
    <row r="357" spans="1:15" ht="17.25" customHeight="1">
      <c r="A357" s="44"/>
      <c r="B357" s="44"/>
      <c r="C357" s="44"/>
      <c r="D357" s="44"/>
      <c r="E357" s="44"/>
      <c r="F357" s="44"/>
      <c r="G357" s="44"/>
      <c r="H357" s="44"/>
      <c r="I357" s="44"/>
      <c r="J357" s="44"/>
      <c r="K357" s="44"/>
      <c r="L357" s="44"/>
      <c r="M357" s="44"/>
      <c r="N357" s="44"/>
      <c r="O357" s="44"/>
    </row>
    <row r="358" spans="1:15" ht="17.25" customHeight="1">
      <c r="A358" s="44"/>
      <c r="B358" s="44"/>
      <c r="C358" s="44"/>
      <c r="D358" s="44"/>
      <c r="E358" s="44"/>
      <c r="F358" s="44"/>
      <c r="G358" s="44"/>
      <c r="H358" s="44"/>
      <c r="I358" s="44"/>
      <c r="J358" s="44"/>
      <c r="K358" s="44"/>
      <c r="L358" s="44"/>
      <c r="M358" s="44"/>
      <c r="N358" s="44"/>
      <c r="O358" s="44"/>
    </row>
    <row r="359" spans="1:15" ht="17.25" customHeight="1">
      <c r="A359" s="44"/>
      <c r="B359" s="44"/>
      <c r="C359" s="44"/>
      <c r="D359" s="44"/>
      <c r="E359" s="44"/>
      <c r="F359" s="44"/>
      <c r="G359" s="44"/>
      <c r="H359" s="44"/>
      <c r="I359" s="44"/>
      <c r="J359" s="44"/>
      <c r="K359" s="44"/>
      <c r="L359" s="44"/>
      <c r="M359" s="44"/>
      <c r="N359" s="44"/>
      <c r="O359" s="44"/>
    </row>
    <row r="360" spans="1:15" ht="17.25" customHeight="1">
      <c r="A360" s="44"/>
      <c r="B360" s="44"/>
      <c r="C360" s="44"/>
      <c r="D360" s="44"/>
      <c r="E360" s="44"/>
      <c r="F360" s="44"/>
      <c r="G360" s="44"/>
      <c r="H360" s="44"/>
      <c r="I360" s="44"/>
      <c r="J360" s="44"/>
      <c r="K360" s="44"/>
      <c r="L360" s="44"/>
      <c r="M360" s="44"/>
      <c r="N360" s="44"/>
      <c r="O360" s="44"/>
    </row>
    <row r="361" spans="1:15" ht="17.25" customHeight="1">
      <c r="A361" s="44"/>
      <c r="B361" s="44"/>
      <c r="C361" s="44"/>
      <c r="D361" s="44"/>
      <c r="E361" s="44"/>
      <c r="F361" s="44"/>
      <c r="G361" s="44"/>
      <c r="H361" s="44"/>
      <c r="I361" s="44"/>
      <c r="J361" s="44"/>
      <c r="K361" s="44"/>
      <c r="L361" s="44"/>
      <c r="M361" s="44"/>
      <c r="N361" s="44"/>
      <c r="O361" s="44"/>
    </row>
    <row r="362" spans="1:15" ht="17.25" customHeight="1">
      <c r="A362" s="44"/>
      <c r="B362" s="44"/>
      <c r="C362" s="44"/>
      <c r="D362" s="44"/>
      <c r="E362" s="44"/>
      <c r="F362" s="44"/>
      <c r="G362" s="44"/>
      <c r="H362" s="44"/>
      <c r="I362" s="44"/>
      <c r="J362" s="44"/>
      <c r="K362" s="44"/>
      <c r="L362" s="44"/>
      <c r="M362" s="44"/>
      <c r="N362" s="44"/>
      <c r="O362" s="44"/>
    </row>
    <row r="363" spans="1:15" ht="17.25" customHeight="1">
      <c r="A363" s="44"/>
      <c r="B363" s="44"/>
      <c r="C363" s="44"/>
      <c r="D363" s="44"/>
      <c r="E363" s="44"/>
      <c r="F363" s="44"/>
      <c r="G363" s="44"/>
      <c r="H363" s="44"/>
      <c r="I363" s="44"/>
      <c r="J363" s="44"/>
      <c r="K363" s="44"/>
      <c r="L363" s="44"/>
      <c r="M363" s="44"/>
      <c r="N363" s="44"/>
      <c r="O363" s="44"/>
    </row>
    <row r="364" spans="1:15" ht="17.25" customHeight="1">
      <c r="A364" s="44"/>
      <c r="B364" s="44"/>
      <c r="C364" s="44"/>
      <c r="D364" s="44"/>
      <c r="E364" s="44"/>
      <c r="F364" s="44"/>
      <c r="G364" s="44"/>
      <c r="H364" s="44"/>
      <c r="I364" s="44"/>
      <c r="J364" s="44"/>
      <c r="K364" s="44"/>
      <c r="L364" s="44"/>
      <c r="M364" s="44"/>
      <c r="N364" s="44"/>
      <c r="O364" s="44"/>
    </row>
    <row r="365" spans="1:15" ht="17.25" customHeight="1">
      <c r="A365" s="44"/>
      <c r="B365" s="44"/>
      <c r="C365" s="44"/>
      <c r="D365" s="44"/>
      <c r="E365" s="44"/>
      <c r="F365" s="44"/>
      <c r="G365" s="44"/>
      <c r="H365" s="44"/>
      <c r="I365" s="44"/>
      <c r="J365" s="44"/>
      <c r="K365" s="44"/>
      <c r="L365" s="44"/>
      <c r="M365" s="44"/>
      <c r="N365" s="44"/>
      <c r="O365" s="44"/>
    </row>
    <row r="366" spans="1:15" ht="17.25" customHeight="1">
      <c r="A366" s="44"/>
      <c r="B366" s="44"/>
      <c r="C366" s="44"/>
      <c r="D366" s="44"/>
      <c r="E366" s="44"/>
      <c r="F366" s="44"/>
      <c r="G366" s="44"/>
      <c r="H366" s="44"/>
      <c r="I366" s="44"/>
      <c r="J366" s="44"/>
      <c r="K366" s="44"/>
      <c r="L366" s="44"/>
      <c r="M366" s="44"/>
      <c r="N366" s="44"/>
      <c r="O366" s="44"/>
    </row>
    <row r="367" spans="1:15" ht="17.25" customHeight="1">
      <c r="A367" s="44"/>
      <c r="B367" s="44"/>
      <c r="C367" s="44"/>
      <c r="D367" s="44"/>
      <c r="E367" s="44"/>
      <c r="F367" s="44"/>
      <c r="G367" s="44"/>
      <c r="H367" s="44"/>
      <c r="I367" s="44"/>
      <c r="J367" s="44"/>
      <c r="K367" s="44"/>
      <c r="L367" s="44"/>
      <c r="M367" s="44"/>
      <c r="N367" s="44"/>
      <c r="O367" s="44"/>
    </row>
    <row r="368" spans="1:15" ht="17.25" customHeight="1">
      <c r="A368" s="44"/>
      <c r="B368" s="44"/>
      <c r="C368" s="44"/>
      <c r="D368" s="44"/>
      <c r="E368" s="44"/>
      <c r="F368" s="44"/>
      <c r="G368" s="44"/>
      <c r="H368" s="44"/>
      <c r="I368" s="44"/>
      <c r="J368" s="44"/>
      <c r="K368" s="44"/>
      <c r="L368" s="44"/>
      <c r="M368" s="44"/>
      <c r="N368" s="44"/>
      <c r="O368" s="44"/>
    </row>
    <row r="369" spans="1:15" ht="17.25" customHeight="1">
      <c r="A369" s="44"/>
      <c r="B369" s="44"/>
      <c r="C369" s="44"/>
      <c r="D369" s="44"/>
      <c r="E369" s="44"/>
      <c r="F369" s="44"/>
      <c r="G369" s="44"/>
      <c r="H369" s="44"/>
      <c r="I369" s="44"/>
      <c r="J369" s="44"/>
      <c r="K369" s="44"/>
      <c r="L369" s="44"/>
      <c r="M369" s="44"/>
      <c r="N369" s="44"/>
      <c r="O369" s="44"/>
    </row>
    <row r="370" spans="1:15" ht="17.25" customHeight="1">
      <c r="A370" s="44"/>
      <c r="B370" s="44"/>
      <c r="C370" s="44"/>
      <c r="D370" s="44"/>
      <c r="E370" s="44"/>
      <c r="F370" s="44"/>
      <c r="G370" s="44"/>
      <c r="H370" s="44"/>
      <c r="I370" s="44"/>
      <c r="J370" s="44"/>
      <c r="K370" s="44"/>
      <c r="L370" s="44"/>
      <c r="M370" s="44"/>
      <c r="N370" s="44"/>
      <c r="O370" s="44"/>
    </row>
    <row r="371" spans="1:15" ht="17.25" customHeight="1">
      <c r="A371" s="44"/>
      <c r="B371" s="44"/>
      <c r="C371" s="44"/>
      <c r="D371" s="44"/>
      <c r="E371" s="44"/>
      <c r="F371" s="44"/>
      <c r="G371" s="44"/>
      <c r="H371" s="44"/>
      <c r="I371" s="44"/>
      <c r="J371" s="44"/>
      <c r="K371" s="44"/>
      <c r="L371" s="44"/>
      <c r="M371" s="44"/>
      <c r="N371" s="44"/>
      <c r="O371" s="44"/>
    </row>
    <row r="372" spans="1:15" ht="17.25" customHeight="1">
      <c r="A372" s="44"/>
      <c r="B372" s="44"/>
      <c r="C372" s="44"/>
      <c r="D372" s="44"/>
      <c r="E372" s="44"/>
      <c r="F372" s="44"/>
      <c r="G372" s="44"/>
      <c r="H372" s="44"/>
      <c r="I372" s="44"/>
      <c r="J372" s="44"/>
      <c r="K372" s="44"/>
      <c r="L372" s="44"/>
      <c r="M372" s="44"/>
      <c r="N372" s="44"/>
      <c r="O372" s="44"/>
    </row>
    <row r="373" spans="1:15" ht="17.25" customHeight="1">
      <c r="A373" s="44"/>
      <c r="B373" s="44"/>
      <c r="C373" s="44"/>
      <c r="D373" s="44"/>
      <c r="E373" s="44"/>
      <c r="F373" s="44"/>
      <c r="G373" s="44"/>
      <c r="H373" s="44"/>
      <c r="I373" s="44"/>
      <c r="J373" s="44"/>
      <c r="K373" s="44"/>
      <c r="L373" s="44"/>
      <c r="M373" s="44"/>
      <c r="N373" s="44"/>
      <c r="O373" s="44"/>
    </row>
    <row r="374" spans="1:15" ht="17.25" customHeight="1">
      <c r="A374" s="44"/>
      <c r="B374" s="44"/>
      <c r="C374" s="44"/>
      <c r="D374" s="44"/>
      <c r="E374" s="44"/>
      <c r="F374" s="44"/>
      <c r="G374" s="44"/>
      <c r="H374" s="44"/>
      <c r="I374" s="44"/>
      <c r="J374" s="44"/>
      <c r="K374" s="44"/>
      <c r="L374" s="44"/>
      <c r="M374" s="44"/>
      <c r="N374" s="44"/>
      <c r="O374" s="44"/>
    </row>
    <row r="375" spans="1:15" ht="17.25" customHeight="1">
      <c r="A375" s="44"/>
      <c r="B375" s="44"/>
      <c r="C375" s="44"/>
      <c r="D375" s="44"/>
      <c r="E375" s="44"/>
      <c r="F375" s="44"/>
      <c r="G375" s="44"/>
      <c r="H375" s="44"/>
      <c r="I375" s="44"/>
      <c r="J375" s="44"/>
      <c r="K375" s="44"/>
      <c r="L375" s="44"/>
      <c r="M375" s="44"/>
      <c r="N375" s="44"/>
      <c r="O375" s="44"/>
    </row>
    <row r="376" spans="1:15" ht="17.25" customHeight="1">
      <c r="A376" s="44"/>
      <c r="B376" s="44"/>
      <c r="C376" s="44"/>
      <c r="D376" s="44"/>
      <c r="E376" s="44"/>
      <c r="F376" s="44"/>
      <c r="G376" s="44"/>
      <c r="H376" s="44"/>
      <c r="I376" s="44"/>
      <c r="J376" s="44"/>
      <c r="K376" s="44"/>
      <c r="L376" s="44"/>
      <c r="M376" s="44"/>
      <c r="N376" s="44"/>
      <c r="O376" s="44"/>
    </row>
    <row r="377" spans="1:15" ht="17.25" customHeight="1">
      <c r="A377" s="44"/>
      <c r="B377" s="44"/>
      <c r="C377" s="44"/>
      <c r="D377" s="44"/>
      <c r="E377" s="44"/>
      <c r="F377" s="44"/>
      <c r="G377" s="44"/>
      <c r="H377" s="44"/>
      <c r="I377" s="44"/>
      <c r="J377" s="44"/>
      <c r="K377" s="44"/>
      <c r="L377" s="44"/>
      <c r="M377" s="44"/>
      <c r="N377" s="44"/>
      <c r="O377" s="44"/>
    </row>
    <row r="378" spans="1:15" ht="17.25" customHeight="1">
      <c r="A378" s="44"/>
      <c r="B378" s="44"/>
      <c r="C378" s="44"/>
      <c r="D378" s="44"/>
      <c r="E378" s="44"/>
      <c r="F378" s="44"/>
      <c r="G378" s="44"/>
      <c r="H378" s="44"/>
      <c r="I378" s="44"/>
      <c r="J378" s="44"/>
      <c r="K378" s="44"/>
      <c r="L378" s="44"/>
      <c r="M378" s="44"/>
      <c r="N378" s="44"/>
      <c r="O378" s="44"/>
    </row>
    <row r="379" spans="1:15" ht="17.25" customHeight="1">
      <c r="A379" s="44"/>
      <c r="B379" s="44"/>
      <c r="C379" s="44"/>
      <c r="D379" s="44"/>
      <c r="E379" s="44"/>
      <c r="F379" s="44"/>
      <c r="G379" s="44"/>
      <c r="H379" s="44"/>
      <c r="I379" s="44"/>
      <c r="J379" s="44"/>
      <c r="K379" s="44"/>
      <c r="L379" s="44"/>
      <c r="M379" s="44"/>
      <c r="N379" s="44"/>
      <c r="O379" s="44"/>
    </row>
    <row r="380" spans="1:15" ht="17.25" customHeight="1">
      <c r="A380" s="44"/>
      <c r="B380" s="44"/>
      <c r="C380" s="44"/>
      <c r="D380" s="44"/>
      <c r="E380" s="44"/>
      <c r="F380" s="44"/>
      <c r="G380" s="44"/>
      <c r="H380" s="44"/>
      <c r="I380" s="44"/>
      <c r="J380" s="44"/>
      <c r="K380" s="44"/>
      <c r="L380" s="44"/>
      <c r="M380" s="44"/>
      <c r="N380" s="44"/>
      <c r="O380" s="44"/>
    </row>
    <row r="381" spans="1:15" ht="17.25" customHeight="1">
      <c r="A381" s="44"/>
      <c r="B381" s="44"/>
      <c r="C381" s="44"/>
      <c r="D381" s="44"/>
      <c r="E381" s="44"/>
      <c r="F381" s="44"/>
      <c r="G381" s="44"/>
      <c r="H381" s="44"/>
      <c r="I381" s="44"/>
      <c r="J381" s="44"/>
      <c r="K381" s="44"/>
      <c r="L381" s="44"/>
      <c r="M381" s="44"/>
      <c r="N381" s="44"/>
      <c r="O381" s="44"/>
    </row>
    <row r="382" spans="1:15" ht="17.25" customHeight="1">
      <c r="A382" s="44"/>
      <c r="B382" s="44"/>
      <c r="C382" s="44"/>
      <c r="D382" s="44"/>
      <c r="E382" s="44"/>
      <c r="F382" s="44"/>
      <c r="G382" s="44"/>
      <c r="H382" s="44"/>
      <c r="I382" s="44"/>
      <c r="J382" s="44"/>
      <c r="K382" s="44"/>
      <c r="L382" s="44"/>
      <c r="M382" s="44"/>
      <c r="N382" s="44"/>
      <c r="O382" s="44"/>
    </row>
    <row r="383" spans="1:15" ht="17.25" customHeight="1">
      <c r="A383" s="44"/>
      <c r="B383" s="44"/>
      <c r="C383" s="44"/>
      <c r="D383" s="44"/>
      <c r="E383" s="44"/>
      <c r="F383" s="44"/>
      <c r="G383" s="44"/>
      <c r="H383" s="44"/>
      <c r="I383" s="44"/>
      <c r="J383" s="44"/>
      <c r="K383" s="44"/>
      <c r="L383" s="44"/>
      <c r="M383" s="44"/>
      <c r="N383" s="44"/>
      <c r="O383" s="44"/>
    </row>
    <row r="384" spans="1:15" ht="17.25" customHeight="1">
      <c r="A384" s="44"/>
      <c r="B384" s="44"/>
      <c r="C384" s="44"/>
      <c r="D384" s="44"/>
      <c r="E384" s="44"/>
      <c r="F384" s="44"/>
      <c r="G384" s="44"/>
      <c r="H384" s="44"/>
      <c r="I384" s="44"/>
      <c r="J384" s="44"/>
      <c r="K384" s="44"/>
      <c r="L384" s="44"/>
      <c r="M384" s="44"/>
      <c r="N384" s="44"/>
      <c r="O384" s="44"/>
    </row>
    <row r="385" spans="1:15" ht="17.25" customHeight="1">
      <c r="A385" s="44"/>
      <c r="B385" s="44"/>
      <c r="C385" s="44"/>
      <c r="D385" s="44"/>
      <c r="E385" s="44"/>
      <c r="F385" s="44"/>
      <c r="G385" s="44"/>
      <c r="H385" s="44"/>
      <c r="I385" s="44"/>
      <c r="J385" s="44"/>
      <c r="K385" s="44"/>
      <c r="L385" s="44"/>
      <c r="M385" s="44"/>
      <c r="N385" s="44"/>
      <c r="O385" s="44"/>
    </row>
    <row r="386" spans="1:15" ht="17.25" customHeight="1">
      <c r="A386" s="44"/>
      <c r="B386" s="44"/>
      <c r="C386" s="44"/>
      <c r="D386" s="44"/>
      <c r="E386" s="44"/>
      <c r="F386" s="44"/>
      <c r="G386" s="44"/>
      <c r="H386" s="44"/>
      <c r="I386" s="44"/>
      <c r="J386" s="44"/>
      <c r="K386" s="44"/>
      <c r="L386" s="44"/>
      <c r="M386" s="44"/>
      <c r="N386" s="44"/>
      <c r="O386" s="44"/>
    </row>
    <row r="387" spans="1:15" ht="17.25" customHeight="1">
      <c r="A387" s="44"/>
      <c r="B387" s="44"/>
      <c r="C387" s="44"/>
      <c r="D387" s="44"/>
      <c r="E387" s="44"/>
      <c r="F387" s="44"/>
      <c r="G387" s="44"/>
      <c r="H387" s="44"/>
      <c r="I387" s="44"/>
      <c r="J387" s="44"/>
      <c r="K387" s="44"/>
      <c r="L387" s="44"/>
      <c r="M387" s="44"/>
      <c r="N387" s="44"/>
      <c r="O387" s="44"/>
    </row>
    <row r="388" spans="1:15" ht="17.25" customHeight="1">
      <c r="A388" s="44"/>
      <c r="B388" s="44"/>
      <c r="C388" s="44"/>
      <c r="D388" s="44"/>
      <c r="E388" s="44"/>
      <c r="F388" s="44"/>
      <c r="G388" s="44"/>
      <c r="H388" s="44"/>
      <c r="I388" s="44"/>
      <c r="J388" s="44"/>
      <c r="K388" s="44"/>
      <c r="L388" s="44"/>
      <c r="M388" s="44"/>
      <c r="N388" s="44"/>
      <c r="O388" s="44"/>
    </row>
    <row r="389" spans="1:15" ht="17.25" customHeight="1">
      <c r="A389" s="44"/>
      <c r="B389" s="44"/>
      <c r="C389" s="44"/>
      <c r="D389" s="44"/>
      <c r="E389" s="44"/>
      <c r="F389" s="44"/>
      <c r="G389" s="44"/>
      <c r="H389" s="44"/>
      <c r="I389" s="44"/>
      <c r="J389" s="44"/>
      <c r="K389" s="44"/>
      <c r="L389" s="44"/>
      <c r="M389" s="44"/>
      <c r="N389" s="44"/>
      <c r="O389" s="44"/>
    </row>
    <row r="390" spans="1:15" ht="17.25" customHeight="1">
      <c r="A390" s="44"/>
      <c r="B390" s="44"/>
      <c r="C390" s="44"/>
      <c r="D390" s="44"/>
      <c r="E390" s="44"/>
      <c r="F390" s="44"/>
      <c r="G390" s="44"/>
      <c r="H390" s="44"/>
      <c r="I390" s="44"/>
      <c r="J390" s="44"/>
      <c r="K390" s="44"/>
      <c r="L390" s="44"/>
      <c r="M390" s="44"/>
      <c r="N390" s="44"/>
      <c r="O390" s="44"/>
    </row>
    <row r="391" spans="1:15" ht="17.25" customHeight="1">
      <c r="A391" s="44"/>
      <c r="B391" s="44"/>
      <c r="C391" s="44"/>
      <c r="D391" s="44"/>
      <c r="E391" s="44"/>
      <c r="F391" s="44"/>
      <c r="G391" s="44"/>
      <c r="H391" s="44"/>
      <c r="I391" s="44"/>
      <c r="J391" s="44"/>
      <c r="K391" s="44"/>
      <c r="L391" s="44"/>
      <c r="M391" s="44"/>
      <c r="N391" s="44"/>
      <c r="O391" s="44"/>
    </row>
    <row r="392" spans="1:15" ht="17.25" customHeight="1">
      <c r="A392" s="44"/>
      <c r="B392" s="44"/>
      <c r="C392" s="44"/>
      <c r="D392" s="44"/>
      <c r="E392" s="44"/>
      <c r="F392" s="44"/>
      <c r="G392" s="44"/>
      <c r="H392" s="44"/>
      <c r="I392" s="44"/>
      <c r="J392" s="44"/>
      <c r="K392" s="44"/>
      <c r="L392" s="44"/>
      <c r="M392" s="44"/>
      <c r="N392" s="44"/>
      <c r="O392" s="44"/>
    </row>
    <row r="393" spans="1:15" ht="17.25" customHeight="1">
      <c r="A393" s="44"/>
      <c r="B393" s="44"/>
      <c r="C393" s="44"/>
      <c r="D393" s="44"/>
      <c r="E393" s="44"/>
      <c r="F393" s="44"/>
      <c r="G393" s="44"/>
      <c r="H393" s="44"/>
      <c r="I393" s="44"/>
      <c r="J393" s="44"/>
      <c r="K393" s="44"/>
      <c r="L393" s="44"/>
      <c r="M393" s="44"/>
      <c r="N393" s="44"/>
      <c r="O393" s="44"/>
    </row>
    <row r="394" spans="1:15" ht="17.25" customHeight="1">
      <c r="A394" s="44"/>
      <c r="B394" s="44"/>
      <c r="C394" s="44"/>
      <c r="D394" s="44"/>
      <c r="E394" s="44"/>
      <c r="F394" s="44"/>
      <c r="G394" s="44"/>
      <c r="H394" s="44"/>
      <c r="I394" s="44"/>
      <c r="J394" s="44"/>
      <c r="K394" s="44"/>
      <c r="L394" s="44"/>
      <c r="M394" s="44"/>
      <c r="N394" s="44"/>
      <c r="O394" s="44"/>
    </row>
    <row r="395" spans="1:15" ht="17.25" customHeight="1">
      <c r="A395" s="44"/>
      <c r="B395" s="44"/>
      <c r="C395" s="44"/>
      <c r="D395" s="44"/>
      <c r="E395" s="44"/>
      <c r="F395" s="44"/>
      <c r="G395" s="44"/>
      <c r="H395" s="44"/>
      <c r="I395" s="44"/>
      <c r="J395" s="44"/>
      <c r="K395" s="44"/>
      <c r="L395" s="44"/>
      <c r="M395" s="44"/>
      <c r="N395" s="44"/>
      <c r="O395" s="44"/>
    </row>
    <row r="396" spans="1:15" ht="17.25" customHeight="1">
      <c r="A396" s="44"/>
      <c r="B396" s="44"/>
      <c r="C396" s="44"/>
      <c r="D396" s="44"/>
      <c r="E396" s="44"/>
      <c r="F396" s="44"/>
      <c r="G396" s="44"/>
      <c r="H396" s="44"/>
      <c r="I396" s="44"/>
      <c r="J396" s="44"/>
      <c r="K396" s="44"/>
      <c r="L396" s="44"/>
      <c r="M396" s="44"/>
      <c r="N396" s="44"/>
      <c r="O396" s="44"/>
    </row>
    <row r="397" spans="1:15" ht="17.25" customHeight="1">
      <c r="A397" s="44"/>
      <c r="B397" s="44"/>
      <c r="C397" s="44"/>
      <c r="D397" s="44"/>
      <c r="E397" s="44"/>
      <c r="F397" s="44"/>
      <c r="G397" s="44"/>
      <c r="H397" s="44"/>
      <c r="I397" s="44"/>
      <c r="J397" s="44"/>
      <c r="K397" s="44"/>
      <c r="L397" s="44"/>
      <c r="M397" s="44"/>
      <c r="N397" s="44"/>
      <c r="O397" s="44"/>
    </row>
    <row r="398" spans="1:15" ht="17.25" customHeight="1">
      <c r="A398" s="44"/>
      <c r="B398" s="44"/>
      <c r="C398" s="44"/>
      <c r="D398" s="44"/>
      <c r="E398" s="44"/>
      <c r="F398" s="44"/>
      <c r="G398" s="44"/>
      <c r="H398" s="44"/>
      <c r="I398" s="44"/>
      <c r="J398" s="44"/>
      <c r="K398" s="44"/>
      <c r="L398" s="44"/>
      <c r="M398" s="44"/>
      <c r="N398" s="44"/>
      <c r="O398" s="44"/>
    </row>
    <row r="399" spans="1:15" ht="17.25" customHeight="1">
      <c r="A399" s="44"/>
      <c r="B399" s="44"/>
      <c r="C399" s="44"/>
      <c r="D399" s="44"/>
      <c r="E399" s="44"/>
      <c r="F399" s="44"/>
      <c r="G399" s="44"/>
      <c r="H399" s="44"/>
      <c r="I399" s="44"/>
      <c r="J399" s="44"/>
      <c r="K399" s="44"/>
      <c r="L399" s="44"/>
      <c r="M399" s="44"/>
      <c r="N399" s="44"/>
      <c r="O399" s="44"/>
    </row>
    <row r="400" spans="1:15" ht="17.25" customHeight="1">
      <c r="A400" s="44"/>
      <c r="B400" s="44"/>
      <c r="C400" s="44"/>
      <c r="D400" s="44"/>
      <c r="E400" s="44"/>
      <c r="F400" s="44"/>
      <c r="G400" s="44"/>
      <c r="H400" s="44"/>
      <c r="I400" s="44"/>
      <c r="J400" s="44"/>
      <c r="K400" s="44"/>
      <c r="L400" s="44"/>
      <c r="M400" s="44"/>
      <c r="N400" s="44"/>
      <c r="O400" s="44"/>
    </row>
    <row r="401" spans="1:15" ht="17.25" customHeight="1">
      <c r="A401" s="44"/>
      <c r="B401" s="44"/>
      <c r="C401" s="44"/>
      <c r="D401" s="44"/>
      <c r="E401" s="44"/>
      <c r="F401" s="44"/>
      <c r="G401" s="44"/>
      <c r="H401" s="44"/>
      <c r="I401" s="44"/>
      <c r="J401" s="44"/>
      <c r="K401" s="44"/>
      <c r="L401" s="44"/>
      <c r="M401" s="44"/>
      <c r="N401" s="44"/>
      <c r="O401" s="44"/>
    </row>
    <row r="402" spans="1:15" ht="17.25" customHeight="1">
      <c r="A402" s="44"/>
      <c r="B402" s="44"/>
      <c r="C402" s="44"/>
      <c r="D402" s="44"/>
      <c r="E402" s="44"/>
      <c r="F402" s="44"/>
      <c r="G402" s="44"/>
      <c r="H402" s="44"/>
      <c r="I402" s="44"/>
      <c r="J402" s="44"/>
      <c r="K402" s="44"/>
      <c r="L402" s="44"/>
      <c r="M402" s="44"/>
      <c r="N402" s="44"/>
      <c r="O402" s="44"/>
    </row>
    <row r="403" spans="1:15" ht="17.25" customHeight="1">
      <c r="A403" s="44"/>
      <c r="B403" s="44"/>
      <c r="C403" s="44"/>
      <c r="D403" s="44"/>
      <c r="E403" s="44"/>
      <c r="F403" s="44"/>
      <c r="G403" s="44"/>
      <c r="H403" s="44"/>
      <c r="I403" s="44"/>
      <c r="J403" s="44"/>
      <c r="K403" s="44"/>
      <c r="L403" s="44"/>
      <c r="M403" s="44"/>
      <c r="N403" s="44"/>
      <c r="O403" s="44"/>
    </row>
    <row r="404" spans="1:15" ht="17.25" customHeight="1">
      <c r="A404" s="44"/>
      <c r="B404" s="44"/>
      <c r="C404" s="44"/>
      <c r="D404" s="44"/>
      <c r="E404" s="44"/>
      <c r="F404" s="44"/>
      <c r="G404" s="44"/>
      <c r="H404" s="44"/>
      <c r="I404" s="44"/>
      <c r="J404" s="44"/>
      <c r="K404" s="44"/>
      <c r="L404" s="44"/>
      <c r="M404" s="44"/>
      <c r="N404" s="44"/>
      <c r="O404" s="44"/>
    </row>
    <row r="405" spans="1:15" ht="17.25" customHeight="1">
      <c r="A405" s="44"/>
      <c r="B405" s="44"/>
      <c r="C405" s="44"/>
      <c r="D405" s="44"/>
      <c r="E405" s="44"/>
      <c r="F405" s="44"/>
      <c r="G405" s="44"/>
      <c r="H405" s="44"/>
      <c r="I405" s="44"/>
      <c r="J405" s="44"/>
      <c r="K405" s="44"/>
      <c r="L405" s="44"/>
      <c r="M405" s="44"/>
      <c r="N405" s="44"/>
      <c r="O405" s="44"/>
    </row>
    <row r="406" spans="1:15" ht="17.25" customHeight="1">
      <c r="A406" s="44"/>
      <c r="B406" s="44"/>
      <c r="C406" s="44"/>
      <c r="D406" s="44"/>
      <c r="E406" s="44"/>
      <c r="F406" s="44"/>
      <c r="G406" s="44"/>
      <c r="H406" s="44"/>
      <c r="I406" s="44"/>
      <c r="J406" s="44"/>
      <c r="K406" s="44"/>
      <c r="L406" s="44"/>
      <c r="M406" s="44"/>
      <c r="N406" s="44"/>
      <c r="O406" s="44"/>
    </row>
    <row r="407" spans="1:15" ht="17.25" customHeight="1">
      <c r="A407" s="44"/>
      <c r="B407" s="44"/>
      <c r="C407" s="44"/>
      <c r="D407" s="44"/>
      <c r="E407" s="44"/>
      <c r="F407" s="44"/>
      <c r="G407" s="44"/>
      <c r="H407" s="44"/>
      <c r="I407" s="44"/>
      <c r="J407" s="44"/>
      <c r="K407" s="44"/>
      <c r="L407" s="44"/>
      <c r="M407" s="44"/>
      <c r="N407" s="44"/>
      <c r="O407" s="44"/>
    </row>
    <row r="408" spans="1:15" ht="17.25" customHeight="1">
      <c r="A408" s="44"/>
      <c r="B408" s="44"/>
      <c r="C408" s="44"/>
      <c r="D408" s="44"/>
      <c r="E408" s="44"/>
      <c r="F408" s="44"/>
      <c r="G408" s="44"/>
      <c r="H408" s="44"/>
      <c r="I408" s="44"/>
      <c r="J408" s="44"/>
      <c r="K408" s="44"/>
      <c r="L408" s="44"/>
      <c r="M408" s="44"/>
      <c r="N408" s="44"/>
      <c r="O408" s="44"/>
    </row>
    <row r="409" spans="1:15" ht="17.25" customHeight="1">
      <c r="A409" s="44"/>
      <c r="B409" s="44"/>
      <c r="C409" s="44"/>
      <c r="D409" s="44"/>
      <c r="E409" s="44"/>
      <c r="F409" s="44"/>
      <c r="G409" s="44"/>
      <c r="H409" s="44"/>
      <c r="I409" s="44"/>
      <c r="J409" s="44"/>
      <c r="K409" s="44"/>
      <c r="L409" s="44"/>
      <c r="M409" s="44"/>
      <c r="N409" s="44"/>
      <c r="O409" s="44"/>
    </row>
    <row r="410" spans="1:15" ht="17.25" customHeight="1">
      <c r="A410" s="44"/>
      <c r="B410" s="44"/>
      <c r="C410" s="44"/>
      <c r="D410" s="44"/>
      <c r="E410" s="44"/>
      <c r="F410" s="44"/>
      <c r="G410" s="44"/>
      <c r="H410" s="44"/>
      <c r="I410" s="44"/>
      <c r="J410" s="44"/>
      <c r="K410" s="44"/>
      <c r="L410" s="44"/>
      <c r="M410" s="44"/>
      <c r="N410" s="44"/>
      <c r="O410" s="44"/>
    </row>
    <row r="411" spans="1:15" ht="17.25" customHeight="1">
      <c r="A411" s="44"/>
      <c r="B411" s="44"/>
      <c r="C411" s="44"/>
      <c r="D411" s="44"/>
      <c r="E411" s="44"/>
      <c r="F411" s="44"/>
      <c r="G411" s="44"/>
      <c r="H411" s="44"/>
      <c r="I411" s="44"/>
      <c r="J411" s="44"/>
      <c r="K411" s="44"/>
      <c r="L411" s="44"/>
      <c r="M411" s="44"/>
      <c r="N411" s="44"/>
      <c r="O411" s="44"/>
    </row>
    <row r="412" spans="1:15" ht="17.25" customHeight="1">
      <c r="A412" s="44"/>
      <c r="B412" s="44"/>
      <c r="C412" s="44"/>
      <c r="D412" s="44"/>
      <c r="E412" s="44"/>
      <c r="F412" s="44"/>
      <c r="G412" s="44"/>
      <c r="H412" s="44"/>
      <c r="I412" s="44"/>
      <c r="J412" s="44"/>
      <c r="K412" s="44"/>
      <c r="L412" s="44"/>
      <c r="M412" s="44"/>
      <c r="N412" s="44"/>
      <c r="O412" s="44"/>
    </row>
    <row r="413" spans="1:15" ht="17.25" customHeight="1">
      <c r="A413" s="44"/>
      <c r="B413" s="44"/>
      <c r="C413" s="44"/>
      <c r="D413" s="44"/>
      <c r="E413" s="44"/>
      <c r="F413" s="44"/>
      <c r="G413" s="44"/>
      <c r="H413" s="44"/>
      <c r="I413" s="44"/>
      <c r="J413" s="44"/>
      <c r="K413" s="44"/>
      <c r="L413" s="44"/>
      <c r="M413" s="44"/>
      <c r="N413" s="44"/>
      <c r="O413" s="44"/>
    </row>
    <row r="414" spans="1:15" ht="17.25" customHeight="1">
      <c r="A414" s="44"/>
      <c r="B414" s="44"/>
      <c r="C414" s="44"/>
      <c r="D414" s="44"/>
      <c r="E414" s="44"/>
      <c r="F414" s="44"/>
      <c r="G414" s="44"/>
      <c r="H414" s="44"/>
      <c r="I414" s="44"/>
      <c r="J414" s="44"/>
      <c r="K414" s="44"/>
      <c r="L414" s="44"/>
      <c r="M414" s="44"/>
      <c r="N414" s="44"/>
      <c r="O414" s="44"/>
    </row>
    <row r="415" spans="1:15" ht="17.25" customHeight="1">
      <c r="A415" s="44"/>
      <c r="B415" s="44"/>
      <c r="C415" s="44"/>
      <c r="D415" s="44"/>
      <c r="E415" s="44"/>
      <c r="F415" s="44"/>
      <c r="G415" s="44"/>
      <c r="H415" s="44"/>
      <c r="I415" s="44"/>
      <c r="J415" s="44"/>
      <c r="K415" s="44"/>
      <c r="L415" s="44"/>
      <c r="M415" s="44"/>
      <c r="N415" s="44"/>
      <c r="O415" s="44"/>
    </row>
    <row r="416" spans="1:15" ht="17.25" customHeight="1">
      <c r="A416" s="44"/>
      <c r="B416" s="44"/>
      <c r="C416" s="44"/>
      <c r="D416" s="44"/>
      <c r="E416" s="44"/>
      <c r="F416" s="44"/>
      <c r="G416" s="44"/>
      <c r="H416" s="44"/>
      <c r="I416" s="44"/>
      <c r="J416" s="44"/>
      <c r="K416" s="44"/>
      <c r="L416" s="44"/>
      <c r="M416" s="44"/>
      <c r="N416" s="44"/>
      <c r="O416" s="44"/>
    </row>
    <row r="417" spans="1:15" ht="17.25" customHeight="1">
      <c r="A417" s="44"/>
      <c r="B417" s="44"/>
      <c r="C417" s="44"/>
      <c r="D417" s="44"/>
      <c r="E417" s="44"/>
      <c r="F417" s="44"/>
      <c r="G417" s="44"/>
      <c r="H417" s="44"/>
      <c r="I417" s="44"/>
      <c r="J417" s="44"/>
      <c r="K417" s="44"/>
      <c r="L417" s="44"/>
      <c r="M417" s="44"/>
      <c r="N417" s="44"/>
      <c r="O417" s="44"/>
    </row>
    <row r="418" spans="1:15" ht="17.25" customHeight="1">
      <c r="A418" s="44"/>
      <c r="B418" s="44"/>
      <c r="C418" s="44"/>
      <c r="D418" s="44"/>
      <c r="E418" s="44"/>
      <c r="F418" s="44"/>
      <c r="G418" s="44"/>
      <c r="H418" s="44"/>
      <c r="I418" s="44"/>
      <c r="J418" s="44"/>
      <c r="K418" s="44"/>
      <c r="L418" s="44"/>
      <c r="M418" s="44"/>
      <c r="N418" s="44"/>
      <c r="O418" s="44"/>
    </row>
    <row r="419" spans="1:15" ht="17.25" customHeight="1">
      <c r="A419" s="44"/>
      <c r="B419" s="44"/>
      <c r="C419" s="44"/>
      <c r="D419" s="44"/>
      <c r="E419" s="44"/>
      <c r="F419" s="44"/>
      <c r="G419" s="44"/>
      <c r="H419" s="44"/>
      <c r="I419" s="44"/>
      <c r="J419" s="44"/>
      <c r="K419" s="44"/>
      <c r="L419" s="44"/>
      <c r="M419" s="44"/>
      <c r="N419" s="44"/>
      <c r="O419" s="44"/>
    </row>
    <row r="420" spans="1:15" ht="17.25" customHeight="1">
      <c r="A420" s="44"/>
      <c r="B420" s="44"/>
      <c r="C420" s="44"/>
      <c r="D420" s="44"/>
      <c r="E420" s="44"/>
      <c r="F420" s="44"/>
      <c r="G420" s="44"/>
      <c r="H420" s="44"/>
      <c r="I420" s="44"/>
      <c r="J420" s="44"/>
      <c r="K420" s="44"/>
      <c r="L420" s="44"/>
      <c r="M420" s="44"/>
      <c r="N420" s="44"/>
      <c r="O420" s="44"/>
    </row>
    <row r="421" spans="1:15" ht="17.25" customHeight="1">
      <c r="A421" s="44"/>
      <c r="B421" s="44"/>
      <c r="C421" s="44"/>
      <c r="D421" s="44"/>
      <c r="E421" s="44"/>
      <c r="F421" s="44"/>
      <c r="G421" s="44"/>
      <c r="H421" s="44"/>
      <c r="I421" s="44"/>
      <c r="J421" s="44"/>
      <c r="K421" s="44"/>
      <c r="L421" s="44"/>
      <c r="M421" s="44"/>
      <c r="N421" s="44"/>
      <c r="O421" s="44"/>
    </row>
    <row r="422" spans="1:15" ht="17.25" customHeight="1">
      <c r="A422" s="44"/>
      <c r="B422" s="44"/>
      <c r="C422" s="44"/>
      <c r="D422" s="44"/>
      <c r="E422" s="44"/>
      <c r="F422" s="44"/>
      <c r="G422" s="44"/>
      <c r="H422" s="44"/>
      <c r="I422" s="44"/>
      <c r="J422" s="44"/>
      <c r="K422" s="44"/>
      <c r="L422" s="44"/>
      <c r="M422" s="44"/>
      <c r="N422" s="44"/>
      <c r="O422" s="44"/>
    </row>
    <row r="423" spans="1:15" ht="17.25" customHeight="1">
      <c r="A423" s="44"/>
      <c r="B423" s="44"/>
      <c r="C423" s="44"/>
      <c r="D423" s="44"/>
      <c r="E423" s="44"/>
      <c r="F423" s="44"/>
      <c r="G423" s="44"/>
      <c r="H423" s="44"/>
      <c r="I423" s="44"/>
      <c r="J423" s="44"/>
      <c r="K423" s="44"/>
      <c r="L423" s="44"/>
      <c r="M423" s="44"/>
      <c r="N423" s="44"/>
      <c r="O423" s="44"/>
    </row>
    <row r="424" spans="1:15" ht="17.25" customHeight="1">
      <c r="A424" s="44"/>
      <c r="B424" s="44"/>
      <c r="C424" s="44"/>
      <c r="D424" s="44"/>
      <c r="E424" s="44"/>
      <c r="F424" s="44"/>
      <c r="G424" s="44"/>
      <c r="H424" s="44"/>
      <c r="I424" s="44"/>
      <c r="J424" s="44"/>
      <c r="K424" s="44"/>
      <c r="L424" s="44"/>
      <c r="M424" s="44"/>
      <c r="N424" s="44"/>
      <c r="O424" s="44"/>
    </row>
    <row r="425" spans="1:15" ht="17.25" customHeight="1">
      <c r="A425" s="44"/>
      <c r="B425" s="44"/>
      <c r="C425" s="44"/>
      <c r="D425" s="44"/>
      <c r="E425" s="44"/>
      <c r="F425" s="44"/>
      <c r="G425" s="44"/>
      <c r="H425" s="44"/>
      <c r="I425" s="44"/>
      <c r="J425" s="44"/>
      <c r="K425" s="44"/>
      <c r="L425" s="44"/>
      <c r="M425" s="44"/>
      <c r="N425" s="44"/>
      <c r="O425" s="44"/>
    </row>
    <row r="426" spans="1:15" ht="17.25" customHeight="1">
      <c r="A426" s="44"/>
      <c r="B426" s="44"/>
      <c r="C426" s="44"/>
      <c r="D426" s="44"/>
      <c r="E426" s="44"/>
      <c r="F426" s="44"/>
      <c r="G426" s="44"/>
      <c r="H426" s="44"/>
      <c r="I426" s="44"/>
      <c r="J426" s="44"/>
      <c r="K426" s="44"/>
      <c r="L426" s="44"/>
      <c r="M426" s="44"/>
      <c r="N426" s="44"/>
      <c r="O426" s="44"/>
    </row>
    <row r="427" spans="1:15" ht="17.25" customHeight="1">
      <c r="A427" s="44"/>
      <c r="B427" s="44"/>
      <c r="C427" s="44"/>
      <c r="D427" s="44"/>
      <c r="E427" s="44"/>
      <c r="F427" s="44"/>
      <c r="G427" s="44"/>
      <c r="H427" s="44"/>
      <c r="I427" s="44"/>
      <c r="J427" s="44"/>
      <c r="K427" s="44"/>
      <c r="L427" s="44"/>
      <c r="M427" s="44"/>
      <c r="N427" s="44"/>
      <c r="O427" s="44"/>
    </row>
    <row r="428" spans="1:15" ht="17.25" customHeight="1">
      <c r="A428" s="44"/>
      <c r="B428" s="44"/>
      <c r="C428" s="44"/>
      <c r="D428" s="44"/>
      <c r="E428" s="44"/>
      <c r="F428" s="44"/>
      <c r="G428" s="44"/>
      <c r="H428" s="44"/>
      <c r="I428" s="44"/>
      <c r="J428" s="44"/>
      <c r="K428" s="44"/>
      <c r="L428" s="44"/>
      <c r="M428" s="44"/>
      <c r="N428" s="44"/>
      <c r="O428" s="44"/>
    </row>
    <row r="429" spans="1:15" ht="17.25" customHeight="1">
      <c r="A429" s="44"/>
      <c r="B429" s="44"/>
      <c r="C429" s="44"/>
      <c r="D429" s="44"/>
      <c r="E429" s="44"/>
      <c r="F429" s="44"/>
      <c r="G429" s="44"/>
      <c r="H429" s="44"/>
      <c r="I429" s="44"/>
      <c r="J429" s="44"/>
      <c r="K429" s="44"/>
      <c r="L429" s="44"/>
      <c r="M429" s="44"/>
      <c r="N429" s="44"/>
      <c r="O429" s="44"/>
    </row>
    <row r="430" spans="1:15" ht="17.25" customHeight="1">
      <c r="A430" s="44"/>
      <c r="B430" s="44"/>
      <c r="C430" s="44"/>
      <c r="D430" s="44"/>
      <c r="E430" s="44"/>
      <c r="F430" s="44"/>
      <c r="G430" s="44"/>
      <c r="H430" s="44"/>
      <c r="I430" s="44"/>
      <c r="J430" s="44"/>
      <c r="K430" s="44"/>
      <c r="L430" s="44"/>
      <c r="M430" s="44"/>
      <c r="N430" s="44"/>
      <c r="O430" s="44"/>
    </row>
    <row r="431" spans="1:15" ht="17.25" customHeight="1">
      <c r="A431" s="44"/>
      <c r="B431" s="44"/>
      <c r="C431" s="44"/>
      <c r="D431" s="44"/>
      <c r="E431" s="44"/>
      <c r="F431" s="44"/>
      <c r="G431" s="44"/>
      <c r="H431" s="44"/>
      <c r="I431" s="44"/>
      <c r="J431" s="44"/>
      <c r="K431" s="44"/>
      <c r="L431" s="44"/>
      <c r="M431" s="44"/>
      <c r="N431" s="44"/>
      <c r="O431" s="44"/>
    </row>
    <row r="432" spans="1:15" ht="17.25" customHeight="1">
      <c r="A432" s="44"/>
      <c r="B432" s="44"/>
      <c r="C432" s="44"/>
      <c r="D432" s="44"/>
      <c r="E432" s="44"/>
      <c r="F432" s="44"/>
      <c r="G432" s="44"/>
      <c r="H432" s="44"/>
      <c r="I432" s="44"/>
      <c r="J432" s="44"/>
      <c r="K432" s="44"/>
      <c r="L432" s="44"/>
      <c r="M432" s="44"/>
      <c r="N432" s="44"/>
      <c r="O432" s="44"/>
    </row>
    <row r="433" spans="1:15" ht="17.25" customHeight="1">
      <c r="A433" s="44"/>
      <c r="B433" s="44"/>
      <c r="C433" s="44"/>
      <c r="D433" s="44"/>
      <c r="E433" s="44"/>
      <c r="F433" s="44"/>
      <c r="G433" s="44"/>
      <c r="H433" s="44"/>
      <c r="I433" s="44"/>
      <c r="J433" s="44"/>
      <c r="K433" s="44"/>
      <c r="L433" s="44"/>
      <c r="M433" s="44"/>
      <c r="N433" s="44"/>
      <c r="O433" s="44"/>
    </row>
    <row r="434" spans="1:15" ht="17.25" customHeight="1">
      <c r="A434" s="44"/>
      <c r="B434" s="44"/>
      <c r="C434" s="44"/>
      <c r="D434" s="44"/>
      <c r="E434" s="44"/>
      <c r="F434" s="44"/>
      <c r="G434" s="44"/>
      <c r="H434" s="44"/>
      <c r="I434" s="44"/>
      <c r="J434" s="44"/>
      <c r="K434" s="44"/>
      <c r="L434" s="44"/>
      <c r="M434" s="44"/>
      <c r="N434" s="44"/>
      <c r="O434" s="44"/>
    </row>
    <row r="435" spans="1:15" ht="17.25" customHeight="1">
      <c r="A435" s="44"/>
      <c r="B435" s="44"/>
      <c r="C435" s="44"/>
      <c r="D435" s="44"/>
      <c r="E435" s="44"/>
      <c r="F435" s="44"/>
      <c r="G435" s="44"/>
      <c r="H435" s="44"/>
      <c r="I435" s="44"/>
      <c r="J435" s="44"/>
      <c r="K435" s="44"/>
      <c r="L435" s="44"/>
      <c r="M435" s="44"/>
      <c r="N435" s="44"/>
      <c r="O435" s="44"/>
    </row>
    <row r="436" spans="1:15" ht="17.25" customHeight="1">
      <c r="A436" s="44"/>
      <c r="B436" s="44"/>
      <c r="C436" s="44"/>
      <c r="D436" s="44"/>
      <c r="E436" s="44"/>
      <c r="F436" s="44"/>
      <c r="G436" s="44"/>
      <c r="H436" s="44"/>
      <c r="I436" s="44"/>
      <c r="J436" s="44"/>
      <c r="K436" s="44"/>
      <c r="L436" s="44"/>
      <c r="M436" s="44"/>
      <c r="N436" s="44"/>
      <c r="O436" s="44"/>
    </row>
    <row r="437" spans="1:15" ht="17.25" customHeight="1">
      <c r="A437" s="44"/>
      <c r="B437" s="44"/>
      <c r="C437" s="44"/>
      <c r="D437" s="44"/>
      <c r="E437" s="44"/>
      <c r="F437" s="44"/>
      <c r="G437" s="44"/>
      <c r="H437" s="44"/>
      <c r="I437" s="44"/>
      <c r="J437" s="44"/>
      <c r="K437" s="44"/>
      <c r="L437" s="44"/>
      <c r="M437" s="44"/>
      <c r="N437" s="44"/>
      <c r="O437" s="44"/>
    </row>
    <row r="438" spans="1:15" ht="17.25" customHeight="1">
      <c r="A438" s="44"/>
      <c r="B438" s="44"/>
      <c r="C438" s="44"/>
      <c r="D438" s="44"/>
      <c r="E438" s="44"/>
      <c r="F438" s="44"/>
      <c r="G438" s="44"/>
      <c r="H438" s="44"/>
      <c r="I438" s="44"/>
      <c r="J438" s="44"/>
      <c r="K438" s="44"/>
      <c r="L438" s="44"/>
      <c r="M438" s="44"/>
      <c r="N438" s="44"/>
      <c r="O438" s="44"/>
    </row>
    <row r="439" spans="1:15" ht="17.25" customHeight="1">
      <c r="A439" s="44"/>
      <c r="B439" s="44"/>
      <c r="C439" s="44"/>
      <c r="D439" s="44"/>
      <c r="E439" s="44"/>
      <c r="F439" s="44"/>
      <c r="G439" s="44"/>
      <c r="H439" s="44"/>
      <c r="I439" s="44"/>
      <c r="J439" s="44"/>
      <c r="K439" s="44"/>
      <c r="L439" s="44"/>
      <c r="M439" s="44"/>
      <c r="N439" s="44"/>
      <c r="O439" s="44"/>
    </row>
    <row r="440" spans="1:15" ht="17.25" customHeight="1">
      <c r="A440" s="44"/>
      <c r="B440" s="44"/>
      <c r="C440" s="44"/>
      <c r="D440" s="44"/>
      <c r="E440" s="44"/>
      <c r="F440" s="44"/>
      <c r="G440" s="44"/>
      <c r="H440" s="44"/>
      <c r="I440" s="44"/>
      <c r="J440" s="44"/>
      <c r="K440" s="44"/>
      <c r="L440" s="44"/>
      <c r="M440" s="44"/>
      <c r="N440" s="44"/>
      <c r="O440" s="44"/>
    </row>
    <row r="441" spans="1:15" ht="17.25" customHeight="1">
      <c r="A441" s="44"/>
      <c r="B441" s="44"/>
      <c r="C441" s="44"/>
      <c r="D441" s="44"/>
      <c r="E441" s="44"/>
      <c r="F441" s="44"/>
      <c r="G441" s="44"/>
      <c r="H441" s="44"/>
      <c r="I441" s="44"/>
      <c r="J441" s="44"/>
      <c r="K441" s="44"/>
      <c r="L441" s="44"/>
      <c r="M441" s="44"/>
      <c r="N441" s="44"/>
      <c r="O441" s="44"/>
    </row>
    <row r="442" spans="1:15" ht="17.25" customHeight="1">
      <c r="A442" s="44"/>
      <c r="B442" s="44"/>
      <c r="C442" s="44"/>
      <c r="D442" s="44"/>
      <c r="E442" s="44"/>
      <c r="F442" s="44"/>
      <c r="G442" s="44"/>
      <c r="H442" s="44"/>
      <c r="I442" s="44"/>
      <c r="J442" s="44"/>
      <c r="K442" s="44"/>
      <c r="L442" s="44"/>
      <c r="M442" s="44"/>
      <c r="N442" s="44"/>
      <c r="O442" s="44"/>
    </row>
    <row r="443" spans="1:15" ht="17.25" customHeight="1">
      <c r="A443" s="44"/>
      <c r="B443" s="44"/>
      <c r="C443" s="44"/>
      <c r="D443" s="44"/>
      <c r="E443" s="44"/>
      <c r="F443" s="44"/>
      <c r="G443" s="44"/>
      <c r="H443" s="44"/>
      <c r="I443" s="44"/>
      <c r="J443" s="44"/>
      <c r="K443" s="44"/>
      <c r="L443" s="44"/>
      <c r="M443" s="44"/>
      <c r="N443" s="44"/>
      <c r="O443" s="44"/>
    </row>
    <row r="444" spans="1:15" ht="17.25" customHeight="1">
      <c r="A444" s="44"/>
      <c r="B444" s="44"/>
      <c r="C444" s="44"/>
      <c r="D444" s="44"/>
      <c r="E444" s="44"/>
      <c r="F444" s="44"/>
      <c r="G444" s="44"/>
      <c r="H444" s="44"/>
      <c r="I444" s="44"/>
      <c r="J444" s="44"/>
      <c r="K444" s="44"/>
      <c r="L444" s="44"/>
      <c r="M444" s="44"/>
      <c r="N444" s="44"/>
      <c r="O444" s="44"/>
    </row>
    <row r="445" spans="1:15" ht="17.25" customHeight="1">
      <c r="A445" s="44"/>
      <c r="B445" s="44"/>
      <c r="C445" s="44"/>
      <c r="D445" s="44"/>
      <c r="E445" s="44"/>
      <c r="F445" s="44"/>
      <c r="G445" s="44"/>
      <c r="H445" s="44"/>
      <c r="I445" s="44"/>
      <c r="J445" s="44"/>
      <c r="K445" s="44"/>
      <c r="L445" s="44"/>
      <c r="M445" s="44"/>
      <c r="N445" s="44"/>
      <c r="O445" s="44"/>
    </row>
    <row r="446" spans="1:15" ht="17.25" customHeight="1">
      <c r="A446" s="44"/>
      <c r="B446" s="44"/>
      <c r="C446" s="44"/>
      <c r="D446" s="44"/>
      <c r="E446" s="44"/>
      <c r="F446" s="44"/>
      <c r="G446" s="44"/>
      <c r="H446" s="44"/>
      <c r="I446" s="44"/>
      <c r="J446" s="44"/>
      <c r="K446" s="44"/>
      <c r="L446" s="44"/>
      <c r="M446" s="44"/>
      <c r="N446" s="44"/>
      <c r="O446" s="44"/>
    </row>
    <row r="447" spans="1:15" ht="17.25" customHeight="1">
      <c r="A447" s="44"/>
      <c r="B447" s="44"/>
      <c r="C447" s="44"/>
      <c r="D447" s="44"/>
      <c r="E447" s="44"/>
      <c r="F447" s="44"/>
      <c r="G447" s="44"/>
      <c r="H447" s="44"/>
      <c r="I447" s="44"/>
      <c r="J447" s="44"/>
      <c r="K447" s="44"/>
      <c r="L447" s="44"/>
      <c r="M447" s="44"/>
      <c r="N447" s="44"/>
      <c r="O447" s="44"/>
    </row>
    <row r="448" spans="1:15" ht="17.25" customHeight="1">
      <c r="A448" s="44"/>
      <c r="B448" s="44"/>
      <c r="C448" s="44"/>
      <c r="D448" s="44"/>
      <c r="E448" s="44"/>
      <c r="F448" s="44"/>
      <c r="G448" s="44"/>
      <c r="H448" s="44"/>
      <c r="I448" s="44"/>
      <c r="J448" s="44"/>
      <c r="K448" s="44"/>
      <c r="L448" s="44"/>
      <c r="M448" s="44"/>
      <c r="N448" s="44"/>
      <c r="O448" s="44"/>
    </row>
    <row r="449" spans="1:15" ht="17.25" customHeight="1">
      <c r="A449" s="44"/>
      <c r="B449" s="44"/>
      <c r="C449" s="44"/>
      <c r="D449" s="44"/>
      <c r="E449" s="44"/>
      <c r="F449" s="44"/>
      <c r="G449" s="44"/>
      <c r="H449" s="44"/>
      <c r="I449" s="44"/>
      <c r="J449" s="44"/>
      <c r="K449" s="44"/>
      <c r="L449" s="44"/>
      <c r="M449" s="44"/>
      <c r="N449" s="44"/>
      <c r="O449" s="44"/>
    </row>
    <row r="450" spans="1:15" ht="17.25" customHeight="1">
      <c r="A450" s="44"/>
      <c r="B450" s="44"/>
      <c r="C450" s="44"/>
      <c r="D450" s="44"/>
      <c r="E450" s="44"/>
      <c r="F450" s="44"/>
      <c r="G450" s="44"/>
      <c r="H450" s="44"/>
      <c r="I450" s="44"/>
      <c r="J450" s="44"/>
      <c r="K450" s="44"/>
      <c r="L450" s="44"/>
      <c r="M450" s="44"/>
      <c r="N450" s="44"/>
      <c r="O450" s="44"/>
    </row>
    <row r="451" spans="1:15" ht="17.25" customHeight="1">
      <c r="A451" s="44"/>
      <c r="B451" s="44"/>
      <c r="C451" s="44"/>
      <c r="D451" s="44"/>
      <c r="E451" s="44"/>
      <c r="F451" s="44"/>
      <c r="G451" s="44"/>
      <c r="H451" s="44"/>
      <c r="I451" s="44"/>
      <c r="J451" s="44"/>
      <c r="K451" s="44"/>
      <c r="L451" s="44"/>
      <c r="M451" s="44"/>
      <c r="N451" s="44"/>
      <c r="O451" s="44"/>
    </row>
    <row r="452" spans="1:15" ht="17.25" customHeight="1">
      <c r="A452" s="44"/>
      <c r="B452" s="44"/>
      <c r="C452" s="44"/>
      <c r="D452" s="44"/>
      <c r="E452" s="44"/>
      <c r="F452" s="44"/>
      <c r="G452" s="44"/>
      <c r="H452" s="44"/>
      <c r="I452" s="44"/>
      <c r="J452" s="44"/>
      <c r="K452" s="44"/>
      <c r="L452" s="44"/>
      <c r="M452" s="44"/>
      <c r="N452" s="44"/>
      <c r="O452" s="44"/>
    </row>
    <row r="453" spans="1:15" ht="17.25" customHeight="1">
      <c r="A453" s="44"/>
      <c r="B453" s="44"/>
      <c r="C453" s="44"/>
      <c r="D453" s="44"/>
      <c r="E453" s="44"/>
      <c r="F453" s="44"/>
      <c r="G453" s="44"/>
      <c r="H453" s="44"/>
      <c r="I453" s="44"/>
      <c r="J453" s="44"/>
      <c r="K453" s="44"/>
      <c r="L453" s="44"/>
      <c r="M453" s="44"/>
      <c r="N453" s="44"/>
      <c r="O453" s="44"/>
    </row>
    <row r="454" spans="1:15" ht="17.25" customHeight="1">
      <c r="A454" s="44"/>
      <c r="B454" s="44"/>
      <c r="C454" s="44"/>
      <c r="D454" s="44"/>
      <c r="E454" s="44"/>
      <c r="F454" s="44"/>
      <c r="G454" s="44"/>
      <c r="H454" s="44"/>
      <c r="I454" s="44"/>
      <c r="J454" s="44"/>
      <c r="K454" s="44"/>
      <c r="L454" s="44"/>
      <c r="M454" s="44"/>
      <c r="N454" s="44"/>
      <c r="O454" s="44"/>
    </row>
    <row r="455" spans="1:15" ht="17.25" customHeight="1">
      <c r="A455" s="44"/>
      <c r="B455" s="44"/>
      <c r="C455" s="44"/>
      <c r="D455" s="44"/>
      <c r="E455" s="44"/>
      <c r="F455" s="44"/>
      <c r="G455" s="44"/>
      <c r="H455" s="44"/>
      <c r="I455" s="44"/>
      <c r="J455" s="44"/>
      <c r="K455" s="44"/>
      <c r="L455" s="44"/>
      <c r="M455" s="44"/>
      <c r="N455" s="44"/>
      <c r="O455" s="44"/>
    </row>
    <row r="456" spans="1:15" ht="17.25" customHeight="1">
      <c r="A456" s="44"/>
      <c r="B456" s="44"/>
      <c r="C456" s="44"/>
      <c r="D456" s="44"/>
      <c r="E456" s="44"/>
      <c r="F456" s="44"/>
      <c r="G456" s="44"/>
      <c r="H456" s="44"/>
      <c r="I456" s="44"/>
      <c r="J456" s="44"/>
      <c r="K456" s="44"/>
      <c r="L456" s="44"/>
      <c r="M456" s="44"/>
      <c r="N456" s="44"/>
      <c r="O456" s="44"/>
    </row>
    <row r="457" spans="1:15" ht="17.25" customHeight="1">
      <c r="A457" s="44"/>
      <c r="B457" s="44"/>
      <c r="C457" s="44"/>
      <c r="D457" s="44"/>
      <c r="E457" s="44"/>
      <c r="F457" s="44"/>
      <c r="G457" s="44"/>
      <c r="H457" s="44"/>
      <c r="I457" s="44"/>
      <c r="J457" s="44"/>
      <c r="K457" s="44"/>
      <c r="L457" s="44"/>
      <c r="M457" s="44"/>
      <c r="N457" s="44"/>
      <c r="O457" s="44"/>
    </row>
    <row r="458" spans="1:15" ht="17.25" customHeight="1">
      <c r="A458" s="44"/>
      <c r="B458" s="44"/>
      <c r="C458" s="44"/>
      <c r="D458" s="44"/>
      <c r="E458" s="44"/>
      <c r="F458" s="44"/>
      <c r="G458" s="44"/>
      <c r="H458" s="44"/>
      <c r="I458" s="44"/>
      <c r="J458" s="44"/>
      <c r="K458" s="44"/>
      <c r="L458" s="44"/>
      <c r="M458" s="44"/>
      <c r="N458" s="44"/>
      <c r="O458" s="44"/>
    </row>
    <row r="459" spans="1:15" ht="17.25" customHeight="1">
      <c r="A459" s="44"/>
      <c r="B459" s="44"/>
      <c r="C459" s="44"/>
      <c r="D459" s="44"/>
      <c r="E459" s="44"/>
      <c r="F459" s="44"/>
      <c r="G459" s="44"/>
      <c r="H459" s="44"/>
      <c r="I459" s="44"/>
      <c r="J459" s="44"/>
      <c r="K459" s="44"/>
      <c r="L459" s="44"/>
      <c r="M459" s="44"/>
      <c r="N459" s="44"/>
      <c r="O459" s="44"/>
    </row>
    <row r="460" spans="1:15" ht="17.25" customHeight="1">
      <c r="A460" s="44"/>
      <c r="B460" s="44"/>
      <c r="C460" s="44"/>
      <c r="D460" s="44"/>
      <c r="E460" s="44"/>
      <c r="F460" s="44"/>
      <c r="G460" s="44"/>
      <c r="H460" s="44"/>
      <c r="I460" s="44"/>
      <c r="J460" s="44"/>
      <c r="K460" s="44"/>
      <c r="L460" s="44"/>
      <c r="M460" s="44"/>
      <c r="N460" s="44"/>
      <c r="O460" s="44"/>
    </row>
    <row r="461" spans="1:15" ht="17.25" customHeight="1">
      <c r="A461" s="44"/>
      <c r="B461" s="44"/>
      <c r="C461" s="44"/>
      <c r="D461" s="44"/>
      <c r="E461" s="44"/>
      <c r="F461" s="44"/>
      <c r="G461" s="44"/>
      <c r="H461" s="44"/>
      <c r="I461" s="44"/>
      <c r="J461" s="44"/>
      <c r="K461" s="44"/>
      <c r="L461" s="44"/>
      <c r="M461" s="44"/>
      <c r="N461" s="44"/>
      <c r="O461" s="44"/>
    </row>
    <row r="462" spans="1:15" ht="17.25" customHeight="1">
      <c r="A462" s="44"/>
      <c r="B462" s="44"/>
      <c r="C462" s="44"/>
      <c r="D462" s="44"/>
      <c r="E462" s="44"/>
      <c r="F462" s="44"/>
      <c r="G462" s="44"/>
      <c r="H462" s="44"/>
      <c r="I462" s="44"/>
      <c r="J462" s="44"/>
      <c r="K462" s="44"/>
      <c r="L462" s="44"/>
      <c r="M462" s="44"/>
      <c r="N462" s="44"/>
      <c r="O462" s="44"/>
    </row>
    <row r="463" spans="1:15" ht="17.25" customHeight="1">
      <c r="A463" s="44"/>
      <c r="B463" s="44"/>
      <c r="C463" s="44"/>
      <c r="D463" s="44"/>
      <c r="E463" s="44"/>
      <c r="F463" s="44"/>
      <c r="G463" s="44"/>
      <c r="H463" s="44"/>
      <c r="I463" s="44"/>
      <c r="J463" s="44"/>
      <c r="K463" s="44"/>
      <c r="L463" s="44"/>
      <c r="M463" s="44"/>
      <c r="N463" s="44"/>
      <c r="O463" s="44"/>
    </row>
    <row r="464" spans="1:15" ht="17.25" customHeight="1">
      <c r="A464" s="44"/>
      <c r="B464" s="44"/>
      <c r="C464" s="44"/>
      <c r="D464" s="44"/>
      <c r="E464" s="44"/>
      <c r="F464" s="44"/>
      <c r="G464" s="44"/>
      <c r="H464" s="44"/>
      <c r="I464" s="44"/>
      <c r="J464" s="44"/>
      <c r="K464" s="44"/>
      <c r="L464" s="44"/>
      <c r="M464" s="44"/>
      <c r="N464" s="44"/>
      <c r="O464" s="44"/>
    </row>
    <row r="465" spans="1:15" ht="17.25" customHeight="1">
      <c r="A465" s="44"/>
      <c r="B465" s="44"/>
      <c r="C465" s="44"/>
      <c r="D465" s="44"/>
      <c r="E465" s="44"/>
      <c r="F465" s="44"/>
      <c r="G465" s="44"/>
      <c r="H465" s="44"/>
      <c r="I465" s="44"/>
      <c r="J465" s="44"/>
      <c r="K465" s="44"/>
      <c r="L465" s="44"/>
      <c r="M465" s="44"/>
      <c r="N465" s="44"/>
      <c r="O465" s="44"/>
    </row>
    <row r="466" spans="1:15" ht="17.25" customHeight="1">
      <c r="A466" s="44"/>
      <c r="B466" s="44"/>
      <c r="C466" s="44"/>
      <c r="D466" s="44"/>
      <c r="E466" s="44"/>
      <c r="F466" s="44"/>
      <c r="G466" s="44"/>
      <c r="H466" s="44"/>
      <c r="I466" s="44"/>
      <c r="J466" s="44"/>
      <c r="K466" s="44"/>
      <c r="L466" s="44"/>
      <c r="M466" s="44"/>
      <c r="N466" s="44"/>
      <c r="O466" s="44"/>
    </row>
    <row r="467" spans="1:15" ht="17.25" customHeight="1">
      <c r="A467" s="44"/>
      <c r="B467" s="44"/>
      <c r="C467" s="44"/>
      <c r="D467" s="44"/>
      <c r="E467" s="44"/>
      <c r="F467" s="44"/>
      <c r="G467" s="44"/>
      <c r="H467" s="44"/>
      <c r="I467" s="44"/>
      <c r="J467" s="44"/>
      <c r="K467" s="44"/>
      <c r="L467" s="44"/>
      <c r="M467" s="44"/>
      <c r="N467" s="44"/>
      <c r="O467" s="44"/>
    </row>
    <row r="468" spans="1:15" ht="17.25" customHeight="1">
      <c r="A468" s="44"/>
      <c r="B468" s="44"/>
      <c r="C468" s="44"/>
      <c r="D468" s="44"/>
      <c r="E468" s="44"/>
      <c r="F468" s="44"/>
      <c r="G468" s="44"/>
      <c r="H468" s="44"/>
      <c r="I468" s="44"/>
      <c r="J468" s="44"/>
      <c r="K468" s="44"/>
      <c r="L468" s="44"/>
      <c r="M468" s="44"/>
      <c r="N468" s="44"/>
      <c r="O468" s="44"/>
    </row>
    <row r="469" spans="1:15" ht="17.25" customHeight="1">
      <c r="A469" s="44"/>
      <c r="B469" s="44"/>
      <c r="C469" s="44"/>
      <c r="D469" s="44"/>
      <c r="E469" s="44"/>
      <c r="F469" s="44"/>
      <c r="G469" s="44"/>
      <c r="H469" s="44"/>
      <c r="I469" s="44"/>
      <c r="J469" s="44"/>
      <c r="K469" s="44"/>
      <c r="L469" s="44"/>
      <c r="M469" s="44"/>
      <c r="N469" s="44"/>
      <c r="O469" s="44"/>
    </row>
    <row r="470" spans="1:15" ht="17.25" customHeight="1">
      <c r="A470" s="44"/>
      <c r="B470" s="44"/>
      <c r="C470" s="44"/>
      <c r="D470" s="44"/>
      <c r="E470" s="44"/>
      <c r="F470" s="44"/>
      <c r="G470" s="44"/>
      <c r="H470" s="44"/>
      <c r="I470" s="44"/>
      <c r="J470" s="44"/>
      <c r="K470" s="44"/>
      <c r="L470" s="44"/>
      <c r="M470" s="44"/>
      <c r="N470" s="44"/>
      <c r="O470" s="44"/>
    </row>
    <row r="471" spans="1:15" ht="17.25" customHeight="1">
      <c r="A471" s="44"/>
      <c r="B471" s="44"/>
      <c r="C471" s="44"/>
      <c r="D471" s="44"/>
      <c r="E471" s="44"/>
      <c r="F471" s="44"/>
      <c r="G471" s="44"/>
      <c r="H471" s="44"/>
      <c r="I471" s="44"/>
      <c r="J471" s="44"/>
      <c r="K471" s="44"/>
      <c r="L471" s="44"/>
      <c r="M471" s="44"/>
      <c r="N471" s="44"/>
      <c r="O471" s="44"/>
    </row>
    <row r="472" spans="1:15" ht="17.25" customHeight="1">
      <c r="A472" s="44"/>
      <c r="B472" s="44"/>
      <c r="C472" s="44"/>
      <c r="D472" s="44"/>
      <c r="E472" s="44"/>
      <c r="F472" s="44"/>
      <c r="G472" s="44"/>
      <c r="H472" s="44"/>
      <c r="I472" s="44"/>
      <c r="J472" s="44"/>
      <c r="K472" s="44"/>
      <c r="L472" s="44"/>
      <c r="M472" s="44"/>
      <c r="N472" s="44"/>
      <c r="O472" s="44"/>
    </row>
    <row r="473" spans="1:15" ht="17.25" customHeight="1">
      <c r="A473" s="44"/>
      <c r="B473" s="44"/>
      <c r="C473" s="44"/>
      <c r="D473" s="44"/>
      <c r="E473" s="44"/>
      <c r="F473" s="44"/>
      <c r="G473" s="44"/>
      <c r="H473" s="44"/>
      <c r="I473" s="44"/>
      <c r="J473" s="44"/>
      <c r="K473" s="44"/>
      <c r="L473" s="44"/>
      <c r="M473" s="44"/>
      <c r="N473" s="44"/>
      <c r="O473" s="44"/>
    </row>
    <row r="474" spans="1:15" ht="17.25" customHeight="1">
      <c r="A474" s="44"/>
      <c r="B474" s="44"/>
      <c r="C474" s="44"/>
      <c r="D474" s="44"/>
      <c r="E474" s="44"/>
      <c r="F474" s="44"/>
      <c r="G474" s="44"/>
      <c r="H474" s="44"/>
      <c r="I474" s="44"/>
      <c r="J474" s="44"/>
      <c r="K474" s="44"/>
      <c r="L474" s="44"/>
      <c r="M474" s="44"/>
      <c r="N474" s="44"/>
      <c r="O474" s="44"/>
    </row>
    <row r="475" spans="1:15" ht="17.25" customHeight="1">
      <c r="A475" s="44"/>
      <c r="B475" s="44"/>
      <c r="C475" s="44"/>
      <c r="D475" s="44"/>
      <c r="E475" s="44"/>
      <c r="F475" s="44"/>
      <c r="G475" s="44"/>
      <c r="H475" s="44"/>
      <c r="I475" s="44"/>
      <c r="J475" s="44"/>
      <c r="K475" s="44"/>
      <c r="L475" s="44"/>
      <c r="M475" s="44"/>
      <c r="N475" s="44"/>
      <c r="O475" s="44"/>
    </row>
    <row r="476" spans="1:15" ht="17.25" customHeight="1">
      <c r="A476" s="44"/>
      <c r="B476" s="44"/>
      <c r="C476" s="44"/>
      <c r="D476" s="44"/>
      <c r="E476" s="44"/>
      <c r="F476" s="44"/>
      <c r="G476" s="44"/>
      <c r="H476" s="44"/>
      <c r="I476" s="44"/>
      <c r="J476" s="44"/>
      <c r="K476" s="44"/>
      <c r="L476" s="44"/>
      <c r="M476" s="44"/>
      <c r="N476" s="44"/>
      <c r="O476" s="44"/>
    </row>
    <row r="477" spans="1:15" ht="17.25" customHeight="1">
      <c r="A477" s="44"/>
      <c r="B477" s="44"/>
      <c r="C477" s="44"/>
      <c r="D477" s="44"/>
      <c r="E477" s="44"/>
      <c r="F477" s="44"/>
      <c r="G477" s="44"/>
      <c r="H477" s="44"/>
      <c r="I477" s="44"/>
      <c r="J477" s="44"/>
      <c r="K477" s="44"/>
      <c r="L477" s="44"/>
      <c r="M477" s="44"/>
      <c r="N477" s="44"/>
      <c r="O477" s="44"/>
    </row>
    <row r="478" spans="1:15" ht="17.25" customHeight="1">
      <c r="A478" s="44"/>
      <c r="B478" s="44"/>
      <c r="C478" s="44"/>
      <c r="D478" s="44"/>
      <c r="E478" s="44"/>
      <c r="F478" s="44"/>
      <c r="G478" s="44"/>
      <c r="H478" s="44"/>
      <c r="I478" s="44"/>
      <c r="J478" s="44"/>
      <c r="K478" s="44"/>
      <c r="L478" s="44"/>
      <c r="M478" s="44"/>
      <c r="N478" s="44"/>
      <c r="O478" s="44"/>
    </row>
    <row r="479" spans="1:15" ht="17.25" customHeight="1">
      <c r="A479" s="44"/>
      <c r="B479" s="44"/>
      <c r="C479" s="44"/>
      <c r="D479" s="44"/>
      <c r="E479" s="44"/>
      <c r="F479" s="44"/>
      <c r="G479" s="44"/>
      <c r="H479" s="44"/>
      <c r="I479" s="44"/>
      <c r="J479" s="44"/>
      <c r="K479" s="44"/>
      <c r="L479" s="44"/>
      <c r="M479" s="44"/>
      <c r="N479" s="44"/>
      <c r="O479" s="44"/>
    </row>
    <row r="480" spans="1:15" ht="17.25" customHeight="1">
      <c r="A480" s="44"/>
      <c r="B480" s="44"/>
      <c r="C480" s="44"/>
      <c r="D480" s="44"/>
      <c r="E480" s="44"/>
      <c r="F480" s="44"/>
      <c r="G480" s="44"/>
      <c r="H480" s="44"/>
      <c r="I480" s="44"/>
      <c r="J480" s="44"/>
      <c r="K480" s="44"/>
      <c r="L480" s="44"/>
      <c r="M480" s="44"/>
      <c r="N480" s="44"/>
      <c r="O480" s="44"/>
    </row>
    <row r="481" spans="1:15" ht="17.25" customHeight="1">
      <c r="A481" s="44"/>
      <c r="B481" s="44"/>
      <c r="C481" s="44"/>
      <c r="D481" s="44"/>
      <c r="E481" s="44"/>
      <c r="F481" s="44"/>
      <c r="G481" s="44"/>
      <c r="H481" s="44"/>
      <c r="I481" s="44"/>
      <c r="J481" s="44"/>
      <c r="K481" s="44"/>
      <c r="L481" s="44"/>
      <c r="M481" s="44"/>
      <c r="N481" s="44"/>
      <c r="O481" s="44"/>
    </row>
    <row r="482" spans="1:15" ht="17.25" customHeight="1">
      <c r="A482" s="44"/>
      <c r="B482" s="44"/>
      <c r="C482" s="44"/>
      <c r="D482" s="44"/>
      <c r="E482" s="44"/>
      <c r="F482" s="44"/>
      <c r="G482" s="44"/>
      <c r="H482" s="44"/>
      <c r="I482" s="44"/>
      <c r="J482" s="44"/>
      <c r="K482" s="44"/>
      <c r="L482" s="44"/>
      <c r="M482" s="44"/>
      <c r="N482" s="44"/>
      <c r="O482" s="44"/>
    </row>
    <row r="483" spans="1:15" ht="17.25" customHeight="1">
      <c r="A483" s="44"/>
      <c r="B483" s="44"/>
      <c r="C483" s="44"/>
      <c r="D483" s="44"/>
      <c r="E483" s="44"/>
      <c r="F483" s="44"/>
      <c r="G483" s="44"/>
      <c r="H483" s="44"/>
      <c r="I483" s="44"/>
      <c r="J483" s="44"/>
      <c r="K483" s="44"/>
      <c r="L483" s="44"/>
      <c r="M483" s="44"/>
      <c r="N483" s="44"/>
      <c r="O483" s="44"/>
    </row>
    <row r="484" spans="1:15" ht="17.25" customHeight="1">
      <c r="A484" s="44"/>
      <c r="B484" s="44"/>
      <c r="C484" s="44"/>
      <c r="D484" s="44"/>
      <c r="E484" s="44"/>
      <c r="F484" s="44"/>
      <c r="G484" s="44"/>
      <c r="H484" s="44"/>
      <c r="I484" s="44"/>
      <c r="J484" s="44"/>
      <c r="K484" s="44"/>
      <c r="L484" s="44"/>
      <c r="M484" s="44"/>
      <c r="N484" s="44"/>
      <c r="O484" s="44"/>
    </row>
    <row r="485" spans="1:15" ht="17.25" customHeight="1">
      <c r="A485" s="44"/>
      <c r="B485" s="44"/>
      <c r="C485" s="44"/>
      <c r="D485" s="44"/>
      <c r="E485" s="44"/>
      <c r="F485" s="44"/>
      <c r="G485" s="44"/>
      <c r="H485" s="44"/>
      <c r="I485" s="44"/>
      <c r="J485" s="44"/>
      <c r="K485" s="44"/>
      <c r="L485" s="44"/>
      <c r="M485" s="44"/>
      <c r="N485" s="44"/>
      <c r="O485" s="44"/>
    </row>
    <row r="486" spans="1:15" ht="17.25" customHeight="1">
      <c r="A486" s="44"/>
      <c r="B486" s="44"/>
      <c r="C486" s="44"/>
      <c r="D486" s="44"/>
      <c r="E486" s="44"/>
      <c r="F486" s="44"/>
      <c r="G486" s="44"/>
      <c r="H486" s="44"/>
      <c r="I486" s="44"/>
      <c r="J486" s="44"/>
      <c r="K486" s="44"/>
      <c r="L486" s="44"/>
      <c r="M486" s="44"/>
      <c r="N486" s="44"/>
      <c r="O486" s="44"/>
    </row>
    <row r="487" spans="1:15" ht="17.25" customHeight="1">
      <c r="A487" s="44"/>
      <c r="B487" s="44"/>
      <c r="C487" s="44"/>
      <c r="D487" s="44"/>
      <c r="E487" s="44"/>
      <c r="F487" s="44"/>
      <c r="G487" s="44"/>
      <c r="H487" s="44"/>
      <c r="I487" s="44"/>
      <c r="J487" s="44"/>
      <c r="K487" s="44"/>
      <c r="L487" s="44"/>
      <c r="M487" s="44"/>
      <c r="N487" s="44"/>
      <c r="O487" s="44"/>
    </row>
    <row r="488" spans="1:15" ht="17.25" customHeight="1">
      <c r="A488" s="44"/>
      <c r="B488" s="44"/>
      <c r="C488" s="44"/>
      <c r="D488" s="44"/>
      <c r="E488" s="44"/>
      <c r="F488" s="44"/>
      <c r="G488" s="44"/>
      <c r="H488" s="44"/>
      <c r="I488" s="44"/>
      <c r="J488" s="44"/>
      <c r="K488" s="44"/>
      <c r="L488" s="44"/>
      <c r="M488" s="44"/>
      <c r="N488" s="44"/>
      <c r="O488" s="44"/>
    </row>
    <row r="489" spans="1:15" ht="17.25" customHeight="1">
      <c r="A489" s="44"/>
      <c r="B489" s="44"/>
      <c r="C489" s="44"/>
      <c r="D489" s="44"/>
      <c r="E489" s="44"/>
      <c r="F489" s="44"/>
      <c r="G489" s="44"/>
      <c r="H489" s="44"/>
      <c r="I489" s="44"/>
      <c r="J489" s="44"/>
      <c r="K489" s="44"/>
      <c r="L489" s="44"/>
      <c r="M489" s="44"/>
      <c r="N489" s="44"/>
      <c r="O489" s="44"/>
    </row>
    <row r="490" spans="1:15" ht="17.25" customHeight="1">
      <c r="A490" s="44"/>
      <c r="B490" s="44"/>
      <c r="C490" s="44"/>
      <c r="D490" s="44"/>
      <c r="E490" s="44"/>
      <c r="F490" s="44"/>
      <c r="G490" s="44"/>
      <c r="H490" s="44"/>
      <c r="I490" s="44"/>
      <c r="J490" s="44"/>
      <c r="K490" s="44"/>
      <c r="L490" s="44"/>
      <c r="M490" s="44"/>
      <c r="N490" s="44"/>
      <c r="O490" s="44"/>
    </row>
    <row r="491" spans="1:15" ht="17.25" customHeight="1">
      <c r="A491" s="44"/>
      <c r="B491" s="44"/>
      <c r="C491" s="44"/>
      <c r="D491" s="44"/>
      <c r="E491" s="44"/>
      <c r="F491" s="44"/>
      <c r="G491" s="44"/>
      <c r="H491" s="44"/>
      <c r="I491" s="44"/>
      <c r="J491" s="44"/>
      <c r="K491" s="44"/>
      <c r="L491" s="44"/>
      <c r="M491" s="44"/>
      <c r="N491" s="44"/>
      <c r="O491" s="44"/>
    </row>
    <row r="492" spans="1:15" ht="17.25" customHeight="1">
      <c r="A492" s="44"/>
      <c r="B492" s="44"/>
      <c r="C492" s="44"/>
      <c r="D492" s="44"/>
      <c r="E492" s="44"/>
      <c r="F492" s="44"/>
      <c r="G492" s="44"/>
      <c r="H492" s="44"/>
      <c r="I492" s="44"/>
      <c r="J492" s="44"/>
      <c r="K492" s="44"/>
      <c r="L492" s="44"/>
      <c r="M492" s="44"/>
      <c r="N492" s="44"/>
      <c r="O492" s="44"/>
    </row>
    <row r="493" spans="1:15" ht="17.25" customHeight="1">
      <c r="A493" s="44"/>
      <c r="B493" s="44"/>
      <c r="C493" s="44"/>
      <c r="D493" s="44"/>
      <c r="E493" s="44"/>
      <c r="F493" s="44"/>
      <c r="G493" s="44"/>
      <c r="H493" s="44"/>
      <c r="I493" s="44"/>
      <c r="J493" s="44"/>
      <c r="K493" s="44"/>
      <c r="L493" s="44"/>
      <c r="M493" s="44"/>
      <c r="N493" s="44"/>
      <c r="O493" s="44"/>
    </row>
    <row r="494" spans="1:15" ht="17.25" customHeight="1">
      <c r="A494" s="44"/>
      <c r="B494" s="44"/>
      <c r="C494" s="44"/>
      <c r="D494" s="44"/>
      <c r="E494" s="44"/>
      <c r="F494" s="44"/>
      <c r="G494" s="44"/>
      <c r="H494" s="44"/>
      <c r="I494" s="44"/>
      <c r="J494" s="44"/>
      <c r="K494" s="44"/>
      <c r="L494" s="44"/>
      <c r="M494" s="44"/>
      <c r="N494" s="44"/>
      <c r="O494" s="44"/>
    </row>
    <row r="495" spans="1:15" ht="17.25" customHeight="1">
      <c r="A495" s="44"/>
      <c r="B495" s="44"/>
      <c r="C495" s="44"/>
      <c r="D495" s="44"/>
      <c r="E495" s="44"/>
      <c r="F495" s="44"/>
      <c r="G495" s="44"/>
      <c r="H495" s="44"/>
      <c r="I495" s="44"/>
      <c r="J495" s="44"/>
      <c r="K495" s="44"/>
      <c r="L495" s="44"/>
      <c r="M495" s="44"/>
      <c r="N495" s="44"/>
      <c r="O495" s="44"/>
    </row>
    <row r="496" spans="1:15" ht="17.25" customHeight="1">
      <c r="A496" s="44"/>
      <c r="B496" s="44"/>
      <c r="C496" s="44"/>
      <c r="D496" s="44"/>
      <c r="E496" s="44"/>
      <c r="F496" s="44"/>
      <c r="G496" s="44"/>
      <c r="H496" s="44"/>
      <c r="I496" s="44"/>
      <c r="J496" s="44"/>
      <c r="K496" s="44"/>
      <c r="L496" s="44"/>
      <c r="M496" s="44"/>
      <c r="N496" s="44"/>
      <c r="O496" s="44"/>
    </row>
    <row r="497" spans="1:15" ht="17.25" customHeight="1">
      <c r="A497" s="44"/>
      <c r="B497" s="44"/>
      <c r="C497" s="44"/>
      <c r="D497" s="44"/>
      <c r="E497" s="44"/>
      <c r="F497" s="44"/>
      <c r="G497" s="44"/>
      <c r="H497" s="44"/>
      <c r="I497" s="44"/>
      <c r="J497" s="44"/>
      <c r="K497" s="44"/>
      <c r="L497" s="44"/>
      <c r="M497" s="44"/>
      <c r="N497" s="44"/>
      <c r="O497" s="44"/>
    </row>
    <row r="498" spans="1:15" ht="17.25" customHeight="1">
      <c r="A498" s="44"/>
      <c r="B498" s="44"/>
      <c r="C498" s="44"/>
      <c r="D498" s="44"/>
      <c r="E498" s="44"/>
      <c r="F498" s="44"/>
      <c r="G498" s="44"/>
      <c r="H498" s="44"/>
      <c r="I498" s="44"/>
      <c r="J498" s="44"/>
      <c r="K498" s="44"/>
      <c r="L498" s="44"/>
      <c r="M498" s="44"/>
      <c r="N498" s="44"/>
      <c r="O498" s="44"/>
    </row>
    <row r="499" spans="1:15" ht="17.25" customHeight="1">
      <c r="A499" s="44"/>
      <c r="B499" s="44"/>
      <c r="C499" s="44"/>
      <c r="D499" s="44"/>
      <c r="E499" s="44"/>
      <c r="F499" s="44"/>
      <c r="G499" s="44"/>
      <c r="H499" s="44"/>
      <c r="I499" s="44"/>
      <c r="J499" s="44"/>
      <c r="K499" s="44"/>
      <c r="L499" s="44"/>
      <c r="M499" s="44"/>
      <c r="N499" s="44"/>
      <c r="O499" s="44"/>
    </row>
    <row r="500" spans="1:15" ht="17.25" customHeight="1">
      <c r="A500" s="44"/>
      <c r="B500" s="44"/>
      <c r="C500" s="44"/>
      <c r="D500" s="44"/>
      <c r="E500" s="44"/>
      <c r="F500" s="44"/>
      <c r="G500" s="44"/>
      <c r="H500" s="44"/>
      <c r="I500" s="44"/>
      <c r="J500" s="44"/>
      <c r="K500" s="44"/>
      <c r="L500" s="44"/>
      <c r="M500" s="44"/>
      <c r="N500" s="44"/>
      <c r="O500" s="44"/>
    </row>
    <row r="501" spans="1:15" ht="17.25" customHeight="1">
      <c r="A501" s="44"/>
      <c r="B501" s="44"/>
      <c r="C501" s="44"/>
      <c r="D501" s="44"/>
      <c r="E501" s="44"/>
      <c r="F501" s="44"/>
      <c r="G501" s="44"/>
      <c r="H501" s="44"/>
      <c r="I501" s="44"/>
      <c r="J501" s="44"/>
      <c r="K501" s="44"/>
      <c r="L501" s="44"/>
      <c r="M501" s="44"/>
      <c r="N501" s="44"/>
      <c r="O501" s="44"/>
    </row>
    <row r="502" spans="1:15" ht="17.25" customHeight="1">
      <c r="A502" s="44"/>
      <c r="B502" s="44"/>
      <c r="C502" s="44"/>
      <c r="D502" s="44"/>
      <c r="E502" s="44"/>
      <c r="F502" s="44"/>
      <c r="G502" s="44"/>
      <c r="H502" s="44"/>
      <c r="I502" s="44"/>
      <c r="J502" s="44"/>
      <c r="K502" s="44"/>
      <c r="L502" s="44"/>
      <c r="M502" s="44"/>
      <c r="N502" s="44"/>
      <c r="O502" s="44"/>
    </row>
    <row r="503" spans="1:15" ht="17.25" customHeight="1">
      <c r="A503" s="44"/>
      <c r="B503" s="44"/>
      <c r="C503" s="44"/>
      <c r="D503" s="44"/>
      <c r="E503" s="44"/>
      <c r="F503" s="44"/>
      <c r="G503" s="44"/>
      <c r="H503" s="44"/>
      <c r="I503" s="44"/>
      <c r="J503" s="44"/>
      <c r="K503" s="44"/>
      <c r="L503" s="44"/>
      <c r="M503" s="44"/>
      <c r="N503" s="44"/>
      <c r="O503" s="44"/>
    </row>
    <row r="504" spans="1:15" ht="17.25" customHeight="1">
      <c r="A504" s="44"/>
      <c r="B504" s="44"/>
      <c r="C504" s="44"/>
      <c r="D504" s="44"/>
      <c r="E504" s="44"/>
      <c r="F504" s="44"/>
      <c r="G504" s="44"/>
      <c r="H504" s="44"/>
      <c r="I504" s="44"/>
      <c r="J504" s="44"/>
      <c r="K504" s="44"/>
      <c r="L504" s="44"/>
      <c r="M504" s="44"/>
      <c r="N504" s="44"/>
      <c r="O504" s="44"/>
    </row>
    <row r="505" spans="1:15" ht="17.25" customHeight="1">
      <c r="A505" s="44"/>
      <c r="B505" s="44"/>
      <c r="C505" s="44"/>
      <c r="D505" s="44"/>
      <c r="E505" s="44"/>
      <c r="F505" s="44"/>
      <c r="G505" s="44"/>
      <c r="H505" s="44"/>
      <c r="I505" s="44"/>
      <c r="J505" s="44"/>
      <c r="K505" s="44"/>
      <c r="L505" s="44"/>
      <c r="M505" s="44"/>
      <c r="N505" s="44"/>
      <c r="O505" s="44"/>
    </row>
    <row r="506" spans="1:15" ht="17.25" customHeight="1">
      <c r="A506" s="44"/>
      <c r="B506" s="44"/>
      <c r="C506" s="44"/>
      <c r="D506" s="44"/>
      <c r="E506" s="44"/>
      <c r="F506" s="44"/>
      <c r="G506" s="44"/>
      <c r="H506" s="44"/>
      <c r="I506" s="44"/>
      <c r="J506" s="44"/>
      <c r="K506" s="44"/>
      <c r="L506" s="44"/>
      <c r="M506" s="44"/>
      <c r="N506" s="44"/>
      <c r="O506" s="44"/>
    </row>
    <row r="507" spans="1:15" ht="17.25" customHeight="1">
      <c r="A507" s="44"/>
      <c r="B507" s="44"/>
      <c r="C507" s="44"/>
      <c r="D507" s="44"/>
      <c r="E507" s="44"/>
      <c r="F507" s="44"/>
      <c r="G507" s="44"/>
      <c r="H507" s="44"/>
      <c r="I507" s="44"/>
      <c r="J507" s="44"/>
      <c r="K507" s="44"/>
      <c r="L507" s="44"/>
      <c r="M507" s="44"/>
      <c r="N507" s="44"/>
      <c r="O507" s="44"/>
    </row>
    <row r="508" spans="1:15" ht="17.25" customHeight="1">
      <c r="A508" s="44"/>
      <c r="B508" s="44"/>
      <c r="C508" s="44"/>
      <c r="D508" s="44"/>
      <c r="E508" s="44"/>
      <c r="F508" s="44"/>
      <c r="G508" s="44"/>
      <c r="H508" s="44"/>
      <c r="I508" s="44"/>
      <c r="J508" s="44"/>
      <c r="K508" s="44"/>
      <c r="L508" s="44"/>
      <c r="M508" s="44"/>
      <c r="N508" s="44"/>
      <c r="O508" s="44"/>
    </row>
    <row r="509" spans="1:15" ht="17.25" customHeight="1">
      <c r="A509" s="44"/>
      <c r="B509" s="44"/>
      <c r="C509" s="44"/>
      <c r="D509" s="44"/>
      <c r="E509" s="44"/>
      <c r="F509" s="44"/>
      <c r="G509" s="44"/>
      <c r="H509" s="44"/>
      <c r="I509" s="44"/>
      <c r="J509" s="44"/>
      <c r="K509" s="44"/>
      <c r="L509" s="44"/>
      <c r="M509" s="44"/>
      <c r="N509" s="44"/>
      <c r="O509" s="44"/>
    </row>
    <row r="510" spans="1:15" ht="17.25" customHeight="1">
      <c r="A510" s="44"/>
      <c r="B510" s="44"/>
      <c r="C510" s="44"/>
      <c r="D510" s="44"/>
      <c r="E510" s="44"/>
      <c r="F510" s="44"/>
      <c r="G510" s="44"/>
      <c r="H510" s="44"/>
      <c r="I510" s="44"/>
      <c r="J510" s="44"/>
      <c r="K510" s="44"/>
      <c r="L510" s="44"/>
      <c r="M510" s="44"/>
      <c r="N510" s="44"/>
      <c r="O510" s="44"/>
    </row>
    <row r="511" spans="1:15" ht="17.25" customHeight="1">
      <c r="A511" s="44"/>
      <c r="B511" s="44"/>
      <c r="C511" s="44"/>
      <c r="D511" s="44"/>
      <c r="E511" s="44"/>
      <c r="F511" s="44"/>
      <c r="G511" s="44"/>
      <c r="H511" s="44"/>
      <c r="I511" s="44"/>
      <c r="J511" s="44"/>
      <c r="K511" s="44"/>
      <c r="L511" s="44"/>
      <c r="M511" s="44"/>
      <c r="N511" s="44"/>
      <c r="O511" s="44"/>
    </row>
    <row r="512" spans="1:15" ht="17.25" customHeight="1">
      <c r="A512" s="44"/>
      <c r="B512" s="44"/>
      <c r="C512" s="44"/>
      <c r="D512" s="44"/>
      <c r="E512" s="44"/>
      <c r="F512" s="44"/>
      <c r="G512" s="44"/>
      <c r="H512" s="44"/>
      <c r="I512" s="44"/>
      <c r="J512" s="44"/>
      <c r="K512" s="44"/>
      <c r="L512" s="44"/>
      <c r="M512" s="44"/>
      <c r="N512" s="44"/>
      <c r="O512" s="44"/>
    </row>
    <row r="513" spans="1:15" ht="17.25" customHeight="1">
      <c r="A513" s="44"/>
      <c r="B513" s="44"/>
      <c r="C513" s="44"/>
      <c r="D513" s="44"/>
      <c r="E513" s="44"/>
      <c r="F513" s="44"/>
      <c r="G513" s="44"/>
      <c r="H513" s="44"/>
      <c r="I513" s="44"/>
      <c r="J513" s="44"/>
      <c r="K513" s="44"/>
      <c r="L513" s="44"/>
      <c r="M513" s="44"/>
      <c r="N513" s="44"/>
      <c r="O513" s="44"/>
    </row>
    <row r="514" spans="1:15" ht="17.25" customHeight="1">
      <c r="A514" s="44"/>
      <c r="B514" s="44"/>
      <c r="C514" s="44"/>
      <c r="D514" s="44"/>
      <c r="E514" s="44"/>
      <c r="F514" s="44"/>
      <c r="G514" s="44"/>
      <c r="H514" s="44"/>
      <c r="I514" s="44"/>
      <c r="J514" s="44"/>
      <c r="K514" s="44"/>
      <c r="L514" s="44"/>
      <c r="M514" s="44"/>
      <c r="N514" s="44"/>
      <c r="O514" s="44"/>
    </row>
    <row r="515" spans="1:15" ht="17.25" customHeight="1">
      <c r="A515" s="44"/>
      <c r="B515" s="44"/>
      <c r="C515" s="44"/>
      <c r="D515" s="44"/>
      <c r="E515" s="44"/>
      <c r="F515" s="44"/>
      <c r="G515" s="44"/>
      <c r="H515" s="44"/>
      <c r="I515" s="44"/>
      <c r="J515" s="44"/>
      <c r="K515" s="44"/>
      <c r="L515" s="44"/>
      <c r="M515" s="44"/>
      <c r="N515" s="44"/>
      <c r="O515" s="44"/>
    </row>
    <row r="516" spans="1:15" ht="17.25" customHeight="1">
      <c r="A516" s="44"/>
      <c r="B516" s="44"/>
      <c r="C516" s="44"/>
      <c r="D516" s="44"/>
      <c r="E516" s="44"/>
      <c r="F516" s="44"/>
      <c r="G516" s="44"/>
      <c r="H516" s="44"/>
      <c r="I516" s="44"/>
      <c r="J516" s="44"/>
      <c r="K516" s="44"/>
      <c r="L516" s="44"/>
      <c r="M516" s="44"/>
      <c r="N516" s="44"/>
      <c r="O516" s="44"/>
    </row>
    <row r="517" spans="1:15" ht="17.25" customHeight="1">
      <c r="A517" s="44"/>
      <c r="B517" s="44"/>
      <c r="C517" s="44"/>
      <c r="D517" s="44"/>
      <c r="E517" s="44"/>
      <c r="F517" s="44"/>
      <c r="G517" s="44"/>
      <c r="H517" s="44"/>
      <c r="I517" s="44"/>
      <c r="J517" s="44"/>
      <c r="K517" s="44"/>
      <c r="L517" s="44"/>
      <c r="M517" s="44"/>
      <c r="N517" s="44"/>
      <c r="O517" s="44"/>
    </row>
    <row r="518" spans="1:15" ht="17.25" customHeight="1">
      <c r="A518" s="44"/>
      <c r="B518" s="44"/>
      <c r="C518" s="44"/>
      <c r="D518" s="44"/>
      <c r="E518" s="44"/>
      <c r="F518" s="44"/>
      <c r="G518" s="44"/>
      <c r="H518" s="44"/>
      <c r="I518" s="44"/>
      <c r="J518" s="44"/>
      <c r="K518" s="44"/>
      <c r="L518" s="44"/>
      <c r="M518" s="44"/>
      <c r="N518" s="44"/>
      <c r="O518" s="44"/>
    </row>
    <row r="519" spans="1:15" ht="17.25" customHeight="1">
      <c r="A519" s="44"/>
      <c r="B519" s="44"/>
      <c r="C519" s="44"/>
      <c r="D519" s="44"/>
      <c r="E519" s="44"/>
      <c r="F519" s="44"/>
      <c r="G519" s="44"/>
      <c r="H519" s="44"/>
      <c r="I519" s="44"/>
      <c r="J519" s="44"/>
      <c r="K519" s="44"/>
      <c r="L519" s="44"/>
      <c r="M519" s="44"/>
      <c r="N519" s="44"/>
      <c r="O519" s="44"/>
    </row>
    <row r="520" spans="1:15" ht="17.25" customHeight="1">
      <c r="A520" s="44"/>
      <c r="B520" s="44"/>
      <c r="C520" s="44"/>
      <c r="D520" s="44"/>
      <c r="E520" s="44"/>
      <c r="F520" s="44"/>
      <c r="G520" s="44"/>
      <c r="H520" s="44"/>
      <c r="I520" s="44"/>
      <c r="J520" s="44"/>
      <c r="K520" s="44"/>
      <c r="L520" s="44"/>
      <c r="M520" s="44"/>
      <c r="N520" s="44"/>
      <c r="O520" s="44"/>
    </row>
    <row r="521" spans="1:15" ht="17.25" customHeight="1">
      <c r="A521" s="44"/>
      <c r="B521" s="44"/>
      <c r="C521" s="44"/>
      <c r="D521" s="44"/>
      <c r="E521" s="44"/>
      <c r="F521" s="44"/>
      <c r="G521" s="44"/>
      <c r="H521" s="44"/>
      <c r="I521" s="44"/>
      <c r="J521" s="44"/>
      <c r="K521" s="44"/>
      <c r="L521" s="44"/>
      <c r="M521" s="44"/>
      <c r="N521" s="44"/>
      <c r="O521" s="44"/>
    </row>
    <row r="522" spans="1:15" ht="17.25" customHeight="1">
      <c r="A522" s="44"/>
      <c r="B522" s="44"/>
      <c r="C522" s="44"/>
      <c r="D522" s="44"/>
      <c r="E522" s="44"/>
      <c r="F522" s="44"/>
      <c r="G522" s="44"/>
      <c r="H522" s="44"/>
      <c r="I522" s="44"/>
      <c r="J522" s="44"/>
      <c r="K522" s="44"/>
      <c r="L522" s="44"/>
      <c r="M522" s="44"/>
      <c r="N522" s="44"/>
      <c r="O522" s="44"/>
    </row>
    <row r="523" spans="1:15" ht="17.25" customHeight="1">
      <c r="A523" s="44"/>
      <c r="B523" s="44"/>
      <c r="C523" s="44"/>
      <c r="D523" s="44"/>
      <c r="E523" s="44"/>
      <c r="F523" s="44"/>
      <c r="G523" s="44"/>
      <c r="H523" s="44"/>
      <c r="I523" s="44"/>
      <c r="J523" s="44"/>
      <c r="K523" s="44"/>
      <c r="L523" s="44"/>
      <c r="M523" s="44"/>
      <c r="N523" s="44"/>
      <c r="O523" s="44"/>
    </row>
    <row r="524" spans="1:15" ht="17.25" customHeight="1">
      <c r="A524" s="44"/>
      <c r="B524" s="44"/>
      <c r="C524" s="44"/>
      <c r="D524" s="44"/>
      <c r="E524" s="44"/>
      <c r="F524" s="44"/>
      <c r="G524" s="44"/>
      <c r="H524" s="44"/>
      <c r="I524" s="44"/>
      <c r="J524" s="44"/>
      <c r="K524" s="44"/>
      <c r="L524" s="44"/>
      <c r="M524" s="44"/>
      <c r="N524" s="44"/>
      <c r="O524" s="44"/>
    </row>
    <row r="525" spans="1:15" ht="17.25" customHeight="1">
      <c r="A525" s="44"/>
      <c r="B525" s="44"/>
      <c r="C525" s="44"/>
      <c r="D525" s="44"/>
      <c r="E525" s="44"/>
      <c r="F525" s="44"/>
      <c r="G525" s="44"/>
      <c r="H525" s="44"/>
      <c r="I525" s="44"/>
      <c r="J525" s="44"/>
      <c r="K525" s="44"/>
      <c r="L525" s="44"/>
      <c r="M525" s="44"/>
      <c r="N525" s="44"/>
      <c r="O525" s="44"/>
    </row>
    <row r="526" spans="1:15" ht="17.25" customHeight="1">
      <c r="A526" s="44"/>
      <c r="B526" s="44"/>
      <c r="C526" s="44"/>
      <c r="D526" s="44"/>
      <c r="E526" s="44"/>
      <c r="F526" s="44"/>
      <c r="G526" s="44"/>
      <c r="H526" s="44"/>
      <c r="I526" s="44"/>
      <c r="J526" s="44"/>
      <c r="K526" s="44"/>
      <c r="L526" s="44"/>
      <c r="M526" s="44"/>
      <c r="N526" s="44"/>
      <c r="O526" s="44"/>
    </row>
    <row r="527" spans="1:15" ht="17.25" customHeight="1">
      <c r="A527" s="44"/>
      <c r="B527" s="44"/>
      <c r="C527" s="44"/>
      <c r="D527" s="44"/>
      <c r="E527" s="44"/>
      <c r="F527" s="44"/>
      <c r="G527" s="44"/>
      <c r="H527" s="44"/>
      <c r="I527" s="44"/>
      <c r="J527" s="44"/>
      <c r="K527" s="44"/>
      <c r="L527" s="44"/>
      <c r="M527" s="44"/>
      <c r="N527" s="44"/>
      <c r="O527" s="44"/>
    </row>
    <row r="528" spans="1:15" ht="17.25" customHeight="1">
      <c r="A528" s="44"/>
      <c r="B528" s="44"/>
      <c r="C528" s="44"/>
      <c r="D528" s="44"/>
      <c r="E528" s="44"/>
      <c r="F528" s="44"/>
      <c r="G528" s="44"/>
      <c r="H528" s="44"/>
      <c r="I528" s="44"/>
      <c r="J528" s="44"/>
      <c r="K528" s="44"/>
      <c r="L528" s="44"/>
      <c r="M528" s="44"/>
      <c r="N528" s="44"/>
      <c r="O528" s="44"/>
    </row>
    <row r="529" spans="1:15" ht="17.25" customHeight="1">
      <c r="A529" s="44"/>
      <c r="B529" s="44"/>
      <c r="C529" s="44"/>
      <c r="D529" s="44"/>
      <c r="E529" s="44"/>
      <c r="F529" s="44"/>
      <c r="G529" s="44"/>
      <c r="H529" s="44"/>
      <c r="I529" s="44"/>
      <c r="J529" s="44"/>
      <c r="K529" s="44"/>
      <c r="L529" s="44"/>
      <c r="M529" s="44"/>
      <c r="N529" s="44"/>
      <c r="O529" s="44"/>
    </row>
    <row r="530" spans="1:15" ht="17.25" customHeight="1">
      <c r="A530" s="44"/>
      <c r="B530" s="44"/>
      <c r="C530" s="44"/>
      <c r="D530" s="44"/>
      <c r="E530" s="44"/>
      <c r="F530" s="44"/>
      <c r="G530" s="44"/>
      <c r="H530" s="44"/>
      <c r="I530" s="44"/>
      <c r="J530" s="44"/>
      <c r="K530" s="44"/>
      <c r="L530" s="44"/>
      <c r="M530" s="44"/>
      <c r="N530" s="44"/>
      <c r="O530" s="44"/>
    </row>
    <row r="531" spans="1:15" ht="17.25" customHeight="1">
      <c r="A531" s="44"/>
      <c r="B531" s="44"/>
      <c r="C531" s="44"/>
      <c r="D531" s="44"/>
      <c r="E531" s="44"/>
      <c r="F531" s="44"/>
      <c r="G531" s="44"/>
      <c r="H531" s="44"/>
      <c r="I531" s="44"/>
      <c r="J531" s="44"/>
      <c r="K531" s="44"/>
      <c r="L531" s="44"/>
      <c r="M531" s="44"/>
      <c r="N531" s="44"/>
      <c r="O531" s="44"/>
    </row>
    <row r="532" spans="1:15" ht="17.25" customHeight="1">
      <c r="A532" s="44"/>
      <c r="B532" s="44"/>
      <c r="C532" s="44"/>
      <c r="D532" s="44"/>
      <c r="E532" s="44"/>
      <c r="F532" s="44"/>
      <c r="G532" s="44"/>
      <c r="H532" s="44"/>
      <c r="I532" s="44"/>
      <c r="J532" s="44"/>
      <c r="K532" s="44"/>
      <c r="L532" s="44"/>
      <c r="M532" s="44"/>
      <c r="N532" s="44"/>
      <c r="O532" s="44"/>
    </row>
    <row r="533" spans="1:15" ht="17.25" customHeight="1">
      <c r="A533" s="44"/>
      <c r="B533" s="44"/>
      <c r="C533" s="44"/>
      <c r="D533" s="44"/>
      <c r="E533" s="44"/>
      <c r="F533" s="44"/>
      <c r="G533" s="44"/>
      <c r="H533" s="44"/>
      <c r="I533" s="44"/>
      <c r="J533" s="44"/>
      <c r="K533" s="44"/>
      <c r="L533" s="44"/>
      <c r="M533" s="44"/>
      <c r="N533" s="44"/>
      <c r="O533" s="44"/>
    </row>
    <row r="534" spans="1:15" ht="17.25" customHeight="1">
      <c r="A534" s="44"/>
      <c r="B534" s="44"/>
      <c r="C534" s="44"/>
      <c r="D534" s="44"/>
      <c r="E534" s="44"/>
      <c r="F534" s="44"/>
      <c r="G534" s="44"/>
      <c r="H534" s="44"/>
      <c r="I534" s="44"/>
      <c r="J534" s="44"/>
      <c r="K534" s="44"/>
      <c r="L534" s="44"/>
      <c r="M534" s="44"/>
      <c r="N534" s="44"/>
      <c r="O534" s="44"/>
    </row>
    <row r="535" spans="1:15" ht="17.25" customHeight="1">
      <c r="A535" s="44"/>
      <c r="B535" s="44"/>
      <c r="C535" s="44"/>
      <c r="D535" s="44"/>
      <c r="E535" s="44"/>
      <c r="F535" s="44"/>
      <c r="G535" s="44"/>
      <c r="H535" s="44"/>
      <c r="I535" s="44"/>
      <c r="J535" s="44"/>
      <c r="K535" s="44"/>
      <c r="L535" s="44"/>
      <c r="M535" s="44"/>
      <c r="N535" s="44"/>
      <c r="O535" s="44"/>
    </row>
    <row r="536" spans="1:15" ht="17.25" customHeight="1">
      <c r="A536" s="44"/>
      <c r="B536" s="44"/>
      <c r="C536" s="44"/>
      <c r="D536" s="44"/>
      <c r="E536" s="44"/>
      <c r="F536" s="44"/>
      <c r="G536" s="44"/>
      <c r="H536" s="44"/>
      <c r="I536" s="44"/>
      <c r="J536" s="44"/>
      <c r="K536" s="44"/>
      <c r="L536" s="44"/>
      <c r="M536" s="44"/>
      <c r="N536" s="44"/>
      <c r="O536" s="44"/>
    </row>
    <row r="537" spans="1:15" ht="17.25" customHeight="1">
      <c r="A537" s="44"/>
      <c r="B537" s="44"/>
      <c r="C537" s="44"/>
      <c r="D537" s="44"/>
      <c r="E537" s="44"/>
      <c r="F537" s="44"/>
      <c r="G537" s="44"/>
      <c r="H537" s="44"/>
      <c r="I537" s="44"/>
      <c r="J537" s="44"/>
      <c r="K537" s="44"/>
      <c r="L537" s="44"/>
      <c r="M537" s="44"/>
      <c r="N537" s="44"/>
      <c r="O537" s="44"/>
    </row>
    <row r="538" spans="1:15" ht="17.25" customHeight="1">
      <c r="A538" s="44"/>
      <c r="B538" s="44"/>
      <c r="C538" s="44"/>
      <c r="D538" s="44"/>
      <c r="E538" s="44"/>
      <c r="F538" s="44"/>
      <c r="G538" s="44"/>
      <c r="H538" s="44"/>
      <c r="I538" s="44"/>
      <c r="J538" s="44"/>
      <c r="K538" s="44"/>
      <c r="L538" s="44"/>
      <c r="M538" s="44"/>
      <c r="N538" s="44"/>
      <c r="O538" s="44"/>
    </row>
    <row r="539" spans="1:15" ht="17.25" customHeight="1">
      <c r="A539" s="44"/>
      <c r="B539" s="44"/>
      <c r="C539" s="44"/>
      <c r="D539" s="44"/>
      <c r="E539" s="44"/>
      <c r="F539" s="44"/>
      <c r="G539" s="44"/>
      <c r="H539" s="44"/>
      <c r="I539" s="44"/>
      <c r="J539" s="44"/>
      <c r="K539" s="44"/>
      <c r="L539" s="44"/>
      <c r="M539" s="44"/>
      <c r="N539" s="44"/>
      <c r="O539" s="44"/>
    </row>
    <row r="540" spans="1:15" ht="17.25" customHeight="1">
      <c r="A540" s="44"/>
      <c r="B540" s="44"/>
      <c r="C540" s="44"/>
      <c r="D540" s="44"/>
      <c r="E540" s="44"/>
      <c r="F540" s="44"/>
      <c r="G540" s="44"/>
      <c r="H540" s="44"/>
      <c r="I540" s="44"/>
      <c r="J540" s="44"/>
      <c r="K540" s="44"/>
      <c r="L540" s="44"/>
      <c r="M540" s="44"/>
      <c r="N540" s="44"/>
      <c r="O540" s="44"/>
    </row>
    <row r="541" spans="1:15" ht="17.25" customHeight="1">
      <c r="A541" s="44"/>
      <c r="B541" s="44"/>
      <c r="C541" s="44"/>
      <c r="D541" s="44"/>
      <c r="E541" s="44"/>
      <c r="F541" s="44"/>
      <c r="G541" s="44"/>
      <c r="H541" s="44"/>
      <c r="I541" s="44"/>
      <c r="J541" s="44"/>
      <c r="K541" s="44"/>
      <c r="L541" s="44"/>
      <c r="M541" s="44"/>
      <c r="N541" s="44"/>
      <c r="O541" s="44"/>
    </row>
    <row r="542" spans="1:15" ht="17.25" customHeight="1">
      <c r="A542" s="44"/>
      <c r="B542" s="44"/>
      <c r="C542" s="44"/>
      <c r="D542" s="44"/>
      <c r="E542" s="44"/>
      <c r="F542" s="44"/>
      <c r="G542" s="44"/>
      <c r="H542" s="44"/>
      <c r="I542" s="44"/>
      <c r="J542" s="44"/>
      <c r="K542" s="44"/>
      <c r="L542" s="44"/>
      <c r="M542" s="44"/>
      <c r="N542" s="44"/>
      <c r="O542" s="44"/>
    </row>
    <row r="543" spans="1:15" ht="17.25" customHeight="1">
      <c r="A543" s="44"/>
      <c r="B543" s="44"/>
      <c r="C543" s="44"/>
      <c r="D543" s="44"/>
      <c r="E543" s="44"/>
      <c r="F543" s="44"/>
      <c r="G543" s="44"/>
      <c r="H543" s="44"/>
      <c r="I543" s="44"/>
      <c r="J543" s="44"/>
      <c r="K543" s="44"/>
      <c r="L543" s="44"/>
      <c r="M543" s="44"/>
      <c r="N543" s="44"/>
      <c r="O543" s="44"/>
    </row>
    <row r="544" spans="1:15" ht="17.25" customHeight="1">
      <c r="A544" s="44"/>
      <c r="B544" s="44"/>
      <c r="C544" s="44"/>
      <c r="D544" s="44"/>
      <c r="E544" s="44"/>
      <c r="F544" s="44"/>
      <c r="G544" s="44"/>
      <c r="H544" s="44"/>
      <c r="I544" s="44"/>
      <c r="J544" s="44"/>
      <c r="K544" s="44"/>
      <c r="L544" s="44"/>
      <c r="M544" s="44"/>
      <c r="N544" s="44"/>
      <c r="O544" s="44"/>
    </row>
    <row r="545" spans="1:15" ht="17.25" customHeight="1">
      <c r="A545" s="44"/>
      <c r="B545" s="44"/>
      <c r="C545" s="44"/>
      <c r="D545" s="44"/>
      <c r="E545" s="44"/>
      <c r="F545" s="44"/>
      <c r="G545" s="44"/>
      <c r="H545" s="44"/>
      <c r="I545" s="44"/>
      <c r="J545" s="44"/>
      <c r="K545" s="44"/>
      <c r="L545" s="44"/>
      <c r="M545" s="44"/>
      <c r="N545" s="44"/>
      <c r="O545" s="44"/>
    </row>
    <row r="546" spans="1:15" ht="17.25" customHeight="1">
      <c r="A546" s="44"/>
      <c r="B546" s="44"/>
      <c r="C546" s="44"/>
      <c r="D546" s="44"/>
      <c r="E546" s="44"/>
      <c r="F546" s="44"/>
      <c r="G546" s="44"/>
      <c r="H546" s="44"/>
      <c r="I546" s="44"/>
      <c r="J546" s="44"/>
      <c r="K546" s="44"/>
      <c r="L546" s="44"/>
      <c r="M546" s="44"/>
      <c r="N546" s="44"/>
      <c r="O546" s="44"/>
    </row>
    <row r="547" spans="1:15" ht="17.25" customHeight="1">
      <c r="A547" s="44"/>
      <c r="B547" s="44"/>
      <c r="C547" s="44"/>
      <c r="D547" s="44"/>
      <c r="E547" s="44"/>
      <c r="F547" s="44"/>
      <c r="G547" s="44"/>
      <c r="H547" s="44"/>
      <c r="I547" s="44"/>
      <c r="J547" s="44"/>
      <c r="K547" s="44"/>
      <c r="L547" s="44"/>
      <c r="M547" s="44"/>
      <c r="N547" s="44"/>
      <c r="O547" s="44"/>
    </row>
    <row r="548" spans="1:15" ht="17.25" customHeight="1">
      <c r="A548" s="44"/>
      <c r="B548" s="44"/>
      <c r="C548" s="44"/>
      <c r="D548" s="44"/>
      <c r="E548" s="44"/>
      <c r="F548" s="44"/>
      <c r="G548" s="44"/>
      <c r="H548" s="44"/>
      <c r="I548" s="44"/>
      <c r="J548" s="44"/>
      <c r="K548" s="44"/>
      <c r="L548" s="44"/>
      <c r="M548" s="44"/>
      <c r="N548" s="44"/>
      <c r="O548" s="44"/>
    </row>
    <row r="549" spans="1:15" ht="17.25" customHeight="1">
      <c r="A549" s="44"/>
      <c r="B549" s="44"/>
      <c r="C549" s="44"/>
      <c r="D549" s="44"/>
      <c r="E549" s="44"/>
      <c r="F549" s="44"/>
      <c r="G549" s="44"/>
      <c r="H549" s="44"/>
      <c r="I549" s="44"/>
      <c r="J549" s="44"/>
      <c r="K549" s="44"/>
      <c r="L549" s="44"/>
      <c r="M549" s="44"/>
      <c r="N549" s="44"/>
      <c r="O549" s="44"/>
    </row>
    <row r="550" spans="1:15" ht="17.25" customHeight="1">
      <c r="A550" s="44"/>
      <c r="B550" s="44"/>
      <c r="C550" s="44"/>
      <c r="D550" s="44"/>
      <c r="E550" s="44"/>
      <c r="F550" s="44"/>
      <c r="G550" s="44"/>
      <c r="H550" s="44"/>
      <c r="I550" s="44"/>
      <c r="J550" s="44"/>
      <c r="K550" s="44"/>
      <c r="L550" s="44"/>
      <c r="M550" s="44"/>
      <c r="N550" s="44"/>
      <c r="O550" s="44"/>
    </row>
    <row r="551" spans="1:15" ht="17.25" customHeight="1">
      <c r="A551" s="44"/>
      <c r="B551" s="44"/>
      <c r="C551" s="44"/>
      <c r="D551" s="44"/>
      <c r="E551" s="44"/>
      <c r="F551" s="44"/>
      <c r="G551" s="44"/>
      <c r="H551" s="44"/>
      <c r="I551" s="44"/>
      <c r="J551" s="44"/>
      <c r="K551" s="44"/>
      <c r="L551" s="44"/>
      <c r="M551" s="44"/>
      <c r="N551" s="44"/>
      <c r="O551" s="44"/>
    </row>
    <row r="552" spans="1:15" ht="17.25" customHeight="1">
      <c r="A552" s="44"/>
      <c r="B552" s="44"/>
      <c r="C552" s="44"/>
      <c r="D552" s="44"/>
      <c r="E552" s="44"/>
      <c r="F552" s="44"/>
      <c r="G552" s="44"/>
      <c r="H552" s="44"/>
      <c r="I552" s="44"/>
      <c r="J552" s="44"/>
      <c r="K552" s="44"/>
      <c r="L552" s="44"/>
      <c r="M552" s="44"/>
      <c r="N552" s="44"/>
      <c r="O552" s="44"/>
    </row>
    <row r="553" spans="1:15" ht="17.25" customHeight="1">
      <c r="A553" s="44"/>
      <c r="B553" s="44"/>
      <c r="C553" s="44"/>
      <c r="D553" s="44"/>
      <c r="E553" s="44"/>
      <c r="F553" s="44"/>
      <c r="G553" s="44"/>
      <c r="H553" s="44"/>
      <c r="I553" s="44"/>
      <c r="J553" s="44"/>
      <c r="K553" s="44"/>
      <c r="L553" s="44"/>
      <c r="M553" s="44"/>
      <c r="N553" s="44"/>
      <c r="O553" s="44"/>
    </row>
    <row r="554" spans="1:15" ht="17.25" customHeight="1">
      <c r="A554" s="44"/>
      <c r="B554" s="44"/>
      <c r="C554" s="44"/>
      <c r="D554" s="44"/>
      <c r="E554" s="44"/>
      <c r="F554" s="44"/>
      <c r="G554" s="44"/>
      <c r="H554" s="44"/>
      <c r="I554" s="44"/>
      <c r="J554" s="44"/>
      <c r="K554" s="44"/>
      <c r="L554" s="44"/>
      <c r="M554" s="44"/>
      <c r="N554" s="44"/>
      <c r="O554" s="44"/>
    </row>
    <row r="555" spans="1:15" ht="17.25" customHeight="1">
      <c r="A555" s="44"/>
      <c r="B555" s="44"/>
      <c r="C555" s="44"/>
      <c r="D555" s="44"/>
      <c r="E555" s="44"/>
      <c r="F555" s="44"/>
      <c r="G555" s="44"/>
      <c r="H555" s="44"/>
      <c r="I555" s="44"/>
      <c r="J555" s="44"/>
      <c r="K555" s="44"/>
      <c r="L555" s="44"/>
      <c r="M555" s="44"/>
      <c r="N555" s="44"/>
      <c r="O555" s="44"/>
    </row>
    <row r="556" spans="1:15" ht="17.25" customHeight="1">
      <c r="A556" s="44"/>
      <c r="B556" s="44"/>
      <c r="C556" s="44"/>
      <c r="D556" s="44"/>
      <c r="E556" s="44"/>
      <c r="F556" s="44"/>
      <c r="G556" s="44"/>
      <c r="H556" s="44"/>
      <c r="I556" s="44"/>
      <c r="J556" s="44"/>
      <c r="K556" s="44"/>
      <c r="L556" s="44"/>
      <c r="M556" s="44"/>
      <c r="N556" s="44"/>
      <c r="O556" s="44"/>
    </row>
    <row r="557" spans="1:15" ht="17.25" customHeight="1">
      <c r="A557" s="44"/>
      <c r="B557" s="44"/>
      <c r="C557" s="44"/>
      <c r="D557" s="44"/>
      <c r="E557" s="44"/>
      <c r="F557" s="44"/>
      <c r="G557" s="44"/>
      <c r="H557" s="44"/>
      <c r="I557" s="44"/>
      <c r="J557" s="44"/>
      <c r="K557" s="44"/>
      <c r="L557" s="44"/>
      <c r="M557" s="44"/>
      <c r="N557" s="44"/>
      <c r="O557" s="44"/>
    </row>
    <row r="558" spans="1:15" ht="17.25" customHeight="1">
      <c r="A558" s="44"/>
      <c r="B558" s="44"/>
      <c r="C558" s="44"/>
      <c r="D558" s="44"/>
      <c r="E558" s="44"/>
      <c r="F558" s="44"/>
      <c r="G558" s="44"/>
      <c r="H558" s="44"/>
      <c r="I558" s="44"/>
      <c r="J558" s="44"/>
      <c r="K558" s="44"/>
      <c r="L558" s="44"/>
      <c r="M558" s="44"/>
      <c r="N558" s="44"/>
      <c r="O558" s="44"/>
    </row>
    <row r="559" spans="1:15" ht="17.25" customHeight="1">
      <c r="A559" s="44"/>
      <c r="B559" s="44"/>
      <c r="C559" s="44"/>
      <c r="D559" s="44"/>
      <c r="E559" s="44"/>
      <c r="F559" s="44"/>
      <c r="G559" s="44"/>
      <c r="H559" s="44"/>
      <c r="I559" s="44"/>
      <c r="J559" s="44"/>
      <c r="K559" s="44"/>
      <c r="L559" s="44"/>
      <c r="M559" s="44"/>
      <c r="N559" s="44"/>
      <c r="O559" s="44"/>
    </row>
    <row r="560" spans="1:15" ht="17.25" customHeight="1">
      <c r="A560" s="44"/>
      <c r="B560" s="44"/>
      <c r="C560" s="44"/>
      <c r="D560" s="44"/>
      <c r="E560" s="44"/>
      <c r="F560" s="44"/>
      <c r="G560" s="44"/>
      <c r="H560" s="44"/>
      <c r="I560" s="44"/>
      <c r="J560" s="44"/>
      <c r="K560" s="44"/>
      <c r="L560" s="44"/>
      <c r="M560" s="44"/>
      <c r="N560" s="44"/>
      <c r="O560" s="44"/>
    </row>
    <row r="561" spans="1:15" ht="17.25" customHeight="1">
      <c r="A561" s="44"/>
      <c r="B561" s="44"/>
      <c r="C561" s="44"/>
      <c r="D561" s="44"/>
      <c r="E561" s="44"/>
      <c r="F561" s="44"/>
      <c r="G561" s="44"/>
      <c r="H561" s="44"/>
      <c r="I561" s="44"/>
      <c r="J561" s="44"/>
      <c r="K561" s="44"/>
      <c r="L561" s="44"/>
      <c r="M561" s="44"/>
      <c r="N561" s="44"/>
      <c r="O561" s="44"/>
    </row>
    <row r="562" spans="1:15" ht="17.25" customHeight="1">
      <c r="A562" s="44"/>
      <c r="B562" s="44"/>
      <c r="C562" s="44"/>
      <c r="D562" s="44"/>
      <c r="E562" s="44"/>
      <c r="F562" s="44"/>
      <c r="G562" s="44"/>
      <c r="H562" s="44"/>
      <c r="I562" s="44"/>
      <c r="J562" s="44"/>
      <c r="K562" s="44"/>
      <c r="L562" s="44"/>
      <c r="M562" s="44"/>
      <c r="N562" s="44"/>
      <c r="O562" s="44"/>
    </row>
    <row r="563" spans="1:15" ht="17.25" customHeight="1">
      <c r="A563" s="44"/>
      <c r="B563" s="44"/>
      <c r="C563" s="44"/>
      <c r="D563" s="44"/>
      <c r="E563" s="44"/>
      <c r="F563" s="44"/>
      <c r="G563" s="44"/>
      <c r="H563" s="44"/>
      <c r="I563" s="44"/>
      <c r="J563" s="44"/>
      <c r="K563" s="44"/>
      <c r="L563" s="44"/>
      <c r="M563" s="44"/>
      <c r="N563" s="44"/>
      <c r="O563" s="44"/>
    </row>
    <row r="564" spans="1:15" ht="17.25" customHeight="1">
      <c r="A564" s="44"/>
      <c r="B564" s="44"/>
      <c r="C564" s="44"/>
      <c r="D564" s="44"/>
      <c r="E564" s="44"/>
      <c r="F564" s="44"/>
      <c r="G564" s="44"/>
      <c r="H564" s="44"/>
      <c r="I564" s="44"/>
      <c r="J564" s="44"/>
      <c r="K564" s="44"/>
      <c r="L564" s="44"/>
      <c r="M564" s="44"/>
      <c r="N564" s="44"/>
      <c r="O564" s="44"/>
    </row>
    <row r="565" spans="1:15" ht="17.25" customHeight="1">
      <c r="A565" s="44"/>
      <c r="B565" s="44"/>
      <c r="C565" s="44"/>
      <c r="D565" s="44"/>
      <c r="E565" s="44"/>
      <c r="F565" s="44"/>
      <c r="G565" s="44"/>
      <c r="H565" s="44"/>
      <c r="I565" s="44"/>
      <c r="J565" s="44"/>
      <c r="K565" s="44"/>
      <c r="L565" s="44"/>
      <c r="M565" s="44"/>
      <c r="N565" s="44"/>
      <c r="O565" s="44"/>
    </row>
    <row r="566" spans="1:15" ht="17.25" customHeight="1">
      <c r="A566" s="44"/>
      <c r="B566" s="44"/>
      <c r="C566" s="44"/>
      <c r="D566" s="44"/>
      <c r="E566" s="44"/>
      <c r="F566" s="44"/>
      <c r="G566" s="44"/>
      <c r="H566" s="44"/>
      <c r="I566" s="44"/>
      <c r="J566" s="44"/>
      <c r="K566" s="44"/>
      <c r="L566" s="44"/>
      <c r="M566" s="44"/>
      <c r="N566" s="44"/>
      <c r="O566" s="44"/>
    </row>
    <row r="567" spans="1:15" ht="17.25" customHeight="1">
      <c r="A567" s="44"/>
      <c r="B567" s="44"/>
      <c r="C567" s="44"/>
      <c r="D567" s="44"/>
      <c r="E567" s="44"/>
      <c r="F567" s="44"/>
      <c r="G567" s="44"/>
      <c r="H567" s="44"/>
      <c r="I567" s="44"/>
      <c r="J567" s="44"/>
      <c r="K567" s="44"/>
      <c r="L567" s="44"/>
      <c r="M567" s="44"/>
      <c r="N567" s="44"/>
      <c r="O567" s="44"/>
    </row>
    <row r="568" spans="1:15" ht="17.25" customHeight="1">
      <c r="A568" s="44"/>
      <c r="B568" s="44"/>
      <c r="C568" s="44"/>
      <c r="D568" s="44"/>
      <c r="E568" s="44"/>
      <c r="F568" s="44"/>
      <c r="G568" s="44"/>
      <c r="H568" s="44"/>
      <c r="I568" s="44"/>
      <c r="J568" s="44"/>
      <c r="K568" s="44"/>
      <c r="L568" s="44"/>
      <c r="M568" s="44"/>
      <c r="N568" s="44"/>
      <c r="O568" s="44"/>
    </row>
    <row r="569" spans="1:15" ht="17.25" customHeight="1">
      <c r="A569" s="44"/>
      <c r="B569" s="44"/>
      <c r="C569" s="44"/>
      <c r="D569" s="44"/>
      <c r="E569" s="44"/>
      <c r="F569" s="44"/>
      <c r="G569" s="44"/>
      <c r="H569" s="44"/>
      <c r="I569" s="44"/>
      <c r="J569" s="44"/>
      <c r="K569" s="44"/>
      <c r="L569" s="44"/>
      <c r="M569" s="44"/>
      <c r="N569" s="44"/>
      <c r="O569" s="44"/>
    </row>
    <row r="570" spans="1:15" ht="17.25" customHeight="1">
      <c r="A570" s="44"/>
      <c r="B570" s="44"/>
      <c r="C570" s="44"/>
      <c r="D570" s="44"/>
      <c r="E570" s="44"/>
      <c r="F570" s="44"/>
      <c r="G570" s="44"/>
      <c r="H570" s="44"/>
      <c r="I570" s="44"/>
      <c r="J570" s="44"/>
      <c r="K570" s="44"/>
      <c r="L570" s="44"/>
      <c r="M570" s="44"/>
      <c r="N570" s="44"/>
      <c r="O570" s="44"/>
    </row>
    <row r="571" spans="1:15" ht="17.25" customHeight="1">
      <c r="A571" s="44"/>
      <c r="B571" s="44"/>
      <c r="C571" s="44"/>
      <c r="D571" s="44"/>
      <c r="E571" s="44"/>
      <c r="F571" s="44"/>
      <c r="G571" s="44"/>
      <c r="H571" s="44"/>
      <c r="I571" s="44"/>
      <c r="J571" s="44"/>
      <c r="K571" s="44"/>
      <c r="L571" s="44"/>
      <c r="M571" s="44"/>
      <c r="N571" s="44"/>
      <c r="O571" s="44"/>
    </row>
    <row r="572" spans="1:15" ht="17.25" customHeight="1">
      <c r="A572" s="44"/>
      <c r="B572" s="44"/>
      <c r="C572" s="44"/>
      <c r="D572" s="44"/>
      <c r="E572" s="44"/>
      <c r="F572" s="44"/>
      <c r="G572" s="44"/>
      <c r="H572" s="44"/>
      <c r="I572" s="44"/>
      <c r="J572" s="44"/>
      <c r="K572" s="44"/>
      <c r="L572" s="44"/>
      <c r="M572" s="44"/>
      <c r="N572" s="44"/>
      <c r="O572" s="44"/>
    </row>
    <row r="573" spans="1:15" ht="17.25" customHeight="1">
      <c r="A573" s="44"/>
      <c r="B573" s="44"/>
      <c r="C573" s="44"/>
      <c r="D573" s="44"/>
      <c r="E573" s="44"/>
      <c r="F573" s="44"/>
      <c r="G573" s="44"/>
      <c r="H573" s="44"/>
      <c r="I573" s="44"/>
      <c r="J573" s="44"/>
      <c r="K573" s="44"/>
      <c r="L573" s="44"/>
      <c r="M573" s="44"/>
      <c r="N573" s="44"/>
      <c r="O573" s="44"/>
    </row>
    <row r="574" spans="1:15" ht="17.25" customHeight="1">
      <c r="A574" s="44"/>
      <c r="B574" s="44"/>
      <c r="C574" s="44"/>
      <c r="D574" s="44"/>
      <c r="E574" s="44"/>
      <c r="F574" s="44"/>
      <c r="G574" s="44"/>
      <c r="H574" s="44"/>
      <c r="I574" s="44"/>
      <c r="J574" s="44"/>
      <c r="K574" s="44"/>
      <c r="L574" s="44"/>
      <c r="M574" s="44"/>
      <c r="N574" s="44"/>
      <c r="O574" s="44"/>
    </row>
    <row r="575" spans="1:15" ht="17.25" customHeight="1">
      <c r="A575" s="44"/>
      <c r="B575" s="44"/>
      <c r="C575" s="44"/>
      <c r="D575" s="44"/>
      <c r="E575" s="44"/>
      <c r="F575" s="44"/>
      <c r="G575" s="44"/>
      <c r="H575" s="44"/>
      <c r="I575" s="44"/>
      <c r="J575" s="44"/>
      <c r="K575" s="44"/>
      <c r="L575" s="44"/>
      <c r="M575" s="44"/>
      <c r="N575" s="44"/>
      <c r="O575" s="44"/>
    </row>
    <row r="576" spans="1:15" ht="17.25" customHeight="1">
      <c r="A576" s="44"/>
      <c r="B576" s="44"/>
      <c r="C576" s="44"/>
      <c r="D576" s="44"/>
      <c r="E576" s="44"/>
      <c r="F576" s="44"/>
      <c r="G576" s="44"/>
      <c r="H576" s="44"/>
      <c r="I576" s="44"/>
      <c r="J576" s="44"/>
      <c r="K576" s="44"/>
      <c r="L576" s="44"/>
      <c r="M576" s="44"/>
      <c r="N576" s="44"/>
      <c r="O576" s="44"/>
    </row>
    <row r="577" spans="1:15" ht="17.25" customHeight="1">
      <c r="A577" s="44"/>
      <c r="B577" s="44"/>
      <c r="C577" s="44"/>
      <c r="D577" s="44"/>
      <c r="E577" s="44"/>
      <c r="F577" s="44"/>
      <c r="G577" s="44"/>
      <c r="H577" s="44"/>
      <c r="I577" s="44"/>
      <c r="J577" s="44"/>
      <c r="K577" s="44"/>
      <c r="L577" s="44"/>
      <c r="M577" s="44"/>
      <c r="N577" s="44"/>
      <c r="O577" s="44"/>
    </row>
    <row r="578" spans="1:15" ht="17.25" customHeight="1">
      <c r="A578" s="44"/>
      <c r="B578" s="44"/>
      <c r="C578" s="44"/>
      <c r="D578" s="44"/>
      <c r="E578" s="44"/>
      <c r="F578" s="44"/>
      <c r="G578" s="44"/>
      <c r="H578" s="44"/>
      <c r="I578" s="44"/>
      <c r="J578" s="44"/>
      <c r="K578" s="44"/>
      <c r="L578" s="44"/>
      <c r="M578" s="44"/>
      <c r="N578" s="44"/>
      <c r="O578" s="44"/>
    </row>
    <row r="579" spans="1:15" ht="17.25" customHeight="1">
      <c r="A579" s="44"/>
      <c r="B579" s="44"/>
      <c r="C579" s="44"/>
      <c r="D579" s="44"/>
      <c r="E579" s="44"/>
      <c r="F579" s="44"/>
      <c r="G579" s="44"/>
      <c r="H579" s="44"/>
      <c r="I579" s="44"/>
      <c r="J579" s="44"/>
      <c r="K579" s="44"/>
      <c r="L579" s="44"/>
      <c r="M579" s="44"/>
      <c r="N579" s="44"/>
      <c r="O579" s="44"/>
    </row>
    <row r="580" spans="1:15" ht="17.25" customHeight="1">
      <c r="A580" s="44"/>
      <c r="B580" s="44"/>
      <c r="C580" s="44"/>
      <c r="D580" s="44"/>
      <c r="E580" s="44"/>
      <c r="F580" s="44"/>
      <c r="G580" s="44"/>
      <c r="H580" s="44"/>
      <c r="I580" s="44"/>
      <c r="J580" s="44"/>
      <c r="K580" s="44"/>
      <c r="L580" s="44"/>
      <c r="M580" s="44"/>
      <c r="N580" s="44"/>
      <c r="O580" s="44"/>
    </row>
    <row r="581" spans="1:15" ht="17.25" customHeight="1">
      <c r="A581" s="44"/>
      <c r="B581" s="44"/>
      <c r="C581" s="44"/>
      <c r="D581" s="44"/>
      <c r="E581" s="44"/>
      <c r="F581" s="44"/>
      <c r="G581" s="44"/>
      <c r="H581" s="44"/>
      <c r="I581" s="44"/>
      <c r="J581" s="44"/>
      <c r="K581" s="44"/>
      <c r="L581" s="44"/>
      <c r="M581" s="44"/>
      <c r="N581" s="44"/>
      <c r="O581" s="44"/>
    </row>
    <row r="582" spans="1:15" ht="17.25" customHeight="1">
      <c r="A582" s="44"/>
      <c r="B582" s="44"/>
      <c r="C582" s="44"/>
      <c r="D582" s="44"/>
      <c r="E582" s="44"/>
      <c r="F582" s="44"/>
      <c r="G582" s="44"/>
      <c r="H582" s="44"/>
      <c r="I582" s="44"/>
      <c r="J582" s="44"/>
      <c r="K582" s="44"/>
      <c r="L582" s="44"/>
      <c r="M582" s="44"/>
      <c r="N582" s="44"/>
      <c r="O582" s="44"/>
    </row>
    <row r="583" spans="1:15" ht="17.25" customHeight="1">
      <c r="A583" s="44"/>
      <c r="B583" s="44"/>
      <c r="C583" s="44"/>
      <c r="D583" s="44"/>
      <c r="E583" s="44"/>
      <c r="F583" s="44"/>
      <c r="G583" s="44"/>
      <c r="H583" s="44"/>
      <c r="I583" s="44"/>
      <c r="J583" s="44"/>
      <c r="K583" s="44"/>
      <c r="L583" s="44"/>
      <c r="M583" s="44"/>
      <c r="N583" s="44"/>
      <c r="O583" s="44"/>
    </row>
    <row r="584" spans="1:15" ht="17.25" customHeight="1">
      <c r="A584" s="44"/>
      <c r="B584" s="44"/>
      <c r="C584" s="44"/>
      <c r="D584" s="44"/>
      <c r="E584" s="44"/>
      <c r="F584" s="44"/>
      <c r="G584" s="44"/>
      <c r="H584" s="44"/>
      <c r="I584" s="44"/>
      <c r="J584" s="44"/>
      <c r="K584" s="44"/>
      <c r="L584" s="44"/>
      <c r="M584" s="44"/>
      <c r="N584" s="44"/>
      <c r="O584" s="44"/>
    </row>
    <row r="585" spans="1:15" ht="17.25" customHeight="1">
      <c r="A585" s="44"/>
      <c r="B585" s="44"/>
      <c r="C585" s="44"/>
      <c r="D585" s="44"/>
      <c r="E585" s="44"/>
      <c r="F585" s="44"/>
      <c r="G585" s="44"/>
      <c r="H585" s="44"/>
      <c r="I585" s="44"/>
      <c r="J585" s="44"/>
      <c r="K585" s="44"/>
      <c r="L585" s="44"/>
      <c r="M585" s="44"/>
      <c r="N585" s="44"/>
      <c r="O585" s="44"/>
    </row>
    <row r="586" spans="1:15" ht="17.25" customHeight="1">
      <c r="A586" s="44"/>
      <c r="B586" s="44"/>
      <c r="C586" s="44"/>
      <c r="D586" s="44"/>
      <c r="E586" s="44"/>
      <c r="F586" s="44"/>
      <c r="G586" s="44"/>
      <c r="H586" s="44"/>
      <c r="I586" s="44"/>
      <c r="J586" s="44"/>
      <c r="K586" s="44"/>
      <c r="L586" s="44"/>
      <c r="M586" s="44"/>
      <c r="N586" s="44"/>
      <c r="O586" s="44"/>
    </row>
    <row r="587" spans="1:15" ht="17.25" customHeight="1">
      <c r="A587" s="44"/>
      <c r="B587" s="44"/>
      <c r="C587" s="44"/>
      <c r="D587" s="44"/>
      <c r="E587" s="44"/>
      <c r="F587" s="44"/>
      <c r="G587" s="44"/>
      <c r="H587" s="44"/>
      <c r="I587" s="44"/>
      <c r="J587" s="44"/>
      <c r="K587" s="44"/>
      <c r="L587" s="44"/>
      <c r="M587" s="44"/>
      <c r="N587" s="44"/>
      <c r="O587" s="44"/>
    </row>
    <row r="588" spans="1:15" ht="17.25" customHeight="1">
      <c r="A588" s="44"/>
      <c r="B588" s="44"/>
      <c r="C588" s="44"/>
      <c r="D588" s="44"/>
      <c r="E588" s="44"/>
      <c r="F588" s="44"/>
      <c r="G588" s="44"/>
      <c r="H588" s="44"/>
      <c r="I588" s="44"/>
      <c r="J588" s="44"/>
      <c r="K588" s="44"/>
      <c r="L588" s="44"/>
      <c r="M588" s="44"/>
      <c r="N588" s="44"/>
      <c r="O588" s="44"/>
    </row>
    <row r="589" spans="1:15" ht="17.25" customHeight="1">
      <c r="A589" s="44"/>
      <c r="B589" s="44"/>
      <c r="C589" s="44"/>
      <c r="D589" s="44"/>
      <c r="E589" s="44"/>
      <c r="F589" s="44"/>
      <c r="G589" s="44"/>
      <c r="H589" s="44"/>
      <c r="I589" s="44"/>
      <c r="J589" s="44"/>
      <c r="K589" s="44"/>
      <c r="L589" s="44"/>
      <c r="M589" s="44"/>
      <c r="N589" s="44"/>
      <c r="O589" s="44"/>
    </row>
    <row r="590" spans="1:15" ht="17.25" customHeight="1">
      <c r="A590" s="44"/>
      <c r="B590" s="44"/>
      <c r="C590" s="44"/>
      <c r="D590" s="44"/>
      <c r="E590" s="44"/>
      <c r="F590" s="44"/>
      <c r="G590" s="44"/>
      <c r="H590" s="44"/>
      <c r="I590" s="44"/>
      <c r="J590" s="44"/>
      <c r="K590" s="44"/>
      <c r="L590" s="44"/>
      <c r="M590" s="44"/>
      <c r="N590" s="44"/>
      <c r="O590" s="44"/>
    </row>
    <row r="591" spans="1:15" ht="17.25" customHeight="1">
      <c r="A591" s="44"/>
      <c r="B591" s="44"/>
      <c r="C591" s="44"/>
      <c r="D591" s="44"/>
      <c r="E591" s="44"/>
      <c r="F591" s="44"/>
      <c r="G591" s="44"/>
      <c r="H591" s="44"/>
      <c r="I591" s="44"/>
      <c r="J591" s="44"/>
      <c r="K591" s="44"/>
      <c r="L591" s="44"/>
      <c r="M591" s="44"/>
      <c r="N591" s="44"/>
      <c r="O591" s="44"/>
    </row>
    <row r="592" spans="1:15" ht="17.25" customHeight="1">
      <c r="A592" s="44"/>
      <c r="B592" s="44"/>
      <c r="C592" s="44"/>
      <c r="D592" s="44"/>
      <c r="E592" s="44"/>
      <c r="F592" s="44"/>
      <c r="G592" s="44"/>
      <c r="H592" s="44"/>
      <c r="I592" s="44"/>
      <c r="J592" s="44"/>
      <c r="K592" s="44"/>
      <c r="L592" s="44"/>
      <c r="M592" s="44"/>
      <c r="N592" s="44"/>
      <c r="O592" s="44"/>
    </row>
    <row r="593" spans="1:15" ht="17.25" customHeight="1">
      <c r="A593" s="44"/>
      <c r="B593" s="44"/>
      <c r="C593" s="44"/>
      <c r="D593" s="44"/>
      <c r="E593" s="44"/>
      <c r="F593" s="44"/>
      <c r="G593" s="44"/>
      <c r="H593" s="44"/>
      <c r="I593" s="44"/>
      <c r="J593" s="44"/>
      <c r="K593" s="44"/>
      <c r="L593" s="44"/>
      <c r="M593" s="44"/>
      <c r="N593" s="44"/>
      <c r="O593" s="44"/>
    </row>
    <row r="594" spans="1:15" ht="17.25" customHeight="1">
      <c r="A594" s="44"/>
      <c r="B594" s="44"/>
      <c r="C594" s="44"/>
      <c r="D594" s="44"/>
      <c r="E594" s="44"/>
      <c r="F594" s="44"/>
      <c r="G594" s="44"/>
      <c r="H594" s="44"/>
      <c r="I594" s="44"/>
      <c r="J594" s="44"/>
      <c r="K594" s="44"/>
      <c r="L594" s="44"/>
      <c r="M594" s="44"/>
      <c r="N594" s="44"/>
      <c r="O594" s="44"/>
    </row>
    <row r="595" spans="1:15" ht="17.25" customHeight="1">
      <c r="A595" s="44"/>
      <c r="B595" s="44"/>
      <c r="C595" s="44"/>
      <c r="D595" s="44"/>
      <c r="E595" s="44"/>
      <c r="F595" s="44"/>
      <c r="G595" s="44"/>
      <c r="H595" s="44"/>
      <c r="I595" s="44"/>
      <c r="J595" s="44"/>
      <c r="K595" s="44"/>
      <c r="L595" s="44"/>
      <c r="M595" s="44"/>
      <c r="N595" s="44"/>
      <c r="O595" s="44"/>
    </row>
    <row r="596" spans="1:15" ht="17.25" customHeight="1">
      <c r="A596" s="44"/>
      <c r="B596" s="44"/>
      <c r="C596" s="44"/>
      <c r="D596" s="44"/>
      <c r="E596" s="44"/>
      <c r="F596" s="44"/>
      <c r="G596" s="44"/>
      <c r="H596" s="44"/>
      <c r="I596" s="44"/>
      <c r="J596" s="44"/>
      <c r="K596" s="44"/>
      <c r="L596" s="44"/>
      <c r="M596" s="44"/>
      <c r="N596" s="44"/>
      <c r="O596" s="44"/>
    </row>
    <row r="597" spans="1:15" ht="17.25" customHeight="1">
      <c r="A597" s="44"/>
      <c r="B597" s="44"/>
      <c r="C597" s="44"/>
      <c r="D597" s="44"/>
      <c r="E597" s="44"/>
      <c r="F597" s="44"/>
      <c r="G597" s="44"/>
      <c r="H597" s="44"/>
      <c r="I597" s="44"/>
      <c r="J597" s="44"/>
      <c r="K597" s="44"/>
      <c r="L597" s="44"/>
      <c r="M597" s="44"/>
      <c r="N597" s="44"/>
      <c r="O597" s="44"/>
    </row>
    <row r="598" spans="1:15" ht="17.25" customHeight="1">
      <c r="A598" s="44"/>
      <c r="B598" s="44"/>
      <c r="C598" s="44"/>
      <c r="D598" s="44"/>
      <c r="E598" s="44"/>
      <c r="F598" s="44"/>
      <c r="G598" s="44"/>
      <c r="H598" s="44"/>
      <c r="I598" s="44"/>
      <c r="J598" s="44"/>
      <c r="K598" s="44"/>
      <c r="L598" s="44"/>
      <c r="M598" s="44"/>
      <c r="N598" s="44"/>
      <c r="O598" s="44"/>
    </row>
    <row r="599" spans="1:15" ht="17.25" customHeight="1">
      <c r="A599" s="44"/>
      <c r="B599" s="44"/>
      <c r="C599" s="44"/>
      <c r="D599" s="44"/>
      <c r="E599" s="44"/>
      <c r="F599" s="44"/>
      <c r="G599" s="44"/>
      <c r="H599" s="44"/>
      <c r="I599" s="44"/>
      <c r="J599" s="44"/>
      <c r="K599" s="44"/>
      <c r="L599" s="44"/>
      <c r="M599" s="44"/>
      <c r="N599" s="44"/>
      <c r="O599" s="44"/>
    </row>
    <row r="600" spans="1:15" ht="17.25" customHeight="1">
      <c r="A600" s="44"/>
      <c r="B600" s="44"/>
      <c r="C600" s="44"/>
      <c r="D600" s="44"/>
      <c r="E600" s="44"/>
      <c r="F600" s="44"/>
      <c r="G600" s="44"/>
      <c r="H600" s="44"/>
      <c r="I600" s="44"/>
      <c r="J600" s="44"/>
      <c r="K600" s="44"/>
      <c r="L600" s="44"/>
      <c r="M600" s="44"/>
      <c r="N600" s="44"/>
      <c r="O600" s="44"/>
    </row>
    <row r="601" spans="1:15" ht="17.25" customHeight="1">
      <c r="A601" s="44"/>
      <c r="B601" s="44"/>
      <c r="C601" s="44"/>
      <c r="D601" s="44"/>
      <c r="E601" s="44"/>
      <c r="F601" s="44"/>
      <c r="G601" s="44"/>
      <c r="H601" s="44"/>
      <c r="I601" s="44"/>
      <c r="J601" s="44"/>
      <c r="K601" s="44"/>
      <c r="L601" s="44"/>
      <c r="M601" s="44"/>
      <c r="N601" s="44"/>
      <c r="O601" s="44"/>
    </row>
    <row r="602" spans="1:15" ht="17.25" customHeight="1">
      <c r="A602" s="44"/>
      <c r="B602" s="44"/>
      <c r="C602" s="44"/>
      <c r="D602" s="44"/>
      <c r="E602" s="44"/>
      <c r="F602" s="44"/>
      <c r="G602" s="44"/>
      <c r="H602" s="44"/>
      <c r="I602" s="44"/>
      <c r="J602" s="44"/>
      <c r="K602" s="44"/>
      <c r="L602" s="44"/>
      <c r="M602" s="44"/>
      <c r="N602" s="44"/>
      <c r="O602" s="44"/>
    </row>
    <row r="603" spans="1:15" ht="17.25" customHeight="1">
      <c r="A603" s="44"/>
      <c r="B603" s="44"/>
      <c r="C603" s="44"/>
      <c r="D603" s="44"/>
      <c r="E603" s="44"/>
      <c r="F603" s="44"/>
      <c r="G603" s="44"/>
      <c r="H603" s="44"/>
      <c r="I603" s="44"/>
      <c r="J603" s="44"/>
      <c r="K603" s="44"/>
      <c r="L603" s="44"/>
      <c r="M603" s="44"/>
      <c r="N603" s="44"/>
      <c r="O603" s="44"/>
    </row>
    <row r="604" spans="1:15" ht="17.25" customHeight="1">
      <c r="A604" s="44"/>
      <c r="B604" s="44"/>
      <c r="C604" s="44"/>
      <c r="D604" s="44"/>
      <c r="E604" s="44"/>
      <c r="F604" s="44"/>
      <c r="G604" s="44"/>
      <c r="H604" s="44"/>
      <c r="I604" s="44"/>
      <c r="J604" s="44"/>
      <c r="K604" s="44"/>
      <c r="L604" s="44"/>
      <c r="M604" s="44"/>
      <c r="N604" s="44"/>
      <c r="O604" s="44"/>
    </row>
    <row r="605" spans="1:15" ht="17.25" customHeight="1">
      <c r="A605" s="44"/>
      <c r="B605" s="44"/>
      <c r="C605" s="44"/>
      <c r="D605" s="44"/>
      <c r="E605" s="44"/>
      <c r="F605" s="44"/>
      <c r="G605" s="44"/>
      <c r="H605" s="44"/>
      <c r="I605" s="44"/>
      <c r="J605" s="44"/>
      <c r="K605" s="44"/>
      <c r="L605" s="44"/>
      <c r="M605" s="44"/>
      <c r="N605" s="44"/>
      <c r="O605" s="44"/>
    </row>
    <row r="606" spans="1:15" ht="17.25" customHeight="1">
      <c r="A606" s="44"/>
      <c r="B606" s="44"/>
      <c r="C606" s="44"/>
      <c r="D606" s="44"/>
      <c r="E606" s="44"/>
      <c r="F606" s="44"/>
      <c r="G606" s="44"/>
      <c r="H606" s="44"/>
      <c r="I606" s="44"/>
      <c r="J606" s="44"/>
      <c r="K606" s="44"/>
      <c r="L606" s="44"/>
      <c r="M606" s="44"/>
      <c r="N606" s="44"/>
      <c r="O606" s="44"/>
    </row>
    <row r="607" spans="1:15" ht="17.25" customHeight="1">
      <c r="A607" s="44"/>
      <c r="B607" s="44"/>
      <c r="C607" s="44"/>
      <c r="D607" s="44"/>
      <c r="E607" s="44"/>
      <c r="F607" s="44"/>
      <c r="G607" s="44"/>
      <c r="H607" s="44"/>
      <c r="I607" s="44"/>
      <c r="J607" s="44"/>
      <c r="K607" s="44"/>
      <c r="L607" s="44"/>
      <c r="M607" s="44"/>
      <c r="N607" s="44"/>
      <c r="O607" s="44"/>
    </row>
    <row r="608" spans="1:15" ht="17.25" customHeight="1">
      <c r="A608" s="44"/>
      <c r="B608" s="44"/>
      <c r="C608" s="44"/>
      <c r="D608" s="44"/>
      <c r="E608" s="44"/>
      <c r="F608" s="44"/>
      <c r="G608" s="44"/>
      <c r="H608" s="44"/>
      <c r="I608" s="44"/>
      <c r="J608" s="44"/>
      <c r="K608" s="44"/>
      <c r="L608" s="44"/>
      <c r="M608" s="44"/>
      <c r="N608" s="44"/>
      <c r="O608" s="44"/>
    </row>
    <row r="609" spans="1:15" ht="17.25" customHeight="1">
      <c r="A609" s="44"/>
      <c r="B609" s="44"/>
      <c r="C609" s="44"/>
      <c r="D609" s="44"/>
      <c r="E609" s="44"/>
      <c r="F609" s="44"/>
      <c r="G609" s="44"/>
      <c r="H609" s="44"/>
      <c r="I609" s="44"/>
      <c r="J609" s="44"/>
      <c r="K609" s="44"/>
      <c r="L609" s="44"/>
      <c r="M609" s="44"/>
      <c r="N609" s="44"/>
      <c r="O609" s="44"/>
    </row>
    <row r="610" spans="1:15" ht="17.25" customHeight="1">
      <c r="A610" s="44"/>
      <c r="B610" s="44"/>
      <c r="C610" s="44"/>
      <c r="D610" s="44"/>
      <c r="E610" s="44"/>
      <c r="F610" s="44"/>
      <c r="G610" s="44"/>
      <c r="H610" s="44"/>
      <c r="I610" s="44"/>
      <c r="J610" s="44"/>
      <c r="K610" s="44"/>
      <c r="L610" s="44"/>
      <c r="M610" s="44"/>
      <c r="N610" s="44"/>
      <c r="O610" s="44"/>
    </row>
    <row r="611" spans="1:15" ht="17.25" customHeight="1">
      <c r="A611" s="44"/>
      <c r="B611" s="44"/>
      <c r="C611" s="44"/>
      <c r="D611" s="44"/>
      <c r="E611" s="44"/>
      <c r="F611" s="44"/>
      <c r="G611" s="44"/>
      <c r="H611" s="44"/>
      <c r="I611" s="44"/>
      <c r="J611" s="44"/>
      <c r="K611" s="44"/>
      <c r="L611" s="44"/>
      <c r="M611" s="44"/>
      <c r="N611" s="44"/>
      <c r="O611" s="44"/>
    </row>
    <row r="612" spans="1:15" ht="17.25" customHeight="1">
      <c r="A612" s="44"/>
      <c r="B612" s="44"/>
      <c r="C612" s="44"/>
      <c r="D612" s="44"/>
      <c r="E612" s="44"/>
      <c r="F612" s="44"/>
      <c r="G612" s="44"/>
      <c r="H612" s="44"/>
      <c r="I612" s="44"/>
      <c r="J612" s="44"/>
      <c r="K612" s="44"/>
      <c r="L612" s="44"/>
      <c r="M612" s="44"/>
      <c r="N612" s="44"/>
      <c r="O612" s="44"/>
    </row>
    <row r="613" spans="1:15" ht="17.25" customHeight="1">
      <c r="A613" s="44"/>
      <c r="B613" s="44"/>
      <c r="C613" s="44"/>
      <c r="D613" s="44"/>
      <c r="E613" s="44"/>
      <c r="F613" s="44"/>
      <c r="G613" s="44"/>
      <c r="H613" s="44"/>
      <c r="I613" s="44"/>
      <c r="J613" s="44"/>
      <c r="K613" s="44"/>
      <c r="L613" s="44"/>
      <c r="M613" s="44"/>
      <c r="N613" s="44"/>
      <c r="O613" s="44"/>
    </row>
    <row r="614" spans="1:15" ht="17.25" customHeight="1">
      <c r="A614" s="44"/>
      <c r="B614" s="44"/>
      <c r="C614" s="44"/>
      <c r="D614" s="44"/>
      <c r="E614" s="44"/>
      <c r="F614" s="44"/>
      <c r="G614" s="44"/>
      <c r="H614" s="44"/>
      <c r="I614" s="44"/>
      <c r="J614" s="44"/>
      <c r="K614" s="44"/>
      <c r="L614" s="44"/>
      <c r="M614" s="44"/>
      <c r="N614" s="44"/>
      <c r="O614" s="44"/>
    </row>
    <row r="615" spans="1:15" ht="17.25" customHeight="1">
      <c r="A615" s="44"/>
      <c r="B615" s="44"/>
      <c r="C615" s="44"/>
      <c r="D615" s="44"/>
      <c r="E615" s="44"/>
      <c r="F615" s="44"/>
      <c r="G615" s="44"/>
      <c r="H615" s="44"/>
      <c r="I615" s="44"/>
      <c r="J615" s="44"/>
      <c r="K615" s="44"/>
      <c r="L615" s="44"/>
      <c r="M615" s="44"/>
      <c r="N615" s="44"/>
      <c r="O615" s="44"/>
    </row>
    <row r="616" spans="1:15" ht="17.25" customHeight="1">
      <c r="A616" s="44"/>
      <c r="B616" s="44"/>
      <c r="C616" s="44"/>
      <c r="D616" s="44"/>
      <c r="E616" s="44"/>
      <c r="F616" s="44"/>
      <c r="G616" s="44"/>
      <c r="H616" s="44"/>
      <c r="I616" s="44"/>
      <c r="J616" s="44"/>
      <c r="K616" s="44"/>
      <c r="L616" s="44"/>
      <c r="M616" s="44"/>
      <c r="N616" s="44"/>
      <c r="O616" s="44"/>
    </row>
    <row r="617" spans="1:15" ht="17.25" customHeight="1">
      <c r="A617" s="44"/>
      <c r="B617" s="44"/>
      <c r="C617" s="44"/>
      <c r="D617" s="44"/>
      <c r="E617" s="44"/>
      <c r="F617" s="44"/>
      <c r="G617" s="44"/>
      <c r="H617" s="44"/>
      <c r="I617" s="44"/>
      <c r="J617" s="44"/>
      <c r="K617" s="44"/>
      <c r="L617" s="44"/>
      <c r="M617" s="44"/>
      <c r="N617" s="44"/>
      <c r="O617" s="44"/>
    </row>
    <row r="618" spans="1:15" ht="17.25" customHeight="1">
      <c r="A618" s="44"/>
      <c r="B618" s="44"/>
      <c r="C618" s="44"/>
      <c r="D618" s="44"/>
      <c r="E618" s="44"/>
      <c r="F618" s="44"/>
      <c r="G618" s="44"/>
      <c r="H618" s="44"/>
      <c r="I618" s="44"/>
      <c r="J618" s="44"/>
      <c r="K618" s="44"/>
      <c r="L618" s="44"/>
      <c r="M618" s="44"/>
      <c r="N618" s="44"/>
      <c r="O618" s="44"/>
    </row>
    <row r="619" spans="1:15" ht="17.25" customHeight="1">
      <c r="A619" s="44"/>
      <c r="B619" s="44"/>
      <c r="C619" s="44"/>
      <c r="D619" s="44"/>
      <c r="E619" s="44"/>
      <c r="F619" s="44"/>
      <c r="G619" s="44"/>
      <c r="H619" s="44"/>
      <c r="I619" s="44"/>
      <c r="J619" s="44"/>
      <c r="K619" s="44"/>
      <c r="L619" s="44"/>
      <c r="M619" s="44"/>
      <c r="N619" s="44"/>
      <c r="O619" s="44"/>
    </row>
    <row r="620" spans="1:15" ht="17.25" customHeight="1">
      <c r="A620" s="44"/>
      <c r="B620" s="44"/>
      <c r="C620" s="44"/>
      <c r="D620" s="44"/>
      <c r="E620" s="44"/>
      <c r="F620" s="44"/>
      <c r="G620" s="44"/>
      <c r="H620" s="44"/>
      <c r="I620" s="44"/>
      <c r="J620" s="44"/>
      <c r="K620" s="44"/>
      <c r="L620" s="44"/>
      <c r="M620" s="44"/>
      <c r="N620" s="44"/>
      <c r="O620" s="44"/>
    </row>
    <row r="621" spans="1:15" ht="17.25" customHeight="1">
      <c r="A621" s="44"/>
      <c r="B621" s="44"/>
      <c r="C621" s="44"/>
      <c r="D621" s="44"/>
      <c r="E621" s="44"/>
      <c r="F621" s="44"/>
      <c r="G621" s="44"/>
      <c r="H621" s="44"/>
      <c r="I621" s="44"/>
      <c r="J621" s="44"/>
      <c r="K621" s="44"/>
      <c r="L621" s="44"/>
      <c r="M621" s="44"/>
      <c r="N621" s="44"/>
      <c r="O621" s="44"/>
    </row>
    <row r="622" spans="1:15" ht="17.25" customHeight="1">
      <c r="A622" s="44"/>
      <c r="B622" s="44"/>
      <c r="C622" s="44"/>
      <c r="D622" s="44"/>
      <c r="E622" s="44"/>
      <c r="F622" s="44"/>
      <c r="G622" s="44"/>
      <c r="H622" s="44"/>
      <c r="I622" s="44"/>
      <c r="J622" s="44"/>
      <c r="K622" s="44"/>
      <c r="L622" s="44"/>
      <c r="M622" s="44"/>
      <c r="N622" s="44"/>
      <c r="O622" s="44"/>
    </row>
    <row r="623" spans="1:15" ht="17.25" customHeight="1">
      <c r="A623" s="44"/>
      <c r="B623" s="44"/>
      <c r="C623" s="44"/>
      <c r="D623" s="44"/>
      <c r="E623" s="44"/>
      <c r="F623" s="44"/>
      <c r="G623" s="44"/>
      <c r="H623" s="44"/>
      <c r="I623" s="44"/>
      <c r="J623" s="44"/>
      <c r="K623" s="44"/>
      <c r="L623" s="44"/>
      <c r="M623" s="44"/>
      <c r="N623" s="44"/>
      <c r="O623" s="44"/>
    </row>
    <row r="624" spans="1:15" ht="17.25" customHeight="1">
      <c r="A624" s="44"/>
      <c r="B624" s="44"/>
      <c r="C624" s="44"/>
      <c r="D624" s="44"/>
      <c r="E624" s="44"/>
      <c r="F624" s="44"/>
      <c r="G624" s="44"/>
      <c r="H624" s="44"/>
      <c r="I624" s="44"/>
      <c r="J624" s="44"/>
      <c r="K624" s="44"/>
      <c r="L624" s="44"/>
      <c r="M624" s="44"/>
      <c r="N624" s="44"/>
      <c r="O624" s="44"/>
    </row>
    <row r="625" spans="1:15" ht="17.25" customHeight="1">
      <c r="A625" s="44"/>
      <c r="B625" s="44"/>
      <c r="C625" s="44"/>
      <c r="D625" s="44"/>
      <c r="E625" s="44"/>
      <c r="F625" s="44"/>
      <c r="G625" s="44"/>
      <c r="H625" s="44"/>
      <c r="I625" s="44"/>
      <c r="J625" s="44"/>
      <c r="K625" s="44"/>
      <c r="L625" s="44"/>
      <c r="M625" s="44"/>
      <c r="N625" s="44"/>
      <c r="O625" s="44"/>
    </row>
    <row r="626" spans="1:15" ht="17.25" customHeight="1">
      <c r="A626" s="44"/>
      <c r="B626" s="44"/>
      <c r="C626" s="44"/>
      <c r="D626" s="44"/>
      <c r="E626" s="44"/>
      <c r="F626" s="44"/>
      <c r="G626" s="44"/>
      <c r="H626" s="44"/>
      <c r="I626" s="44"/>
      <c r="J626" s="44"/>
      <c r="K626" s="44"/>
      <c r="L626" s="44"/>
      <c r="M626" s="44"/>
      <c r="N626" s="44"/>
      <c r="O626" s="44"/>
    </row>
    <row r="627" spans="1:15" ht="17.25" customHeight="1">
      <c r="A627" s="44"/>
      <c r="B627" s="44"/>
      <c r="C627" s="44"/>
      <c r="D627" s="44"/>
      <c r="E627" s="44"/>
      <c r="F627" s="44"/>
      <c r="G627" s="44"/>
      <c r="H627" s="44"/>
      <c r="I627" s="44"/>
      <c r="J627" s="44"/>
      <c r="K627" s="44"/>
      <c r="L627" s="44"/>
      <c r="M627" s="44"/>
      <c r="N627" s="44"/>
      <c r="O627" s="44"/>
    </row>
    <row r="628" spans="1:15" ht="17.25" customHeight="1">
      <c r="A628" s="44"/>
      <c r="B628" s="44"/>
      <c r="C628" s="44"/>
      <c r="D628" s="44"/>
      <c r="E628" s="44"/>
      <c r="F628" s="44"/>
      <c r="G628" s="44"/>
      <c r="H628" s="44"/>
      <c r="I628" s="44"/>
      <c r="J628" s="44"/>
      <c r="K628" s="44"/>
      <c r="L628" s="44"/>
      <c r="M628" s="44"/>
      <c r="N628" s="44"/>
      <c r="O628" s="44"/>
    </row>
    <row r="629" spans="1:15" ht="17.25" customHeight="1">
      <c r="A629" s="44"/>
      <c r="B629" s="44"/>
      <c r="C629" s="44"/>
      <c r="D629" s="44"/>
      <c r="E629" s="44"/>
      <c r="F629" s="44"/>
      <c r="G629" s="44"/>
      <c r="H629" s="44"/>
      <c r="I629" s="44"/>
      <c r="J629" s="44"/>
      <c r="K629" s="44"/>
      <c r="L629" s="44"/>
      <c r="M629" s="44"/>
      <c r="N629" s="44"/>
      <c r="O629" s="44"/>
    </row>
    <row r="630" spans="1:15" ht="17.25" customHeight="1">
      <c r="A630" s="44"/>
      <c r="B630" s="44"/>
      <c r="C630" s="44"/>
      <c r="D630" s="44"/>
      <c r="E630" s="44"/>
      <c r="F630" s="44"/>
      <c r="G630" s="44"/>
      <c r="H630" s="44"/>
      <c r="I630" s="44"/>
      <c r="J630" s="44"/>
      <c r="K630" s="44"/>
      <c r="L630" s="44"/>
      <c r="M630" s="44"/>
      <c r="N630" s="44"/>
      <c r="O630" s="44"/>
    </row>
    <row r="631" spans="1:15" ht="17.25" customHeight="1">
      <c r="A631" s="44"/>
      <c r="B631" s="44"/>
      <c r="C631" s="44"/>
      <c r="D631" s="44"/>
      <c r="E631" s="44"/>
      <c r="F631" s="44"/>
      <c r="G631" s="44"/>
      <c r="H631" s="44"/>
      <c r="I631" s="44"/>
      <c r="J631" s="44"/>
      <c r="K631" s="44"/>
      <c r="L631" s="44"/>
      <c r="M631" s="44"/>
      <c r="N631" s="44"/>
      <c r="O631" s="44"/>
    </row>
    <row r="632" spans="1:15" ht="17.25" customHeight="1">
      <c r="A632" s="44"/>
      <c r="B632" s="44"/>
      <c r="C632" s="44"/>
      <c r="D632" s="44"/>
      <c r="E632" s="44"/>
      <c r="F632" s="44"/>
      <c r="G632" s="44"/>
      <c r="H632" s="44"/>
      <c r="I632" s="44"/>
      <c r="J632" s="44"/>
      <c r="K632" s="44"/>
      <c r="L632" s="44"/>
      <c r="M632" s="44"/>
      <c r="N632" s="44"/>
      <c r="O632" s="44"/>
    </row>
    <row r="633" spans="1:15" ht="17.25" customHeight="1">
      <c r="A633" s="44"/>
      <c r="B633" s="44"/>
      <c r="C633" s="44"/>
      <c r="D633" s="44"/>
      <c r="E633" s="44"/>
      <c r="F633" s="44"/>
      <c r="G633" s="44"/>
      <c r="H633" s="44"/>
      <c r="I633" s="44"/>
      <c r="J633" s="44"/>
      <c r="K633" s="44"/>
      <c r="L633" s="44"/>
      <c r="M633" s="44"/>
      <c r="N633" s="44"/>
      <c r="O633" s="44"/>
    </row>
    <row r="634" spans="1:15" ht="17.25" customHeight="1">
      <c r="A634" s="44"/>
      <c r="B634" s="44"/>
      <c r="C634" s="44"/>
      <c r="D634" s="44"/>
      <c r="E634" s="44"/>
      <c r="F634" s="44"/>
      <c r="G634" s="44"/>
      <c r="H634" s="44"/>
      <c r="I634" s="44"/>
      <c r="J634" s="44"/>
      <c r="K634" s="44"/>
      <c r="L634" s="44"/>
      <c r="M634" s="44"/>
      <c r="N634" s="44"/>
      <c r="O634" s="44"/>
    </row>
    <row r="635" spans="1:15" ht="17.25" customHeight="1">
      <c r="A635" s="44"/>
      <c r="B635" s="44"/>
      <c r="C635" s="44"/>
      <c r="D635" s="44"/>
      <c r="E635" s="44"/>
      <c r="F635" s="44"/>
      <c r="G635" s="44"/>
      <c r="H635" s="44"/>
      <c r="I635" s="44"/>
      <c r="J635" s="44"/>
      <c r="K635" s="44"/>
      <c r="L635" s="44"/>
      <c r="M635" s="44"/>
      <c r="N635" s="44"/>
      <c r="O635" s="44"/>
    </row>
    <row r="636" spans="1:15" ht="17.25" customHeight="1">
      <c r="A636" s="44"/>
      <c r="B636" s="44"/>
      <c r="C636" s="44"/>
      <c r="D636" s="44"/>
      <c r="E636" s="44"/>
      <c r="F636" s="44"/>
      <c r="G636" s="44"/>
      <c r="H636" s="44"/>
      <c r="I636" s="44"/>
      <c r="J636" s="44"/>
      <c r="K636" s="44"/>
      <c r="L636" s="44"/>
      <c r="M636" s="44"/>
      <c r="N636" s="44"/>
      <c r="O636" s="44"/>
    </row>
    <row r="637" spans="1:15" ht="17.25" customHeight="1">
      <c r="A637" s="44"/>
      <c r="B637" s="44"/>
      <c r="C637" s="44"/>
      <c r="D637" s="44"/>
      <c r="E637" s="44"/>
      <c r="F637" s="44"/>
      <c r="G637" s="44"/>
      <c r="H637" s="44"/>
      <c r="I637" s="44"/>
      <c r="J637" s="44"/>
      <c r="K637" s="44"/>
      <c r="L637" s="44"/>
      <c r="M637" s="44"/>
      <c r="N637" s="44"/>
      <c r="O637" s="44"/>
    </row>
    <row r="638" spans="1:15" ht="17.25" customHeight="1">
      <c r="A638" s="44"/>
      <c r="B638" s="44"/>
      <c r="C638" s="44"/>
      <c r="D638" s="44"/>
      <c r="E638" s="44"/>
      <c r="F638" s="44"/>
      <c r="G638" s="44"/>
      <c r="H638" s="44"/>
      <c r="I638" s="44"/>
      <c r="J638" s="44"/>
      <c r="K638" s="44"/>
      <c r="L638" s="44"/>
      <c r="M638" s="44"/>
      <c r="N638" s="44"/>
      <c r="O638" s="44"/>
    </row>
    <row r="639" spans="1:15" ht="17.25" customHeight="1">
      <c r="A639" s="44"/>
      <c r="B639" s="44"/>
      <c r="C639" s="44"/>
      <c r="D639" s="44"/>
      <c r="E639" s="44"/>
      <c r="F639" s="44"/>
      <c r="G639" s="44"/>
      <c r="H639" s="44"/>
      <c r="I639" s="44"/>
      <c r="J639" s="44"/>
      <c r="K639" s="44"/>
      <c r="L639" s="44"/>
      <c r="M639" s="44"/>
      <c r="N639" s="44"/>
      <c r="O639" s="44"/>
    </row>
    <row r="640" spans="1:15" ht="17.25" customHeight="1">
      <c r="A640" s="44"/>
      <c r="B640" s="44"/>
      <c r="C640" s="44"/>
      <c r="D640" s="44"/>
      <c r="E640" s="44"/>
      <c r="F640" s="44"/>
      <c r="G640" s="44"/>
      <c r="H640" s="44"/>
      <c r="I640" s="44"/>
      <c r="J640" s="44"/>
      <c r="K640" s="44"/>
      <c r="L640" s="44"/>
      <c r="M640" s="44"/>
      <c r="N640" s="44"/>
      <c r="O640" s="44"/>
    </row>
    <row r="641" spans="1:15" ht="17.25" customHeight="1">
      <c r="A641" s="44"/>
      <c r="B641" s="44"/>
      <c r="C641" s="44"/>
      <c r="D641" s="44"/>
      <c r="E641" s="44"/>
      <c r="F641" s="44"/>
      <c r="G641" s="44"/>
      <c r="H641" s="44"/>
      <c r="I641" s="44"/>
      <c r="J641" s="44"/>
      <c r="K641" s="44"/>
      <c r="L641" s="44"/>
      <c r="M641" s="44"/>
      <c r="N641" s="44"/>
      <c r="O641" s="44"/>
    </row>
    <row r="642" spans="1:15" ht="17.25" customHeight="1">
      <c r="A642" s="44"/>
      <c r="B642" s="44"/>
      <c r="C642" s="44"/>
      <c r="D642" s="44"/>
      <c r="E642" s="44"/>
      <c r="F642" s="44"/>
      <c r="G642" s="44"/>
      <c r="H642" s="44"/>
      <c r="I642" s="44"/>
      <c r="J642" s="44"/>
      <c r="K642" s="44"/>
      <c r="L642" s="44"/>
      <c r="M642" s="44"/>
      <c r="N642" s="44"/>
      <c r="O642" s="44"/>
    </row>
    <row r="643" spans="1:15" ht="17.25" customHeight="1">
      <c r="A643" s="44"/>
      <c r="B643" s="44"/>
      <c r="C643" s="44"/>
      <c r="D643" s="44"/>
      <c r="E643" s="44"/>
      <c r="F643" s="44"/>
      <c r="G643" s="44"/>
      <c r="H643" s="44"/>
      <c r="I643" s="44"/>
      <c r="J643" s="44"/>
      <c r="K643" s="44"/>
      <c r="L643" s="44"/>
      <c r="M643" s="44"/>
      <c r="N643" s="44"/>
      <c r="O643" s="44"/>
    </row>
    <row r="644" spans="1:15" ht="17.25" customHeight="1">
      <c r="A644" s="44"/>
      <c r="B644" s="44"/>
      <c r="C644" s="44"/>
      <c r="D644" s="44"/>
      <c r="E644" s="44"/>
      <c r="F644" s="44"/>
      <c r="G644" s="44"/>
      <c r="H644" s="44"/>
      <c r="I644" s="44"/>
      <c r="J644" s="44"/>
      <c r="K644" s="44"/>
      <c r="L644" s="44"/>
      <c r="M644" s="44"/>
      <c r="N644" s="44"/>
      <c r="O644" s="44"/>
    </row>
    <row r="645" spans="1:15" ht="17.25" customHeight="1">
      <c r="A645" s="44"/>
      <c r="B645" s="44"/>
      <c r="C645" s="44"/>
      <c r="D645" s="44"/>
      <c r="E645" s="44"/>
      <c r="F645" s="44"/>
      <c r="G645" s="44"/>
      <c r="H645" s="44"/>
      <c r="I645" s="44"/>
      <c r="J645" s="44"/>
      <c r="K645" s="44"/>
      <c r="L645" s="44"/>
      <c r="M645" s="44"/>
      <c r="N645" s="44"/>
      <c r="O645" s="44"/>
    </row>
    <row r="646" spans="1:15" ht="17.25" customHeight="1">
      <c r="A646" s="44"/>
      <c r="B646" s="44"/>
      <c r="C646" s="44"/>
      <c r="D646" s="44"/>
      <c r="E646" s="44"/>
      <c r="F646" s="44"/>
      <c r="G646" s="44"/>
      <c r="H646" s="44"/>
      <c r="I646" s="44"/>
      <c r="J646" s="44"/>
      <c r="K646" s="44"/>
      <c r="L646" s="44"/>
      <c r="M646" s="44"/>
      <c r="N646" s="44"/>
      <c r="O646" s="44"/>
    </row>
    <row r="647" spans="1:15" ht="17.25" customHeight="1">
      <c r="A647" s="44"/>
      <c r="B647" s="44"/>
      <c r="C647" s="44"/>
      <c r="D647" s="44"/>
      <c r="E647" s="44"/>
      <c r="F647" s="44"/>
      <c r="G647" s="44"/>
      <c r="H647" s="44"/>
      <c r="I647" s="44"/>
      <c r="J647" s="44"/>
      <c r="K647" s="44"/>
      <c r="L647" s="44"/>
      <c r="M647" s="44"/>
      <c r="N647" s="44"/>
      <c r="O647" s="44"/>
    </row>
    <row r="648" spans="1:15" ht="17.25" customHeight="1">
      <c r="A648" s="44"/>
      <c r="B648" s="44"/>
      <c r="C648" s="44"/>
      <c r="D648" s="44"/>
      <c r="E648" s="44"/>
      <c r="F648" s="44"/>
      <c r="G648" s="44"/>
      <c r="H648" s="44"/>
      <c r="I648" s="44"/>
      <c r="J648" s="44"/>
      <c r="K648" s="44"/>
      <c r="L648" s="44"/>
      <c r="M648" s="44"/>
      <c r="N648" s="44"/>
      <c r="O648" s="44"/>
    </row>
    <row r="649" spans="1:15" ht="17.25" customHeight="1">
      <c r="A649" s="44"/>
      <c r="B649" s="44"/>
      <c r="C649" s="44"/>
      <c r="D649" s="44"/>
      <c r="E649" s="44"/>
      <c r="F649" s="44"/>
      <c r="G649" s="44"/>
      <c r="H649" s="44"/>
      <c r="I649" s="44"/>
      <c r="J649" s="44"/>
      <c r="K649" s="44"/>
      <c r="L649" s="44"/>
      <c r="M649" s="44"/>
      <c r="N649" s="44"/>
      <c r="O649" s="44"/>
    </row>
    <row r="650" spans="1:15" ht="17.25" customHeight="1">
      <c r="A650" s="44"/>
      <c r="B650" s="44"/>
      <c r="C650" s="44"/>
      <c r="D650" s="44"/>
      <c r="E650" s="44"/>
      <c r="F650" s="44"/>
      <c r="G650" s="44"/>
      <c r="H650" s="44"/>
      <c r="I650" s="44"/>
      <c r="J650" s="44"/>
      <c r="K650" s="44"/>
      <c r="L650" s="44"/>
      <c r="M650" s="44"/>
      <c r="N650" s="44"/>
      <c r="O650" s="44"/>
    </row>
    <row r="651" spans="1:15" ht="17.25" customHeight="1">
      <c r="A651" s="44"/>
      <c r="B651" s="44"/>
      <c r="C651" s="44"/>
      <c r="D651" s="44"/>
      <c r="E651" s="44"/>
      <c r="F651" s="44"/>
      <c r="G651" s="44"/>
      <c r="H651" s="44"/>
      <c r="I651" s="44"/>
      <c r="J651" s="44"/>
      <c r="K651" s="44"/>
      <c r="L651" s="44"/>
      <c r="M651" s="44"/>
      <c r="N651" s="44"/>
      <c r="O651" s="44"/>
    </row>
    <row r="652" spans="1:15" ht="17.25" customHeight="1">
      <c r="A652" s="44"/>
      <c r="B652" s="44"/>
      <c r="C652" s="44"/>
      <c r="D652" s="44"/>
      <c r="E652" s="44"/>
      <c r="F652" s="44"/>
      <c r="G652" s="44"/>
      <c r="H652" s="44"/>
      <c r="I652" s="44"/>
      <c r="J652" s="44"/>
      <c r="K652" s="44"/>
      <c r="L652" s="44"/>
      <c r="M652" s="44"/>
      <c r="N652" s="44"/>
      <c r="O652" s="44"/>
    </row>
    <row r="653" spans="1:15" ht="17.25" customHeight="1">
      <c r="A653" s="44"/>
      <c r="B653" s="44"/>
      <c r="C653" s="44"/>
      <c r="D653" s="44"/>
      <c r="E653" s="44"/>
      <c r="F653" s="44"/>
      <c r="G653" s="44"/>
      <c r="H653" s="44"/>
      <c r="I653" s="44"/>
      <c r="J653" s="44"/>
      <c r="K653" s="44"/>
      <c r="L653" s="44"/>
      <c r="M653" s="44"/>
      <c r="N653" s="44"/>
      <c r="O653" s="44"/>
    </row>
    <row r="654" spans="1:15" ht="17.25" customHeight="1">
      <c r="A654" s="44"/>
      <c r="B654" s="44"/>
      <c r="C654" s="44"/>
      <c r="D654" s="44"/>
      <c r="E654" s="44"/>
      <c r="F654" s="44"/>
      <c r="G654" s="44"/>
      <c r="H654" s="44"/>
      <c r="I654" s="44"/>
      <c r="J654" s="44"/>
      <c r="K654" s="44"/>
      <c r="L654" s="44"/>
      <c r="M654" s="44"/>
      <c r="N654" s="44"/>
      <c r="O654" s="44"/>
    </row>
    <row r="655" spans="1:15" ht="17.25" customHeight="1">
      <c r="A655" s="44"/>
      <c r="B655" s="44"/>
      <c r="C655" s="44"/>
      <c r="D655" s="44"/>
      <c r="E655" s="44"/>
      <c r="F655" s="44"/>
      <c r="G655" s="44"/>
      <c r="H655" s="44"/>
      <c r="I655" s="44"/>
      <c r="J655" s="44"/>
      <c r="K655" s="44"/>
      <c r="L655" s="44"/>
      <c r="M655" s="44"/>
      <c r="N655" s="44"/>
      <c r="O655" s="44"/>
    </row>
    <row r="656" spans="1:15" ht="17.25" customHeight="1">
      <c r="A656" s="44"/>
      <c r="B656" s="44"/>
      <c r="C656" s="44"/>
      <c r="D656" s="44"/>
      <c r="E656" s="44"/>
      <c r="F656" s="44"/>
      <c r="G656" s="44"/>
      <c r="H656" s="44"/>
      <c r="I656" s="44"/>
      <c r="J656" s="44"/>
      <c r="K656" s="44"/>
      <c r="L656" s="44"/>
      <c r="M656" s="44"/>
      <c r="N656" s="44"/>
      <c r="O656" s="44"/>
    </row>
    <row r="657" spans="1:15" ht="17.25" customHeight="1">
      <c r="A657" s="44"/>
      <c r="B657" s="44"/>
      <c r="C657" s="44"/>
      <c r="D657" s="44"/>
      <c r="E657" s="44"/>
      <c r="F657" s="44"/>
      <c r="G657" s="44"/>
      <c r="H657" s="44"/>
      <c r="I657" s="44"/>
      <c r="J657" s="44"/>
      <c r="K657" s="44"/>
      <c r="L657" s="44"/>
      <c r="M657" s="44"/>
      <c r="N657" s="44"/>
      <c r="O657" s="44"/>
    </row>
    <row r="658" spans="1:15" ht="17.25" customHeight="1">
      <c r="A658" s="44"/>
      <c r="B658" s="44"/>
      <c r="C658" s="44"/>
      <c r="D658" s="44"/>
      <c r="E658" s="44"/>
      <c r="F658" s="44"/>
      <c r="G658" s="44"/>
      <c r="H658" s="44"/>
      <c r="I658" s="44"/>
      <c r="J658" s="44"/>
      <c r="K658" s="44"/>
      <c r="L658" s="44"/>
      <c r="M658" s="44"/>
      <c r="N658" s="44"/>
      <c r="O658" s="44"/>
    </row>
    <row r="659" spans="1:15" ht="17.25" customHeight="1">
      <c r="A659" s="44"/>
      <c r="B659" s="44"/>
      <c r="C659" s="44"/>
      <c r="D659" s="44"/>
      <c r="E659" s="44"/>
      <c r="F659" s="44"/>
      <c r="G659" s="44"/>
      <c r="H659" s="44"/>
      <c r="I659" s="44"/>
      <c r="J659" s="44"/>
      <c r="K659" s="44"/>
      <c r="L659" s="44"/>
      <c r="M659" s="44"/>
      <c r="N659" s="44"/>
      <c r="O659" s="44"/>
    </row>
    <row r="660" spans="1:15" ht="17.25" customHeight="1">
      <c r="A660" s="44"/>
      <c r="B660" s="44"/>
      <c r="C660" s="44"/>
      <c r="D660" s="44"/>
      <c r="E660" s="44"/>
      <c r="F660" s="44"/>
      <c r="G660" s="44"/>
      <c r="H660" s="44"/>
      <c r="I660" s="44"/>
      <c r="J660" s="44"/>
      <c r="K660" s="44"/>
      <c r="L660" s="44"/>
      <c r="M660" s="44"/>
      <c r="N660" s="44"/>
      <c r="O660" s="44"/>
    </row>
    <row r="661" spans="1:15" ht="17.25" customHeight="1">
      <c r="A661" s="44"/>
      <c r="B661" s="44"/>
      <c r="C661" s="44"/>
      <c r="D661" s="44"/>
      <c r="E661" s="44"/>
      <c r="F661" s="44"/>
      <c r="G661" s="44"/>
      <c r="H661" s="44"/>
      <c r="I661" s="44"/>
      <c r="J661" s="44"/>
      <c r="K661" s="44"/>
      <c r="L661" s="44"/>
      <c r="M661" s="44"/>
      <c r="N661" s="44"/>
      <c r="O661" s="44"/>
    </row>
    <row r="662" spans="1:15" ht="17.25" customHeight="1">
      <c r="A662" s="44"/>
      <c r="B662" s="44"/>
      <c r="C662" s="44"/>
      <c r="D662" s="44"/>
      <c r="E662" s="44"/>
      <c r="F662" s="44"/>
      <c r="G662" s="44"/>
      <c r="H662" s="44"/>
      <c r="I662" s="44"/>
      <c r="J662" s="44"/>
      <c r="K662" s="44"/>
      <c r="L662" s="44"/>
      <c r="M662" s="44"/>
      <c r="N662" s="44"/>
      <c r="O662" s="44"/>
    </row>
    <row r="663" spans="1:15" ht="17.25" customHeight="1">
      <c r="A663" s="44"/>
      <c r="B663" s="44"/>
      <c r="C663" s="44"/>
      <c r="D663" s="44"/>
      <c r="E663" s="44"/>
      <c r="F663" s="44"/>
      <c r="G663" s="44"/>
      <c r="H663" s="44"/>
      <c r="I663" s="44"/>
      <c r="J663" s="44"/>
      <c r="K663" s="44"/>
      <c r="L663" s="44"/>
      <c r="M663" s="44"/>
      <c r="N663" s="44"/>
      <c r="O663" s="44"/>
    </row>
    <row r="664" spans="1:15" ht="17.25" customHeight="1">
      <c r="A664" s="44"/>
      <c r="B664" s="44"/>
      <c r="C664" s="44"/>
      <c r="D664" s="44"/>
      <c r="E664" s="44"/>
      <c r="F664" s="44"/>
      <c r="G664" s="44"/>
      <c r="H664" s="44"/>
      <c r="I664" s="44"/>
      <c r="J664" s="44"/>
      <c r="K664" s="44"/>
      <c r="L664" s="44"/>
      <c r="M664" s="44"/>
      <c r="N664" s="44"/>
      <c r="O664" s="44"/>
    </row>
    <row r="665" spans="1:15" ht="17.25" customHeight="1">
      <c r="A665" s="44"/>
      <c r="B665" s="44"/>
      <c r="C665" s="44"/>
      <c r="D665" s="44"/>
      <c r="E665" s="44"/>
      <c r="F665" s="44"/>
      <c r="G665" s="44"/>
      <c r="H665" s="44"/>
      <c r="I665" s="44"/>
      <c r="J665" s="44"/>
      <c r="K665" s="44"/>
      <c r="L665" s="44"/>
      <c r="M665" s="44"/>
      <c r="N665" s="44"/>
      <c r="O665" s="44"/>
    </row>
    <row r="666" spans="1:15" ht="17.25" customHeight="1">
      <c r="A666" s="44"/>
      <c r="B666" s="44"/>
      <c r="C666" s="44"/>
      <c r="D666" s="44"/>
      <c r="E666" s="44"/>
      <c r="F666" s="44"/>
      <c r="G666" s="44"/>
      <c r="H666" s="44"/>
      <c r="I666" s="44"/>
      <c r="J666" s="44"/>
      <c r="K666" s="44"/>
      <c r="L666" s="44"/>
      <c r="M666" s="44"/>
      <c r="N666" s="44"/>
      <c r="O666" s="44"/>
    </row>
    <row r="667" spans="1:15" ht="17.25" customHeight="1">
      <c r="A667" s="44"/>
      <c r="B667" s="44"/>
      <c r="C667" s="44"/>
      <c r="D667" s="44"/>
      <c r="E667" s="44"/>
      <c r="F667" s="44"/>
      <c r="G667" s="44"/>
      <c r="H667" s="44"/>
      <c r="I667" s="44"/>
      <c r="J667" s="44"/>
      <c r="K667" s="44"/>
      <c r="L667" s="44"/>
      <c r="M667" s="44"/>
      <c r="N667" s="44"/>
      <c r="O667" s="44"/>
    </row>
    <row r="668" spans="1:15" ht="17.25" customHeight="1">
      <c r="A668" s="44"/>
      <c r="B668" s="44"/>
      <c r="C668" s="44"/>
      <c r="D668" s="44"/>
      <c r="E668" s="44"/>
      <c r="F668" s="44"/>
      <c r="G668" s="44"/>
      <c r="H668" s="44"/>
      <c r="I668" s="44"/>
      <c r="J668" s="44"/>
      <c r="K668" s="44"/>
      <c r="L668" s="44"/>
      <c r="M668" s="44"/>
      <c r="N668" s="44"/>
      <c r="O668" s="44"/>
    </row>
    <row r="669" spans="1:15" ht="17.25" customHeight="1">
      <c r="A669" s="44"/>
      <c r="B669" s="44"/>
      <c r="C669" s="44"/>
      <c r="D669" s="44"/>
      <c r="E669" s="44"/>
      <c r="F669" s="44"/>
      <c r="G669" s="44"/>
      <c r="H669" s="44"/>
      <c r="I669" s="44"/>
      <c r="J669" s="44"/>
      <c r="K669" s="44"/>
      <c r="L669" s="44"/>
      <c r="M669" s="44"/>
      <c r="N669" s="44"/>
      <c r="O669" s="44"/>
    </row>
    <row r="670" spans="1:15" ht="17.25" customHeight="1">
      <c r="A670" s="44"/>
      <c r="B670" s="44"/>
      <c r="C670" s="44"/>
      <c r="D670" s="44"/>
      <c r="E670" s="44"/>
      <c r="F670" s="44"/>
      <c r="G670" s="44"/>
      <c r="H670" s="44"/>
      <c r="I670" s="44"/>
      <c r="J670" s="44"/>
      <c r="K670" s="44"/>
      <c r="L670" s="44"/>
      <c r="M670" s="44"/>
      <c r="N670" s="44"/>
      <c r="O670" s="44"/>
    </row>
    <row r="671" spans="1:15" ht="17.25" customHeight="1">
      <c r="A671" s="44"/>
      <c r="B671" s="44"/>
      <c r="C671" s="44"/>
      <c r="D671" s="44"/>
      <c r="E671" s="44"/>
      <c r="F671" s="44"/>
      <c r="G671" s="44"/>
      <c r="H671" s="44"/>
      <c r="I671" s="44"/>
      <c r="J671" s="44"/>
      <c r="K671" s="44"/>
      <c r="L671" s="44"/>
      <c r="M671" s="44"/>
      <c r="N671" s="44"/>
      <c r="O671" s="44"/>
    </row>
    <row r="672" spans="1:15" ht="17.25" customHeight="1">
      <c r="A672" s="44"/>
      <c r="B672" s="44"/>
      <c r="C672" s="44"/>
      <c r="D672" s="44"/>
      <c r="E672" s="44"/>
      <c r="F672" s="44"/>
      <c r="G672" s="44"/>
      <c r="H672" s="44"/>
      <c r="I672" s="44"/>
      <c r="J672" s="44"/>
      <c r="K672" s="44"/>
      <c r="L672" s="44"/>
      <c r="M672" s="44"/>
      <c r="N672" s="44"/>
      <c r="O672" s="44"/>
    </row>
    <row r="673" spans="1:15" ht="17.25" customHeight="1">
      <c r="A673" s="44"/>
      <c r="B673" s="44"/>
      <c r="C673" s="44"/>
      <c r="D673" s="44"/>
      <c r="E673" s="44"/>
      <c r="F673" s="44"/>
      <c r="G673" s="44"/>
      <c r="H673" s="44"/>
      <c r="I673" s="44"/>
      <c r="J673" s="44"/>
      <c r="K673" s="44"/>
      <c r="L673" s="44"/>
      <c r="M673" s="44"/>
      <c r="N673" s="44"/>
      <c r="O673" s="44"/>
    </row>
    <row r="674" spans="1:15" ht="17.25" customHeight="1">
      <c r="A674" s="44"/>
      <c r="B674" s="44"/>
      <c r="C674" s="44"/>
      <c r="D674" s="44"/>
      <c r="E674" s="44"/>
      <c r="F674" s="44"/>
      <c r="G674" s="44"/>
      <c r="H674" s="44"/>
      <c r="I674" s="44"/>
      <c r="J674" s="44"/>
      <c r="K674" s="44"/>
      <c r="L674" s="44"/>
      <c r="M674" s="44"/>
      <c r="N674" s="44"/>
      <c r="O674" s="44"/>
    </row>
    <row r="675" spans="1:15" ht="17.25" customHeight="1">
      <c r="A675" s="44"/>
      <c r="B675" s="44"/>
      <c r="C675" s="44"/>
      <c r="D675" s="44"/>
      <c r="E675" s="44"/>
      <c r="F675" s="44"/>
      <c r="G675" s="44"/>
      <c r="H675" s="44"/>
      <c r="I675" s="44"/>
      <c r="J675" s="44"/>
      <c r="K675" s="44"/>
      <c r="L675" s="44"/>
      <c r="M675" s="44"/>
      <c r="N675" s="44"/>
      <c r="O675" s="44"/>
    </row>
    <row r="676" spans="1:15" ht="17.25" customHeight="1">
      <c r="A676" s="44"/>
      <c r="B676" s="44"/>
      <c r="C676" s="44"/>
      <c r="D676" s="44"/>
      <c r="E676" s="44"/>
      <c r="F676" s="44"/>
      <c r="G676" s="44"/>
      <c r="H676" s="44"/>
      <c r="I676" s="44"/>
      <c r="J676" s="44"/>
      <c r="K676" s="44"/>
      <c r="L676" s="44"/>
      <c r="M676" s="44"/>
      <c r="N676" s="44"/>
      <c r="O676" s="44"/>
    </row>
    <row r="677" spans="1:15" ht="17.25" customHeight="1">
      <c r="A677" s="44"/>
      <c r="B677" s="44"/>
      <c r="C677" s="44"/>
      <c r="D677" s="44"/>
      <c r="E677" s="44"/>
      <c r="F677" s="44"/>
      <c r="G677" s="44"/>
      <c r="H677" s="44"/>
      <c r="I677" s="44"/>
      <c r="J677" s="44"/>
      <c r="K677" s="44"/>
      <c r="L677" s="44"/>
      <c r="M677" s="44"/>
      <c r="N677" s="44"/>
      <c r="O677" s="44"/>
    </row>
    <row r="678" spans="1:15" ht="17.25" customHeight="1">
      <c r="A678" s="44"/>
      <c r="B678" s="44"/>
      <c r="C678" s="44"/>
      <c r="D678" s="44"/>
      <c r="E678" s="44"/>
      <c r="F678" s="44"/>
      <c r="G678" s="44"/>
      <c r="H678" s="44"/>
      <c r="I678" s="44"/>
      <c r="J678" s="44"/>
      <c r="K678" s="44"/>
      <c r="L678" s="44"/>
      <c r="M678" s="44"/>
      <c r="N678" s="44"/>
      <c r="O678" s="44"/>
    </row>
    <row r="679" spans="1:15" ht="17.25" customHeight="1">
      <c r="A679" s="44"/>
      <c r="B679" s="44"/>
      <c r="C679" s="44"/>
      <c r="D679" s="44"/>
      <c r="E679" s="44"/>
      <c r="F679" s="44"/>
      <c r="G679" s="44"/>
      <c r="H679" s="44"/>
      <c r="I679" s="44"/>
      <c r="J679" s="44"/>
      <c r="K679" s="44"/>
      <c r="L679" s="44"/>
      <c r="M679" s="44"/>
      <c r="N679" s="44"/>
      <c r="O679" s="44"/>
    </row>
    <row r="680" spans="1:15" ht="17.25" customHeight="1">
      <c r="A680" s="44"/>
      <c r="B680" s="44"/>
      <c r="C680" s="44"/>
      <c r="D680" s="44"/>
      <c r="E680" s="44"/>
      <c r="F680" s="44"/>
      <c r="G680" s="44"/>
      <c r="H680" s="44"/>
      <c r="I680" s="44"/>
      <c r="J680" s="44"/>
      <c r="K680" s="44"/>
      <c r="L680" s="44"/>
      <c r="M680" s="44"/>
      <c r="N680" s="44"/>
      <c r="O680" s="44"/>
    </row>
    <row r="681" spans="1:15" ht="17.25" customHeight="1">
      <c r="A681" s="44"/>
      <c r="B681" s="44"/>
      <c r="C681" s="44"/>
      <c r="D681" s="44"/>
      <c r="E681" s="44"/>
      <c r="F681" s="44"/>
      <c r="G681" s="44"/>
      <c r="H681" s="44"/>
      <c r="I681" s="44"/>
      <c r="J681" s="44"/>
      <c r="K681" s="44"/>
      <c r="L681" s="44"/>
      <c r="M681" s="44"/>
      <c r="N681" s="44"/>
      <c r="O681" s="44"/>
    </row>
    <row r="682" spans="1:15" ht="17.25" customHeight="1">
      <c r="A682" s="44"/>
      <c r="B682" s="44"/>
      <c r="C682" s="44"/>
      <c r="D682" s="44"/>
      <c r="E682" s="44"/>
      <c r="F682" s="44"/>
      <c r="G682" s="44"/>
      <c r="H682" s="44"/>
      <c r="I682" s="44"/>
      <c r="J682" s="44"/>
      <c r="K682" s="44"/>
      <c r="L682" s="44"/>
      <c r="M682" s="44"/>
      <c r="N682" s="44"/>
      <c r="O682" s="44"/>
    </row>
    <row r="683" spans="1:15" ht="17.25" customHeight="1">
      <c r="A683" s="44"/>
      <c r="B683" s="44"/>
      <c r="C683" s="44"/>
      <c r="D683" s="44"/>
      <c r="E683" s="44"/>
      <c r="F683" s="44"/>
      <c r="G683" s="44"/>
      <c r="H683" s="44"/>
      <c r="I683" s="44"/>
      <c r="J683" s="44"/>
      <c r="K683" s="44"/>
      <c r="L683" s="44"/>
      <c r="M683" s="44"/>
      <c r="N683" s="44"/>
      <c r="O683" s="44"/>
    </row>
    <row r="684" spans="1:15" ht="17.25" customHeight="1">
      <c r="A684" s="44"/>
      <c r="B684" s="44"/>
      <c r="C684" s="44"/>
      <c r="D684" s="44"/>
      <c r="E684" s="44"/>
      <c r="F684" s="44"/>
      <c r="G684" s="44"/>
      <c r="H684" s="44"/>
      <c r="I684" s="44"/>
      <c r="J684" s="44"/>
      <c r="K684" s="44"/>
      <c r="L684" s="44"/>
      <c r="M684" s="44"/>
      <c r="N684" s="44"/>
      <c r="O684" s="44"/>
    </row>
    <row r="685" spans="1:15" ht="17.25" customHeight="1">
      <c r="A685" s="44"/>
      <c r="B685" s="44"/>
      <c r="C685" s="44"/>
      <c r="D685" s="44"/>
      <c r="E685" s="44"/>
      <c r="F685" s="44"/>
      <c r="G685" s="44"/>
      <c r="H685" s="44"/>
      <c r="I685" s="44"/>
      <c r="J685" s="44"/>
      <c r="K685" s="44"/>
      <c r="L685" s="44"/>
      <c r="M685" s="44"/>
      <c r="N685" s="44"/>
      <c r="O685" s="44"/>
    </row>
    <row r="686" spans="1:15" ht="17.25" customHeight="1">
      <c r="A686" s="44"/>
      <c r="B686" s="44"/>
      <c r="C686" s="44"/>
      <c r="D686" s="44"/>
      <c r="E686" s="44"/>
      <c r="F686" s="44"/>
      <c r="G686" s="44"/>
      <c r="H686" s="44"/>
      <c r="I686" s="44"/>
      <c r="J686" s="44"/>
      <c r="K686" s="44"/>
      <c r="L686" s="44"/>
      <c r="M686" s="44"/>
      <c r="N686" s="44"/>
      <c r="O686" s="44"/>
    </row>
    <row r="687" spans="1:15" ht="17.25" customHeight="1">
      <c r="A687" s="44"/>
      <c r="B687" s="44"/>
      <c r="C687" s="44"/>
      <c r="D687" s="44"/>
      <c r="E687" s="44"/>
      <c r="F687" s="44"/>
      <c r="G687" s="44"/>
      <c r="H687" s="44"/>
      <c r="I687" s="44"/>
      <c r="J687" s="44"/>
      <c r="K687" s="44"/>
      <c r="L687" s="44"/>
      <c r="M687" s="44"/>
      <c r="N687" s="44"/>
      <c r="O687" s="44"/>
    </row>
    <row r="688" spans="1:15" ht="17.25" customHeight="1">
      <c r="A688" s="44"/>
      <c r="B688" s="44"/>
      <c r="C688" s="44"/>
      <c r="D688" s="44"/>
      <c r="E688" s="44"/>
      <c r="F688" s="44"/>
      <c r="G688" s="44"/>
      <c r="H688" s="44"/>
      <c r="I688" s="44"/>
      <c r="J688" s="44"/>
      <c r="K688" s="44"/>
      <c r="L688" s="44"/>
      <c r="M688" s="44"/>
      <c r="N688" s="44"/>
      <c r="O688" s="44"/>
    </row>
    <row r="689" spans="1:15" ht="17.25" customHeight="1">
      <c r="A689" s="44"/>
      <c r="B689" s="44"/>
      <c r="C689" s="44"/>
      <c r="D689" s="44"/>
      <c r="E689" s="44"/>
      <c r="F689" s="44"/>
      <c r="G689" s="44"/>
      <c r="H689" s="44"/>
      <c r="I689" s="44"/>
      <c r="J689" s="44"/>
      <c r="K689" s="44"/>
      <c r="L689" s="44"/>
      <c r="M689" s="44"/>
      <c r="N689" s="44"/>
      <c r="O689" s="44"/>
    </row>
    <row r="690" spans="1:15" ht="17.25" customHeight="1">
      <c r="A690" s="44"/>
      <c r="B690" s="44"/>
      <c r="C690" s="44"/>
      <c r="D690" s="44"/>
      <c r="E690" s="44"/>
      <c r="F690" s="44"/>
      <c r="G690" s="44"/>
      <c r="H690" s="44"/>
      <c r="I690" s="44"/>
      <c r="J690" s="44"/>
      <c r="K690" s="44"/>
      <c r="L690" s="44"/>
      <c r="M690" s="44"/>
      <c r="N690" s="44"/>
      <c r="O690" s="44"/>
    </row>
    <row r="691" spans="1:15" ht="17.25" customHeight="1">
      <c r="A691" s="44"/>
      <c r="B691" s="44"/>
      <c r="C691" s="44"/>
      <c r="D691" s="44"/>
      <c r="E691" s="44"/>
      <c r="F691" s="44"/>
      <c r="G691" s="44"/>
      <c r="H691" s="44"/>
      <c r="I691" s="44"/>
      <c r="J691" s="44"/>
      <c r="K691" s="44"/>
      <c r="L691" s="44"/>
      <c r="M691" s="44"/>
      <c r="N691" s="44"/>
      <c r="O691" s="44"/>
    </row>
    <row r="692" spans="1:15" ht="17.25" customHeight="1">
      <c r="A692" s="44"/>
      <c r="B692" s="44"/>
      <c r="C692" s="44"/>
      <c r="D692" s="44"/>
      <c r="E692" s="44"/>
      <c r="F692" s="44"/>
      <c r="G692" s="44"/>
      <c r="H692" s="44"/>
      <c r="I692" s="44"/>
      <c r="J692" s="44"/>
      <c r="K692" s="44"/>
      <c r="L692" s="44"/>
      <c r="M692" s="44"/>
      <c r="N692" s="44"/>
      <c r="O692" s="44"/>
    </row>
    <row r="693" spans="1:15" ht="17.25" customHeight="1">
      <c r="A693" s="44"/>
      <c r="B693" s="44"/>
      <c r="C693" s="44"/>
      <c r="D693" s="44"/>
      <c r="E693" s="44"/>
      <c r="F693" s="44"/>
      <c r="G693" s="44"/>
      <c r="H693" s="44"/>
      <c r="I693" s="44"/>
      <c r="J693" s="44"/>
      <c r="K693" s="44"/>
      <c r="L693" s="44"/>
      <c r="M693" s="44"/>
      <c r="N693" s="44"/>
      <c r="O693" s="44"/>
    </row>
    <row r="694" spans="1:15" ht="17.25" customHeight="1">
      <c r="A694" s="44"/>
      <c r="B694" s="44"/>
      <c r="C694" s="44"/>
      <c r="D694" s="44"/>
      <c r="E694" s="44"/>
      <c r="F694" s="44"/>
      <c r="G694" s="44"/>
      <c r="H694" s="44"/>
      <c r="I694" s="44"/>
      <c r="J694" s="44"/>
      <c r="K694" s="44"/>
      <c r="L694" s="44"/>
      <c r="M694" s="44"/>
      <c r="N694" s="44"/>
      <c r="O694" s="44"/>
    </row>
    <row r="695" spans="1:15" ht="17.25" customHeight="1">
      <c r="A695" s="44"/>
      <c r="B695" s="44"/>
      <c r="C695" s="44"/>
      <c r="D695" s="44"/>
      <c r="E695" s="44"/>
      <c r="F695" s="44"/>
      <c r="G695" s="44"/>
      <c r="H695" s="44"/>
      <c r="I695" s="44"/>
      <c r="J695" s="44"/>
      <c r="K695" s="44"/>
      <c r="L695" s="44"/>
      <c r="M695" s="44"/>
      <c r="N695" s="44"/>
      <c r="O695" s="44"/>
    </row>
    <row r="696" spans="1:15" ht="17.25" customHeight="1">
      <c r="A696" s="44"/>
      <c r="B696" s="44"/>
      <c r="C696" s="44"/>
      <c r="D696" s="44"/>
      <c r="E696" s="44"/>
      <c r="F696" s="44"/>
      <c r="G696" s="44"/>
      <c r="H696" s="44"/>
      <c r="I696" s="44"/>
      <c r="J696" s="44"/>
      <c r="K696" s="44"/>
      <c r="L696" s="44"/>
      <c r="M696" s="44"/>
      <c r="N696" s="44"/>
      <c r="O696" s="44"/>
    </row>
    <row r="697" spans="1:15" ht="17.25" customHeight="1">
      <c r="A697" s="44"/>
      <c r="B697" s="44"/>
      <c r="C697" s="44"/>
      <c r="D697" s="44"/>
      <c r="E697" s="44"/>
      <c r="F697" s="44"/>
      <c r="G697" s="44"/>
      <c r="H697" s="44"/>
      <c r="I697" s="44"/>
      <c r="J697" s="44"/>
      <c r="K697" s="44"/>
      <c r="L697" s="44"/>
      <c r="M697" s="44"/>
      <c r="N697" s="44"/>
      <c r="O697" s="44"/>
    </row>
    <row r="698" spans="1:15" ht="17.25" customHeight="1">
      <c r="A698" s="44"/>
      <c r="B698" s="44"/>
      <c r="C698" s="44"/>
      <c r="D698" s="44"/>
      <c r="E698" s="44"/>
      <c r="F698" s="44"/>
      <c r="G698" s="44"/>
      <c r="H698" s="44"/>
      <c r="I698" s="44"/>
      <c r="J698" s="44"/>
      <c r="K698" s="44"/>
      <c r="L698" s="44"/>
      <c r="M698" s="44"/>
      <c r="N698" s="44"/>
      <c r="O698" s="44"/>
    </row>
    <row r="699" spans="1:15" ht="17.25" customHeight="1">
      <c r="A699" s="44"/>
      <c r="B699" s="44"/>
      <c r="C699" s="44"/>
      <c r="D699" s="44"/>
      <c r="E699" s="44"/>
      <c r="F699" s="44"/>
      <c r="G699" s="44"/>
      <c r="H699" s="44"/>
      <c r="I699" s="44"/>
      <c r="J699" s="44"/>
      <c r="K699" s="44"/>
      <c r="L699" s="44"/>
      <c r="M699" s="44"/>
      <c r="N699" s="44"/>
      <c r="O699" s="44"/>
    </row>
    <row r="700" spans="1:15" ht="17.25" customHeight="1">
      <c r="A700" s="44"/>
      <c r="B700" s="44"/>
      <c r="C700" s="44"/>
      <c r="D700" s="44"/>
      <c r="E700" s="44"/>
      <c r="F700" s="44"/>
      <c r="G700" s="44"/>
      <c r="H700" s="44"/>
      <c r="I700" s="44"/>
      <c r="J700" s="44"/>
      <c r="K700" s="44"/>
      <c r="L700" s="44"/>
      <c r="M700" s="44"/>
      <c r="N700" s="44"/>
      <c r="O700" s="44"/>
    </row>
    <row r="701" spans="1:15" ht="17.25" customHeight="1">
      <c r="A701" s="44"/>
      <c r="B701" s="44"/>
      <c r="C701" s="44"/>
      <c r="D701" s="44"/>
      <c r="E701" s="44"/>
      <c r="F701" s="44"/>
      <c r="G701" s="44"/>
      <c r="H701" s="44"/>
      <c r="I701" s="44"/>
      <c r="J701" s="44"/>
      <c r="K701" s="44"/>
      <c r="L701" s="44"/>
      <c r="M701" s="44"/>
      <c r="N701" s="44"/>
      <c r="O701" s="44"/>
    </row>
    <row r="702" spans="1:15" ht="17.25" customHeight="1">
      <c r="A702" s="44"/>
      <c r="B702" s="44"/>
      <c r="C702" s="44"/>
      <c r="D702" s="44"/>
      <c r="E702" s="44"/>
      <c r="F702" s="44"/>
      <c r="G702" s="44"/>
      <c r="H702" s="44"/>
      <c r="I702" s="44"/>
      <c r="J702" s="44"/>
      <c r="K702" s="44"/>
      <c r="L702" s="44"/>
      <c r="M702" s="44"/>
      <c r="N702" s="44"/>
      <c r="O702" s="44"/>
    </row>
    <row r="703" spans="1:15" ht="17.25" customHeight="1">
      <c r="A703" s="44"/>
      <c r="B703" s="44"/>
      <c r="C703" s="44"/>
      <c r="D703" s="44"/>
      <c r="E703" s="44"/>
      <c r="F703" s="44"/>
      <c r="G703" s="44"/>
      <c r="H703" s="44"/>
      <c r="I703" s="44"/>
      <c r="J703" s="44"/>
      <c r="K703" s="44"/>
      <c r="L703" s="44"/>
      <c r="M703" s="44"/>
      <c r="N703" s="44"/>
      <c r="O703" s="44"/>
    </row>
    <row r="704" spans="1:15" ht="17.25" customHeight="1">
      <c r="A704" s="44"/>
      <c r="B704" s="44"/>
      <c r="C704" s="44"/>
      <c r="D704" s="44"/>
      <c r="E704" s="44"/>
      <c r="F704" s="44"/>
      <c r="G704" s="44"/>
      <c r="H704" s="44"/>
      <c r="I704" s="44"/>
      <c r="J704" s="44"/>
      <c r="K704" s="44"/>
      <c r="L704" s="44"/>
      <c r="M704" s="44"/>
      <c r="N704" s="44"/>
      <c r="O704" s="44"/>
    </row>
    <row r="705" spans="1:15" ht="17.25" customHeight="1">
      <c r="A705" s="44"/>
      <c r="B705" s="44"/>
      <c r="C705" s="44"/>
      <c r="D705" s="44"/>
      <c r="E705" s="44"/>
      <c r="F705" s="44"/>
      <c r="G705" s="44"/>
      <c r="H705" s="44"/>
      <c r="I705" s="44"/>
      <c r="J705" s="44"/>
      <c r="K705" s="44"/>
      <c r="L705" s="44"/>
      <c r="M705" s="44"/>
      <c r="N705" s="44"/>
      <c r="O705" s="44"/>
    </row>
    <row r="706" spans="1:15" ht="17.25" customHeight="1">
      <c r="A706" s="44"/>
      <c r="B706" s="44"/>
      <c r="C706" s="44"/>
      <c r="D706" s="44"/>
      <c r="E706" s="44"/>
      <c r="F706" s="44"/>
      <c r="G706" s="44"/>
      <c r="H706" s="44"/>
      <c r="I706" s="44"/>
      <c r="J706" s="44"/>
      <c r="K706" s="44"/>
      <c r="L706" s="44"/>
      <c r="M706" s="44"/>
      <c r="N706" s="44"/>
      <c r="O706" s="44"/>
    </row>
    <row r="707" spans="1:15" ht="17.25" customHeight="1">
      <c r="A707" s="44"/>
      <c r="B707" s="44"/>
      <c r="C707" s="44"/>
      <c r="D707" s="44"/>
      <c r="E707" s="44"/>
      <c r="F707" s="44"/>
      <c r="G707" s="44"/>
      <c r="H707" s="44"/>
      <c r="I707" s="44"/>
      <c r="J707" s="44"/>
      <c r="K707" s="44"/>
      <c r="L707" s="44"/>
      <c r="M707" s="44"/>
      <c r="N707" s="44"/>
      <c r="O707" s="44"/>
    </row>
    <row r="708" spans="1:15" ht="17.25" customHeight="1">
      <c r="A708" s="44"/>
      <c r="B708" s="44"/>
      <c r="C708" s="44"/>
      <c r="D708" s="44"/>
      <c r="E708" s="44"/>
      <c r="F708" s="44"/>
      <c r="G708" s="44"/>
      <c r="H708" s="44"/>
      <c r="I708" s="44"/>
      <c r="J708" s="44"/>
      <c r="K708" s="44"/>
      <c r="L708" s="44"/>
      <c r="M708" s="44"/>
      <c r="N708" s="44"/>
      <c r="O708" s="44"/>
    </row>
    <row r="709" spans="1:15" ht="17.25" customHeight="1">
      <c r="A709" s="44"/>
      <c r="B709" s="44"/>
      <c r="C709" s="44"/>
      <c r="D709" s="44"/>
      <c r="E709" s="44"/>
      <c r="F709" s="44"/>
      <c r="G709" s="44"/>
      <c r="H709" s="44"/>
      <c r="I709" s="44"/>
      <c r="J709" s="44"/>
      <c r="K709" s="44"/>
      <c r="L709" s="44"/>
      <c r="M709" s="44"/>
      <c r="N709" s="44"/>
      <c r="O709" s="44"/>
    </row>
    <row r="710" spans="1:15" ht="17.25" customHeight="1">
      <c r="A710" s="44"/>
      <c r="B710" s="44"/>
      <c r="C710" s="44"/>
      <c r="D710" s="44"/>
      <c r="E710" s="44"/>
      <c r="F710" s="44"/>
      <c r="G710" s="44"/>
      <c r="H710" s="44"/>
      <c r="I710" s="44"/>
      <c r="J710" s="44"/>
      <c r="K710" s="44"/>
      <c r="L710" s="44"/>
      <c r="M710" s="44"/>
      <c r="N710" s="44"/>
      <c r="O710" s="44"/>
    </row>
    <row r="711" spans="1:15" ht="17.25" customHeight="1">
      <c r="A711" s="44"/>
      <c r="B711" s="44"/>
      <c r="C711" s="44"/>
      <c r="D711" s="44"/>
      <c r="E711" s="44"/>
      <c r="F711" s="44"/>
      <c r="G711" s="44"/>
      <c r="H711" s="44"/>
      <c r="I711" s="44"/>
      <c r="J711" s="44"/>
      <c r="K711" s="44"/>
      <c r="L711" s="44"/>
      <c r="M711" s="44"/>
      <c r="N711" s="44"/>
      <c r="O711" s="44"/>
    </row>
    <row r="712" spans="1:15" ht="17.25" customHeight="1">
      <c r="A712" s="44"/>
      <c r="B712" s="44"/>
      <c r="C712" s="44"/>
      <c r="D712" s="44"/>
      <c r="E712" s="44"/>
      <c r="F712" s="44"/>
      <c r="G712" s="44"/>
      <c r="H712" s="44"/>
      <c r="I712" s="44"/>
      <c r="J712" s="44"/>
      <c r="K712" s="44"/>
      <c r="L712" s="44"/>
      <c r="M712" s="44"/>
      <c r="N712" s="44"/>
      <c r="O712" s="44"/>
    </row>
    <row r="713" spans="1:15" ht="17.25" customHeight="1">
      <c r="A713" s="44"/>
      <c r="B713" s="44"/>
      <c r="C713" s="44"/>
      <c r="D713" s="44"/>
      <c r="E713" s="44"/>
      <c r="F713" s="44"/>
      <c r="G713" s="44"/>
      <c r="H713" s="44"/>
      <c r="I713" s="44"/>
      <c r="J713" s="44"/>
      <c r="K713" s="44"/>
      <c r="L713" s="44"/>
      <c r="M713" s="44"/>
      <c r="N713" s="44"/>
      <c r="O713" s="44"/>
    </row>
    <row r="714" spans="1:15" ht="17.25" customHeight="1">
      <c r="A714" s="44"/>
      <c r="B714" s="44"/>
      <c r="C714" s="44"/>
      <c r="D714" s="44"/>
      <c r="E714" s="44"/>
      <c r="F714" s="44"/>
      <c r="G714" s="44"/>
      <c r="H714" s="44"/>
      <c r="I714" s="44"/>
      <c r="J714" s="44"/>
      <c r="K714" s="44"/>
      <c r="L714" s="44"/>
      <c r="M714" s="44"/>
      <c r="N714" s="44"/>
      <c r="O714" s="44"/>
    </row>
    <row r="715" spans="1:15" ht="17.25" customHeight="1">
      <c r="A715" s="44"/>
      <c r="B715" s="44"/>
      <c r="C715" s="44"/>
      <c r="D715" s="44"/>
      <c r="E715" s="44"/>
      <c r="F715" s="44"/>
      <c r="G715" s="44"/>
      <c r="H715" s="44"/>
      <c r="I715" s="44"/>
      <c r="J715" s="44"/>
      <c r="K715" s="44"/>
      <c r="L715" s="44"/>
      <c r="M715" s="44"/>
      <c r="N715" s="44"/>
      <c r="O715" s="44"/>
    </row>
    <row r="716" spans="1:15" ht="17.25" customHeight="1">
      <c r="A716" s="44"/>
      <c r="B716" s="44"/>
      <c r="C716" s="44"/>
      <c r="D716" s="44"/>
      <c r="E716" s="44"/>
      <c r="F716" s="44"/>
      <c r="G716" s="44"/>
      <c r="H716" s="44"/>
      <c r="I716" s="44"/>
      <c r="J716" s="44"/>
      <c r="K716" s="44"/>
      <c r="L716" s="44"/>
      <c r="M716" s="44"/>
      <c r="N716" s="44"/>
      <c r="O716" s="44"/>
    </row>
    <row r="717" spans="1:15" ht="17.25" customHeight="1">
      <c r="A717" s="44"/>
      <c r="B717" s="44"/>
      <c r="C717" s="44"/>
      <c r="D717" s="44"/>
      <c r="E717" s="44"/>
      <c r="F717" s="44"/>
      <c r="G717" s="44"/>
      <c r="H717" s="44"/>
      <c r="I717" s="44"/>
      <c r="J717" s="44"/>
      <c r="K717" s="44"/>
      <c r="L717" s="44"/>
      <c r="M717" s="44"/>
      <c r="N717" s="44"/>
      <c r="O717" s="44"/>
    </row>
    <row r="718" spans="1:15" ht="17.25" customHeight="1">
      <c r="A718" s="44"/>
      <c r="B718" s="44"/>
      <c r="C718" s="44"/>
      <c r="D718" s="44"/>
      <c r="E718" s="44"/>
      <c r="F718" s="44"/>
      <c r="G718" s="44"/>
      <c r="H718" s="44"/>
      <c r="I718" s="44"/>
      <c r="J718" s="44"/>
      <c r="K718" s="44"/>
      <c r="L718" s="44"/>
      <c r="M718" s="44"/>
      <c r="N718" s="44"/>
      <c r="O718" s="44"/>
    </row>
    <row r="719" spans="1:15" ht="17.25" customHeight="1">
      <c r="A719" s="44"/>
      <c r="B719" s="44"/>
      <c r="C719" s="44"/>
      <c r="D719" s="44"/>
      <c r="E719" s="44"/>
      <c r="F719" s="44"/>
      <c r="G719" s="44"/>
      <c r="H719" s="44"/>
      <c r="I719" s="44"/>
      <c r="J719" s="44"/>
      <c r="K719" s="44"/>
      <c r="L719" s="44"/>
      <c r="M719" s="44"/>
      <c r="N719" s="44"/>
      <c r="O719" s="44"/>
    </row>
    <row r="720" spans="1:15" ht="17.25" customHeight="1">
      <c r="A720" s="44"/>
      <c r="B720" s="44"/>
      <c r="C720" s="44"/>
      <c r="D720" s="44"/>
      <c r="E720" s="44"/>
      <c r="F720" s="44"/>
      <c r="G720" s="44"/>
      <c r="H720" s="44"/>
      <c r="I720" s="44"/>
      <c r="J720" s="44"/>
      <c r="K720" s="44"/>
      <c r="L720" s="44"/>
      <c r="M720" s="44"/>
      <c r="N720" s="44"/>
      <c r="O720" s="44"/>
    </row>
    <row r="721" spans="1:15" ht="17.25" customHeight="1">
      <c r="A721" s="44"/>
      <c r="B721" s="44"/>
      <c r="C721" s="44"/>
      <c r="D721" s="44"/>
      <c r="E721" s="44"/>
      <c r="F721" s="44"/>
      <c r="G721" s="44"/>
      <c r="H721" s="44"/>
      <c r="I721" s="44"/>
      <c r="J721" s="44"/>
      <c r="K721" s="44"/>
      <c r="L721" s="44"/>
      <c r="M721" s="44"/>
      <c r="N721" s="44"/>
      <c r="O721" s="44"/>
    </row>
    <row r="722" spans="1:15" ht="17.25" customHeight="1">
      <c r="A722" s="44"/>
      <c r="B722" s="44"/>
      <c r="C722" s="44"/>
      <c r="D722" s="44"/>
      <c r="E722" s="44"/>
      <c r="F722" s="44"/>
      <c r="G722" s="44"/>
      <c r="H722" s="44"/>
      <c r="I722" s="44"/>
      <c r="J722" s="44"/>
      <c r="K722" s="44"/>
      <c r="L722" s="44"/>
      <c r="M722" s="44"/>
      <c r="N722" s="44"/>
      <c r="O722" s="44"/>
    </row>
    <row r="723" spans="1:15" ht="17.25" customHeight="1">
      <c r="A723" s="44"/>
      <c r="B723" s="44"/>
      <c r="C723" s="44"/>
      <c r="D723" s="44"/>
      <c r="E723" s="44"/>
      <c r="F723" s="44"/>
      <c r="G723" s="44"/>
      <c r="H723" s="44"/>
      <c r="I723" s="44"/>
      <c r="J723" s="44"/>
      <c r="K723" s="44"/>
      <c r="L723" s="44"/>
      <c r="M723" s="44"/>
      <c r="N723" s="44"/>
      <c r="O723" s="44"/>
    </row>
    <row r="724" spans="1:15" ht="17.25" customHeight="1">
      <c r="A724" s="44"/>
      <c r="B724" s="44"/>
      <c r="C724" s="44"/>
      <c r="D724" s="44"/>
      <c r="E724" s="44"/>
      <c r="F724" s="44"/>
      <c r="G724" s="44"/>
      <c r="H724" s="44"/>
      <c r="I724" s="44"/>
      <c r="J724" s="44"/>
      <c r="K724" s="44"/>
      <c r="L724" s="44"/>
      <c r="M724" s="44"/>
      <c r="N724" s="44"/>
      <c r="O724" s="44"/>
    </row>
    <row r="725" spans="1:15" ht="17.25" customHeight="1">
      <c r="A725" s="44"/>
      <c r="B725" s="44"/>
      <c r="C725" s="44"/>
      <c r="D725" s="44"/>
      <c r="E725" s="44"/>
      <c r="F725" s="44"/>
      <c r="G725" s="44"/>
      <c r="H725" s="44"/>
      <c r="I725" s="44"/>
      <c r="J725" s="44"/>
      <c r="K725" s="44"/>
      <c r="L725" s="44"/>
      <c r="M725" s="44"/>
      <c r="N725" s="44"/>
      <c r="O725" s="44"/>
    </row>
    <row r="726" spans="1:15" ht="17.25" customHeight="1">
      <c r="A726" s="44"/>
      <c r="B726" s="44"/>
      <c r="C726" s="44"/>
      <c r="D726" s="44"/>
      <c r="E726" s="44"/>
      <c r="F726" s="44"/>
      <c r="G726" s="44"/>
      <c r="H726" s="44"/>
      <c r="I726" s="44"/>
      <c r="J726" s="44"/>
      <c r="K726" s="44"/>
      <c r="L726" s="44"/>
      <c r="M726" s="44"/>
      <c r="N726" s="44"/>
      <c r="O726" s="44"/>
    </row>
    <row r="727" spans="1:15" ht="17.25" customHeight="1">
      <c r="A727" s="44"/>
      <c r="B727" s="44"/>
      <c r="C727" s="44"/>
      <c r="D727" s="44"/>
      <c r="E727" s="44"/>
      <c r="F727" s="44"/>
      <c r="G727" s="44"/>
      <c r="H727" s="44"/>
      <c r="I727" s="44"/>
      <c r="J727" s="44"/>
      <c r="K727" s="44"/>
      <c r="L727" s="44"/>
      <c r="M727" s="44"/>
      <c r="N727" s="44"/>
      <c r="O727" s="44"/>
    </row>
    <row r="728" spans="1:15" ht="17.25" customHeight="1">
      <c r="A728" s="44"/>
      <c r="B728" s="44"/>
      <c r="C728" s="44"/>
      <c r="D728" s="44"/>
      <c r="E728" s="44"/>
      <c r="F728" s="44"/>
      <c r="G728" s="44"/>
      <c r="H728" s="44"/>
      <c r="I728" s="44"/>
      <c r="J728" s="44"/>
      <c r="K728" s="44"/>
      <c r="L728" s="44"/>
      <c r="M728" s="44"/>
      <c r="N728" s="44"/>
      <c r="O728" s="44"/>
    </row>
    <row r="729" spans="1:15" ht="17.25" customHeight="1">
      <c r="A729" s="44"/>
      <c r="B729" s="44"/>
      <c r="C729" s="44"/>
      <c r="D729" s="44"/>
      <c r="E729" s="44"/>
      <c r="F729" s="44"/>
      <c r="G729" s="44"/>
      <c r="H729" s="44"/>
      <c r="I729" s="44"/>
      <c r="J729" s="44"/>
      <c r="K729" s="44"/>
      <c r="L729" s="44"/>
      <c r="M729" s="44"/>
      <c r="N729" s="44"/>
      <c r="O729" s="44"/>
    </row>
    <row r="730" spans="1:15" ht="17.25" customHeight="1">
      <c r="A730" s="44"/>
      <c r="B730" s="44"/>
      <c r="C730" s="44"/>
      <c r="D730" s="44"/>
      <c r="E730" s="44"/>
      <c r="F730" s="44"/>
      <c r="G730" s="44"/>
      <c r="H730" s="44"/>
      <c r="I730" s="44"/>
      <c r="J730" s="44"/>
      <c r="K730" s="44"/>
      <c r="L730" s="44"/>
      <c r="M730" s="44"/>
      <c r="N730" s="44"/>
      <c r="O730" s="44"/>
    </row>
    <row r="731" spans="1:15" ht="17.25" customHeight="1">
      <c r="A731" s="44"/>
      <c r="B731" s="44"/>
      <c r="C731" s="44"/>
      <c r="D731" s="44"/>
      <c r="E731" s="44"/>
      <c r="F731" s="44"/>
      <c r="G731" s="44"/>
      <c r="H731" s="44"/>
      <c r="I731" s="44"/>
      <c r="J731" s="44"/>
      <c r="K731" s="44"/>
      <c r="L731" s="44"/>
      <c r="M731" s="44"/>
      <c r="N731" s="44"/>
      <c r="O731" s="44"/>
    </row>
    <row r="732" spans="1:15" ht="17.25" customHeight="1">
      <c r="A732" s="44"/>
      <c r="B732" s="44"/>
      <c r="C732" s="44"/>
      <c r="D732" s="44"/>
      <c r="E732" s="44"/>
      <c r="F732" s="44"/>
      <c r="G732" s="44"/>
      <c r="H732" s="44"/>
      <c r="I732" s="44"/>
      <c r="J732" s="44"/>
      <c r="K732" s="44"/>
      <c r="L732" s="44"/>
      <c r="M732" s="44"/>
      <c r="N732" s="44"/>
      <c r="O732" s="44"/>
    </row>
    <row r="733" spans="1:15" ht="17.25" customHeight="1">
      <c r="A733" s="44"/>
      <c r="B733" s="44"/>
      <c r="C733" s="44"/>
      <c r="D733" s="44"/>
      <c r="E733" s="44"/>
      <c r="F733" s="44"/>
      <c r="G733" s="44"/>
      <c r="H733" s="44"/>
      <c r="I733" s="44"/>
      <c r="J733" s="44"/>
      <c r="K733" s="44"/>
      <c r="L733" s="44"/>
      <c r="M733" s="44"/>
      <c r="N733" s="44"/>
      <c r="O733" s="44"/>
    </row>
    <row r="734" spans="1:15" ht="17.25" customHeight="1">
      <c r="A734" s="44"/>
      <c r="B734" s="44"/>
      <c r="C734" s="44"/>
      <c r="D734" s="44"/>
      <c r="E734" s="44"/>
      <c r="F734" s="44"/>
      <c r="G734" s="44"/>
      <c r="H734" s="44"/>
      <c r="I734" s="44"/>
      <c r="J734" s="44"/>
      <c r="K734" s="44"/>
      <c r="L734" s="44"/>
      <c r="M734" s="44"/>
      <c r="N734" s="44"/>
      <c r="O734" s="44"/>
    </row>
    <row r="735" spans="1:15" ht="17.25" customHeight="1">
      <c r="A735" s="44"/>
      <c r="B735" s="44"/>
      <c r="C735" s="44"/>
      <c r="D735" s="44"/>
      <c r="E735" s="44"/>
      <c r="F735" s="44"/>
      <c r="G735" s="44"/>
      <c r="H735" s="44"/>
      <c r="I735" s="44"/>
      <c r="J735" s="44"/>
      <c r="K735" s="44"/>
      <c r="L735" s="44"/>
      <c r="M735" s="44"/>
      <c r="N735" s="44"/>
      <c r="O735" s="44"/>
    </row>
    <row r="736" spans="1:15" ht="17.25" customHeight="1">
      <c r="A736" s="44"/>
      <c r="B736" s="44"/>
      <c r="C736" s="44"/>
      <c r="D736" s="44"/>
      <c r="E736" s="44"/>
      <c r="F736" s="44"/>
      <c r="G736" s="44"/>
      <c r="H736" s="44"/>
      <c r="I736" s="44"/>
      <c r="J736" s="44"/>
      <c r="K736" s="44"/>
      <c r="L736" s="44"/>
      <c r="M736" s="44"/>
      <c r="N736" s="44"/>
      <c r="O736" s="44"/>
    </row>
    <row r="737" spans="1:15" ht="17.25" customHeight="1">
      <c r="A737" s="44"/>
      <c r="B737" s="44"/>
      <c r="C737" s="44"/>
      <c r="D737" s="44"/>
      <c r="E737" s="44"/>
      <c r="F737" s="44"/>
      <c r="G737" s="44"/>
      <c r="H737" s="44"/>
      <c r="I737" s="44"/>
      <c r="J737" s="44"/>
      <c r="K737" s="44"/>
      <c r="L737" s="44"/>
      <c r="M737" s="44"/>
      <c r="N737" s="44"/>
      <c r="O737" s="44"/>
    </row>
    <row r="738" spans="1:15" ht="17.25" customHeight="1">
      <c r="A738" s="44"/>
      <c r="B738" s="44"/>
      <c r="C738" s="44"/>
      <c r="D738" s="44"/>
      <c r="E738" s="44"/>
      <c r="F738" s="44"/>
      <c r="G738" s="44"/>
      <c r="H738" s="44"/>
      <c r="I738" s="44"/>
      <c r="J738" s="44"/>
      <c r="K738" s="44"/>
      <c r="L738" s="44"/>
      <c r="M738" s="44"/>
      <c r="N738" s="44"/>
      <c r="O738" s="44"/>
    </row>
    <row r="739" spans="1:15" ht="17.25" customHeight="1">
      <c r="A739" s="44"/>
      <c r="B739" s="44"/>
      <c r="C739" s="44"/>
      <c r="D739" s="44"/>
      <c r="E739" s="44"/>
      <c r="F739" s="44"/>
      <c r="G739" s="44"/>
      <c r="H739" s="44"/>
      <c r="I739" s="44"/>
      <c r="J739" s="44"/>
      <c r="K739" s="44"/>
      <c r="L739" s="44"/>
      <c r="M739" s="44"/>
      <c r="N739" s="44"/>
      <c r="O739" s="44"/>
    </row>
    <row r="740" spans="1:15" ht="17.25" customHeight="1">
      <c r="A740" s="44"/>
      <c r="B740" s="44"/>
      <c r="C740" s="44"/>
      <c r="D740" s="44"/>
      <c r="E740" s="44"/>
      <c r="F740" s="44"/>
      <c r="G740" s="44"/>
      <c r="H740" s="44"/>
      <c r="I740" s="44"/>
      <c r="J740" s="44"/>
      <c r="K740" s="44"/>
      <c r="L740" s="44"/>
      <c r="M740" s="44"/>
      <c r="N740" s="44"/>
      <c r="O740" s="44"/>
    </row>
    <row r="741" spans="1:15" ht="17.25" customHeight="1">
      <c r="A741" s="44"/>
      <c r="B741" s="44"/>
      <c r="C741" s="44"/>
      <c r="D741" s="44"/>
      <c r="E741" s="44"/>
      <c r="F741" s="44"/>
      <c r="G741" s="44"/>
      <c r="H741" s="44"/>
      <c r="I741" s="44"/>
      <c r="J741" s="44"/>
      <c r="K741" s="44"/>
      <c r="L741" s="44"/>
      <c r="M741" s="44"/>
      <c r="N741" s="44"/>
      <c r="O741" s="44"/>
    </row>
    <row r="742" spans="1:15" ht="17.25" customHeight="1">
      <c r="A742" s="44"/>
      <c r="B742" s="44"/>
      <c r="C742" s="44"/>
      <c r="D742" s="44"/>
      <c r="E742" s="44"/>
      <c r="F742" s="44"/>
      <c r="G742" s="44"/>
      <c r="H742" s="44"/>
      <c r="I742" s="44"/>
      <c r="J742" s="44"/>
      <c r="K742" s="44"/>
      <c r="L742" s="44"/>
      <c r="M742" s="44"/>
      <c r="N742" s="44"/>
      <c r="O742" s="44"/>
    </row>
    <row r="743" spans="1:15" ht="17.25" customHeight="1">
      <c r="A743" s="44"/>
      <c r="B743" s="44"/>
      <c r="C743" s="44"/>
      <c r="D743" s="44"/>
      <c r="E743" s="44"/>
      <c r="F743" s="44"/>
      <c r="G743" s="44"/>
      <c r="H743" s="44"/>
      <c r="I743" s="44"/>
      <c r="J743" s="44"/>
      <c r="K743" s="44"/>
      <c r="L743" s="44"/>
      <c r="M743" s="44"/>
      <c r="N743" s="44"/>
      <c r="O743" s="44"/>
    </row>
    <row r="744" spans="1:15" ht="17.25" customHeight="1">
      <c r="A744" s="44"/>
      <c r="B744" s="44"/>
      <c r="C744" s="44"/>
      <c r="D744" s="44"/>
      <c r="E744" s="44"/>
      <c r="F744" s="44"/>
      <c r="G744" s="44"/>
      <c r="H744" s="44"/>
      <c r="I744" s="44"/>
      <c r="J744" s="44"/>
      <c r="K744" s="44"/>
      <c r="L744" s="44"/>
      <c r="M744" s="44"/>
      <c r="N744" s="44"/>
      <c r="O744" s="44"/>
    </row>
    <row r="745" spans="1:15" ht="17.25" customHeight="1">
      <c r="A745" s="44"/>
      <c r="B745" s="44"/>
      <c r="C745" s="44"/>
      <c r="D745" s="44"/>
      <c r="E745" s="44"/>
      <c r="F745" s="44"/>
      <c r="G745" s="44"/>
      <c r="H745" s="44"/>
      <c r="I745" s="44"/>
      <c r="J745" s="44"/>
      <c r="K745" s="44"/>
      <c r="L745" s="44"/>
      <c r="M745" s="44"/>
      <c r="N745" s="44"/>
      <c r="O745" s="44"/>
    </row>
    <row r="746" spans="1:15" ht="17.25" customHeight="1">
      <c r="A746" s="44"/>
      <c r="B746" s="44"/>
      <c r="C746" s="44"/>
      <c r="D746" s="44"/>
      <c r="E746" s="44"/>
      <c r="F746" s="44"/>
      <c r="G746" s="44"/>
      <c r="H746" s="44"/>
      <c r="I746" s="44"/>
      <c r="J746" s="44"/>
      <c r="K746" s="44"/>
      <c r="L746" s="44"/>
      <c r="M746" s="44"/>
      <c r="N746" s="44"/>
      <c r="O746" s="44"/>
    </row>
    <row r="747" spans="1:15" ht="17.25" customHeight="1">
      <c r="A747" s="44"/>
      <c r="B747" s="44"/>
      <c r="C747" s="44"/>
      <c r="D747" s="44"/>
      <c r="E747" s="44"/>
      <c r="F747" s="44"/>
      <c r="G747" s="44"/>
      <c r="H747" s="44"/>
      <c r="I747" s="44"/>
      <c r="J747" s="44"/>
      <c r="K747" s="44"/>
      <c r="L747" s="44"/>
      <c r="M747" s="44"/>
      <c r="N747" s="44"/>
      <c r="O747" s="44"/>
    </row>
    <row r="748" spans="1:15" ht="17.25" customHeight="1">
      <c r="A748" s="44"/>
      <c r="B748" s="44"/>
      <c r="C748" s="44"/>
      <c r="D748" s="44"/>
      <c r="E748" s="44"/>
      <c r="F748" s="44"/>
      <c r="G748" s="44"/>
      <c r="H748" s="44"/>
      <c r="I748" s="44"/>
      <c r="J748" s="44"/>
      <c r="K748" s="44"/>
      <c r="L748" s="44"/>
      <c r="M748" s="44"/>
      <c r="N748" s="44"/>
      <c r="O748" s="44"/>
    </row>
    <row r="749" spans="1:15" ht="17.25" customHeight="1">
      <c r="A749" s="44"/>
      <c r="B749" s="44"/>
      <c r="C749" s="44"/>
      <c r="D749" s="44"/>
      <c r="E749" s="44"/>
      <c r="F749" s="44"/>
      <c r="G749" s="44"/>
      <c r="H749" s="44"/>
      <c r="I749" s="44"/>
      <c r="J749" s="44"/>
      <c r="K749" s="44"/>
      <c r="L749" s="44"/>
      <c r="M749" s="44"/>
      <c r="N749" s="44"/>
      <c r="O749" s="44"/>
    </row>
    <row r="750" spans="1:15" ht="17.25" customHeight="1">
      <c r="A750" s="44"/>
      <c r="B750" s="44"/>
      <c r="C750" s="44"/>
      <c r="D750" s="44"/>
      <c r="E750" s="44"/>
      <c r="F750" s="44"/>
      <c r="G750" s="44"/>
      <c r="H750" s="44"/>
      <c r="I750" s="44"/>
      <c r="J750" s="44"/>
      <c r="K750" s="44"/>
      <c r="L750" s="44"/>
      <c r="M750" s="44"/>
      <c r="N750" s="44"/>
      <c r="O750" s="44"/>
    </row>
    <row r="751" spans="1:15" ht="17.25" customHeight="1">
      <c r="A751" s="44"/>
      <c r="B751" s="44"/>
      <c r="C751" s="44"/>
      <c r="D751" s="44"/>
      <c r="E751" s="44"/>
      <c r="F751" s="44"/>
      <c r="G751" s="44"/>
      <c r="H751" s="44"/>
      <c r="I751" s="44"/>
      <c r="J751" s="44"/>
      <c r="K751" s="44"/>
      <c r="L751" s="44"/>
      <c r="M751" s="44"/>
      <c r="N751" s="44"/>
      <c r="O751" s="44"/>
    </row>
    <row r="752" spans="1:15" ht="17.25" customHeight="1">
      <c r="A752" s="44"/>
      <c r="B752" s="44"/>
      <c r="C752" s="44"/>
      <c r="D752" s="44"/>
      <c r="E752" s="44"/>
      <c r="F752" s="44"/>
      <c r="G752" s="44"/>
      <c r="H752" s="44"/>
      <c r="I752" s="44"/>
      <c r="J752" s="44"/>
      <c r="K752" s="44"/>
      <c r="L752" s="44"/>
      <c r="M752" s="44"/>
      <c r="N752" s="44"/>
      <c r="O752" s="44"/>
    </row>
    <row r="753" spans="1:15" ht="17.25" customHeight="1">
      <c r="A753" s="44"/>
      <c r="B753" s="44"/>
      <c r="C753" s="44"/>
      <c r="D753" s="44"/>
      <c r="E753" s="44"/>
      <c r="F753" s="44"/>
      <c r="G753" s="44"/>
      <c r="H753" s="44"/>
      <c r="I753" s="44"/>
      <c r="J753" s="44"/>
      <c r="K753" s="44"/>
      <c r="L753" s="44"/>
      <c r="M753" s="44"/>
      <c r="N753" s="44"/>
      <c r="O753" s="44"/>
    </row>
    <row r="754" spans="1:15" ht="17.25" customHeight="1">
      <c r="A754" s="44"/>
      <c r="B754" s="44"/>
      <c r="C754" s="44"/>
      <c r="D754" s="44"/>
      <c r="E754" s="44"/>
      <c r="F754" s="44"/>
      <c r="G754" s="44"/>
      <c r="H754" s="44"/>
      <c r="I754" s="44"/>
      <c r="J754" s="44"/>
      <c r="K754" s="44"/>
      <c r="L754" s="44"/>
      <c r="M754" s="44"/>
      <c r="N754" s="44"/>
      <c r="O754" s="44"/>
    </row>
    <row r="755" spans="1:15" ht="17.25" customHeight="1">
      <c r="A755" s="44"/>
      <c r="B755" s="44"/>
      <c r="C755" s="44"/>
      <c r="D755" s="44"/>
      <c r="E755" s="44"/>
      <c r="F755" s="44"/>
      <c r="G755" s="44"/>
      <c r="H755" s="44"/>
      <c r="I755" s="44"/>
      <c r="J755" s="44"/>
      <c r="K755" s="44"/>
      <c r="L755" s="44"/>
      <c r="M755" s="44"/>
      <c r="N755" s="44"/>
      <c r="O755" s="44"/>
    </row>
    <row r="756" spans="1:15" ht="17.25" customHeight="1">
      <c r="A756" s="44"/>
      <c r="B756" s="44"/>
      <c r="C756" s="44"/>
      <c r="D756" s="44"/>
      <c r="E756" s="44"/>
      <c r="F756" s="44"/>
      <c r="G756" s="44"/>
      <c r="H756" s="44"/>
      <c r="I756" s="44"/>
      <c r="J756" s="44"/>
      <c r="K756" s="44"/>
      <c r="L756" s="44"/>
      <c r="M756" s="44"/>
      <c r="N756" s="44"/>
      <c r="O756" s="44"/>
    </row>
    <row r="757" spans="1:15" ht="17.25" customHeight="1">
      <c r="A757" s="44"/>
      <c r="B757" s="44"/>
      <c r="C757" s="44"/>
      <c r="D757" s="44"/>
      <c r="E757" s="44"/>
      <c r="F757" s="44"/>
      <c r="G757" s="44"/>
      <c r="H757" s="44"/>
      <c r="I757" s="44"/>
      <c r="J757" s="44"/>
      <c r="K757" s="44"/>
      <c r="L757" s="44"/>
      <c r="M757" s="44"/>
      <c r="N757" s="44"/>
      <c r="O757" s="44"/>
    </row>
    <row r="758" spans="1:15" ht="17.25" customHeight="1">
      <c r="A758" s="44"/>
      <c r="B758" s="44"/>
      <c r="C758" s="44"/>
      <c r="D758" s="44"/>
      <c r="E758" s="44"/>
      <c r="F758" s="44"/>
      <c r="G758" s="44"/>
      <c r="H758" s="44"/>
      <c r="I758" s="44"/>
      <c r="J758" s="44"/>
      <c r="K758" s="44"/>
      <c r="L758" s="44"/>
      <c r="M758" s="44"/>
      <c r="N758" s="44"/>
      <c r="O758" s="44"/>
    </row>
    <row r="759" spans="1:15" ht="17.25" customHeight="1">
      <c r="A759" s="44"/>
      <c r="B759" s="44"/>
      <c r="C759" s="44"/>
      <c r="D759" s="44"/>
      <c r="E759" s="44"/>
      <c r="F759" s="44"/>
      <c r="G759" s="44"/>
      <c r="H759" s="44"/>
      <c r="I759" s="44"/>
      <c r="J759" s="44"/>
      <c r="K759" s="44"/>
      <c r="L759" s="44"/>
      <c r="M759" s="44"/>
      <c r="N759" s="44"/>
      <c r="O759" s="44"/>
    </row>
    <row r="760" spans="1:15" ht="17.25" customHeight="1">
      <c r="A760" s="44"/>
      <c r="B760" s="44"/>
      <c r="C760" s="44"/>
      <c r="D760" s="44"/>
      <c r="E760" s="44"/>
      <c r="F760" s="44"/>
      <c r="G760" s="44"/>
      <c r="H760" s="44"/>
      <c r="I760" s="44"/>
      <c r="J760" s="44"/>
      <c r="K760" s="44"/>
      <c r="L760" s="44"/>
      <c r="M760" s="44"/>
      <c r="N760" s="44"/>
      <c r="O760" s="44"/>
    </row>
    <row r="761" spans="1:15" ht="17.25" customHeight="1">
      <c r="A761" s="44"/>
      <c r="B761" s="44"/>
      <c r="C761" s="44"/>
      <c r="D761" s="44"/>
      <c r="E761" s="44"/>
      <c r="F761" s="44"/>
      <c r="G761" s="44"/>
      <c r="H761" s="44"/>
      <c r="I761" s="44"/>
      <c r="J761" s="44"/>
      <c r="K761" s="44"/>
      <c r="L761" s="44"/>
      <c r="M761" s="44"/>
      <c r="N761" s="44"/>
      <c r="O761" s="44"/>
    </row>
    <row r="762" spans="1:15" ht="17.25" customHeight="1">
      <c r="A762" s="44"/>
      <c r="B762" s="44"/>
      <c r="C762" s="44"/>
      <c r="D762" s="44"/>
      <c r="E762" s="44"/>
      <c r="F762" s="44"/>
      <c r="G762" s="44"/>
      <c r="H762" s="44"/>
      <c r="I762" s="44"/>
      <c r="J762" s="44"/>
      <c r="K762" s="44"/>
      <c r="L762" s="44"/>
      <c r="M762" s="44"/>
      <c r="N762" s="44"/>
      <c r="O762" s="44"/>
    </row>
    <row r="763" spans="1:15" ht="17.25" customHeight="1">
      <c r="A763" s="44"/>
      <c r="B763" s="44"/>
      <c r="C763" s="44"/>
      <c r="D763" s="44"/>
      <c r="E763" s="44"/>
      <c r="F763" s="44"/>
      <c r="G763" s="44"/>
      <c r="H763" s="44"/>
      <c r="I763" s="44"/>
      <c r="J763" s="44"/>
      <c r="K763" s="44"/>
      <c r="L763" s="44"/>
      <c r="M763" s="44"/>
      <c r="N763" s="44"/>
      <c r="O763" s="44"/>
    </row>
    <row r="764" spans="1:15" ht="17.25" customHeight="1">
      <c r="A764" s="44"/>
      <c r="B764" s="44"/>
      <c r="C764" s="44"/>
      <c r="D764" s="44"/>
      <c r="E764" s="44"/>
      <c r="F764" s="44"/>
      <c r="G764" s="44"/>
      <c r="H764" s="44"/>
      <c r="I764" s="44"/>
      <c r="J764" s="44"/>
      <c r="K764" s="44"/>
      <c r="L764" s="44"/>
      <c r="M764" s="44"/>
      <c r="N764" s="44"/>
      <c r="O764" s="44"/>
    </row>
    <row r="765" spans="1:15" ht="17.25" customHeight="1">
      <c r="A765" s="44"/>
      <c r="B765" s="44"/>
      <c r="C765" s="44"/>
      <c r="D765" s="44"/>
      <c r="E765" s="44"/>
      <c r="F765" s="44"/>
      <c r="G765" s="44"/>
      <c r="H765" s="44"/>
      <c r="I765" s="44"/>
      <c r="J765" s="44"/>
      <c r="K765" s="44"/>
      <c r="L765" s="44"/>
      <c r="M765" s="44"/>
      <c r="N765" s="44"/>
      <c r="O765" s="44"/>
    </row>
    <row r="766" spans="1:15" ht="17.25" customHeight="1">
      <c r="A766" s="44"/>
      <c r="B766" s="44"/>
      <c r="C766" s="44"/>
      <c r="D766" s="44"/>
      <c r="E766" s="44"/>
      <c r="F766" s="44"/>
      <c r="G766" s="44"/>
      <c r="H766" s="44"/>
      <c r="I766" s="44"/>
      <c r="J766" s="44"/>
      <c r="K766" s="44"/>
      <c r="L766" s="44"/>
      <c r="M766" s="44"/>
      <c r="N766" s="44"/>
      <c r="O766" s="44"/>
    </row>
    <row r="767" spans="1:15" ht="17.25" customHeight="1">
      <c r="A767" s="44"/>
      <c r="B767" s="44"/>
      <c r="C767" s="44"/>
      <c r="D767" s="44"/>
      <c r="E767" s="44"/>
      <c r="F767" s="44"/>
      <c r="G767" s="44"/>
      <c r="H767" s="44"/>
      <c r="I767" s="44"/>
      <c r="J767" s="44"/>
      <c r="K767" s="44"/>
      <c r="L767" s="44"/>
      <c r="M767" s="44"/>
      <c r="N767" s="44"/>
      <c r="O767" s="44"/>
    </row>
    <row r="768" spans="1:15" ht="17.25" customHeight="1">
      <c r="A768" s="44"/>
      <c r="B768" s="44"/>
      <c r="C768" s="44"/>
      <c r="D768" s="44"/>
      <c r="E768" s="44"/>
      <c r="F768" s="44"/>
      <c r="G768" s="44"/>
      <c r="H768" s="44"/>
      <c r="I768" s="44"/>
      <c r="J768" s="44"/>
      <c r="K768" s="44"/>
      <c r="L768" s="44"/>
      <c r="M768" s="44"/>
      <c r="N768" s="44"/>
      <c r="O768" s="44"/>
    </row>
    <row r="769" spans="1:15" ht="17.25" customHeight="1">
      <c r="A769" s="44"/>
      <c r="B769" s="44"/>
      <c r="C769" s="44"/>
      <c r="D769" s="44"/>
      <c r="E769" s="44"/>
      <c r="F769" s="44"/>
      <c r="G769" s="44"/>
      <c r="H769" s="44"/>
      <c r="I769" s="44"/>
      <c r="J769" s="44"/>
      <c r="K769" s="44"/>
      <c r="L769" s="44"/>
      <c r="M769" s="44"/>
      <c r="N769" s="44"/>
      <c r="O769" s="44"/>
    </row>
    <row r="770" spans="1:15" ht="17.25" customHeight="1">
      <c r="A770" s="44"/>
      <c r="B770" s="44"/>
      <c r="C770" s="44"/>
      <c r="D770" s="44"/>
      <c r="E770" s="44"/>
      <c r="F770" s="44"/>
      <c r="G770" s="44"/>
      <c r="H770" s="44"/>
      <c r="I770" s="44"/>
      <c r="J770" s="44"/>
      <c r="K770" s="44"/>
      <c r="L770" s="44"/>
      <c r="M770" s="44"/>
      <c r="N770" s="44"/>
      <c r="O770" s="44"/>
    </row>
    <row r="771" spans="1:15" ht="17.25" customHeight="1">
      <c r="A771" s="44"/>
      <c r="B771" s="44"/>
      <c r="C771" s="44"/>
      <c r="D771" s="44"/>
      <c r="E771" s="44"/>
      <c r="F771" s="44"/>
      <c r="G771" s="44"/>
      <c r="H771" s="44"/>
      <c r="I771" s="44"/>
      <c r="J771" s="44"/>
      <c r="K771" s="44"/>
      <c r="L771" s="44"/>
      <c r="M771" s="44"/>
      <c r="N771" s="44"/>
      <c r="O771" s="44"/>
    </row>
    <row r="772" spans="1:15" ht="17.25" customHeight="1">
      <c r="A772" s="44"/>
      <c r="B772" s="44"/>
      <c r="C772" s="44"/>
      <c r="D772" s="44"/>
      <c r="E772" s="44"/>
      <c r="F772" s="44"/>
      <c r="G772" s="44"/>
      <c r="H772" s="44"/>
      <c r="I772" s="44"/>
      <c r="J772" s="44"/>
      <c r="K772" s="44"/>
      <c r="L772" s="44"/>
      <c r="M772" s="44"/>
      <c r="N772" s="44"/>
      <c r="O772" s="44"/>
    </row>
    <row r="773" spans="1:15" ht="17.25" customHeight="1">
      <c r="A773" s="44"/>
      <c r="B773" s="44"/>
      <c r="C773" s="44"/>
      <c r="D773" s="44"/>
      <c r="E773" s="44"/>
      <c r="F773" s="44"/>
      <c r="G773" s="44"/>
      <c r="H773" s="44"/>
      <c r="I773" s="44"/>
      <c r="J773" s="44"/>
      <c r="K773" s="44"/>
      <c r="L773" s="44"/>
      <c r="M773" s="44"/>
      <c r="N773" s="44"/>
      <c r="O773" s="44"/>
    </row>
    <row r="774" spans="1:15" ht="17.25" customHeight="1">
      <c r="A774" s="44"/>
      <c r="B774" s="44"/>
      <c r="C774" s="44"/>
      <c r="D774" s="44"/>
      <c r="E774" s="44"/>
      <c r="F774" s="44"/>
      <c r="G774" s="44"/>
      <c r="H774" s="44"/>
      <c r="I774" s="44"/>
      <c r="J774" s="44"/>
      <c r="K774" s="44"/>
      <c r="L774" s="44"/>
      <c r="M774" s="44"/>
      <c r="N774" s="44"/>
      <c r="O774" s="44"/>
    </row>
    <row r="775" spans="1:15" ht="17.25" customHeight="1">
      <c r="A775" s="44"/>
      <c r="B775" s="44"/>
      <c r="C775" s="44"/>
      <c r="D775" s="44"/>
      <c r="E775" s="44"/>
      <c r="F775" s="44"/>
      <c r="G775" s="44"/>
      <c r="H775" s="44"/>
      <c r="I775" s="44"/>
      <c r="J775" s="44"/>
      <c r="K775" s="44"/>
      <c r="L775" s="44"/>
      <c r="M775" s="44"/>
      <c r="N775" s="44"/>
      <c r="O775" s="44"/>
    </row>
    <row r="776" spans="1:15" ht="17.25" customHeight="1">
      <c r="A776" s="44"/>
      <c r="B776" s="44"/>
      <c r="C776" s="44"/>
      <c r="D776" s="44"/>
      <c r="E776" s="44"/>
      <c r="F776" s="44"/>
      <c r="G776" s="44"/>
      <c r="H776" s="44"/>
      <c r="I776" s="44"/>
      <c r="J776" s="44"/>
      <c r="K776" s="44"/>
      <c r="L776" s="44"/>
      <c r="M776" s="44"/>
      <c r="N776" s="44"/>
      <c r="O776" s="44"/>
    </row>
    <row r="777" spans="1:15" ht="17.25" customHeight="1">
      <c r="A777" s="44"/>
      <c r="B777" s="44"/>
      <c r="C777" s="44"/>
      <c r="D777" s="44"/>
      <c r="E777" s="44"/>
      <c r="F777" s="44"/>
      <c r="G777" s="44"/>
      <c r="H777" s="44"/>
      <c r="I777" s="44"/>
      <c r="J777" s="44"/>
      <c r="K777" s="44"/>
      <c r="L777" s="44"/>
      <c r="M777" s="44"/>
      <c r="N777" s="44"/>
      <c r="O777" s="44"/>
    </row>
    <row r="778" spans="1:15" ht="17.25" customHeight="1">
      <c r="A778" s="44"/>
      <c r="B778" s="44"/>
      <c r="C778" s="44"/>
      <c r="D778" s="44"/>
      <c r="E778" s="44"/>
      <c r="F778" s="44"/>
      <c r="G778" s="44"/>
      <c r="H778" s="44"/>
      <c r="I778" s="44"/>
      <c r="J778" s="44"/>
      <c r="K778" s="44"/>
      <c r="L778" s="44"/>
      <c r="M778" s="44"/>
      <c r="N778" s="44"/>
      <c r="O778" s="44"/>
    </row>
    <row r="779" spans="1:15" ht="17.25" customHeight="1">
      <c r="A779" s="44"/>
      <c r="B779" s="44"/>
      <c r="C779" s="44"/>
      <c r="D779" s="44"/>
      <c r="E779" s="44"/>
      <c r="F779" s="44"/>
      <c r="G779" s="44"/>
      <c r="H779" s="44"/>
      <c r="I779" s="44"/>
      <c r="J779" s="44"/>
      <c r="K779" s="44"/>
      <c r="L779" s="44"/>
      <c r="M779" s="44"/>
      <c r="N779" s="44"/>
      <c r="O779" s="44"/>
    </row>
    <row r="780" spans="1:15" ht="17.25" customHeight="1">
      <c r="A780" s="44"/>
      <c r="B780" s="44"/>
      <c r="C780" s="44"/>
      <c r="D780" s="44"/>
      <c r="E780" s="44"/>
      <c r="F780" s="44"/>
      <c r="G780" s="44"/>
      <c r="H780" s="44"/>
      <c r="I780" s="44"/>
      <c r="J780" s="44"/>
      <c r="K780" s="44"/>
      <c r="L780" s="44"/>
      <c r="M780" s="44"/>
      <c r="N780" s="44"/>
      <c r="O780" s="44"/>
    </row>
    <row r="781" spans="1:15" ht="17.25" customHeight="1">
      <c r="A781" s="44"/>
      <c r="B781" s="44"/>
      <c r="C781" s="44"/>
      <c r="D781" s="44"/>
      <c r="E781" s="44"/>
      <c r="F781" s="44"/>
      <c r="G781" s="44"/>
      <c r="H781" s="44"/>
      <c r="I781" s="44"/>
      <c r="J781" s="44"/>
      <c r="K781" s="44"/>
      <c r="L781" s="44"/>
      <c r="M781" s="44"/>
      <c r="N781" s="44"/>
      <c r="O781" s="44"/>
    </row>
    <row r="782" spans="1:15" ht="17.25" customHeight="1">
      <c r="A782" s="44"/>
      <c r="B782" s="44"/>
      <c r="C782" s="44"/>
      <c r="D782" s="44"/>
      <c r="E782" s="44"/>
      <c r="F782" s="44"/>
      <c r="G782" s="44"/>
      <c r="H782" s="44"/>
      <c r="I782" s="44"/>
      <c r="J782" s="44"/>
      <c r="K782" s="44"/>
      <c r="L782" s="44"/>
      <c r="M782" s="44"/>
      <c r="N782" s="44"/>
      <c r="O782" s="44"/>
    </row>
    <row r="783" spans="1:15" ht="17.25" customHeight="1">
      <c r="A783" s="44"/>
      <c r="B783" s="44"/>
      <c r="C783" s="44"/>
      <c r="D783" s="44"/>
      <c r="E783" s="44"/>
      <c r="F783" s="44"/>
      <c r="G783" s="44"/>
      <c r="H783" s="44"/>
      <c r="I783" s="44"/>
      <c r="J783" s="44"/>
      <c r="K783" s="44"/>
      <c r="L783" s="44"/>
      <c r="M783" s="44"/>
      <c r="N783" s="44"/>
      <c r="O783" s="44"/>
    </row>
    <row r="784" spans="1:15" ht="17.25" customHeight="1">
      <c r="A784" s="44"/>
      <c r="B784" s="44"/>
      <c r="C784" s="44"/>
      <c r="D784" s="44"/>
      <c r="E784" s="44"/>
      <c r="F784" s="44"/>
      <c r="G784" s="44"/>
      <c r="H784" s="44"/>
      <c r="I784" s="44"/>
      <c r="J784" s="44"/>
      <c r="K784" s="44"/>
      <c r="L784" s="44"/>
      <c r="M784" s="44"/>
      <c r="N784" s="44"/>
      <c r="O784" s="44"/>
    </row>
    <row r="785" spans="1:15" ht="17.25" customHeight="1">
      <c r="A785" s="44"/>
      <c r="B785" s="44"/>
      <c r="C785" s="44"/>
      <c r="D785" s="44"/>
      <c r="E785" s="44"/>
      <c r="F785" s="44"/>
      <c r="G785" s="44"/>
      <c r="H785" s="44"/>
      <c r="I785" s="44"/>
      <c r="J785" s="44"/>
      <c r="K785" s="44"/>
      <c r="L785" s="44"/>
      <c r="M785" s="44"/>
      <c r="N785" s="44"/>
      <c r="O785" s="44"/>
    </row>
    <row r="786" spans="1:15" ht="17.25" customHeight="1">
      <c r="A786" s="44"/>
      <c r="B786" s="44"/>
      <c r="C786" s="44"/>
      <c r="D786" s="44"/>
      <c r="E786" s="44"/>
      <c r="F786" s="44"/>
      <c r="G786" s="44"/>
      <c r="H786" s="44"/>
      <c r="I786" s="44"/>
      <c r="J786" s="44"/>
      <c r="K786" s="44"/>
      <c r="L786" s="44"/>
      <c r="M786" s="44"/>
      <c r="N786" s="44"/>
      <c r="O786" s="44"/>
    </row>
    <row r="787" spans="1:15" ht="17.25" customHeight="1">
      <c r="A787" s="44"/>
      <c r="B787" s="44"/>
      <c r="C787" s="44"/>
      <c r="D787" s="44"/>
      <c r="E787" s="44"/>
      <c r="F787" s="44"/>
      <c r="G787" s="44"/>
      <c r="H787" s="44"/>
      <c r="I787" s="44"/>
      <c r="J787" s="44"/>
      <c r="K787" s="44"/>
      <c r="L787" s="44"/>
      <c r="M787" s="44"/>
      <c r="N787" s="44"/>
      <c r="O787" s="44"/>
    </row>
    <row r="788" spans="1:15" ht="17.25" customHeight="1">
      <c r="A788" s="44"/>
      <c r="B788" s="44"/>
      <c r="C788" s="44"/>
      <c r="D788" s="44"/>
      <c r="E788" s="44"/>
      <c r="F788" s="44"/>
      <c r="G788" s="44"/>
      <c r="H788" s="44"/>
      <c r="I788" s="44"/>
      <c r="J788" s="44"/>
      <c r="K788" s="44"/>
      <c r="L788" s="44"/>
      <c r="M788" s="44"/>
      <c r="N788" s="44"/>
      <c r="O788" s="44"/>
    </row>
    <row r="789" spans="1:15" ht="17.25" customHeight="1">
      <c r="A789" s="44"/>
      <c r="B789" s="44"/>
      <c r="C789" s="44"/>
      <c r="D789" s="44"/>
      <c r="E789" s="44"/>
      <c r="F789" s="44"/>
      <c r="G789" s="44"/>
      <c r="H789" s="44"/>
      <c r="I789" s="44"/>
      <c r="J789" s="44"/>
      <c r="K789" s="44"/>
      <c r="L789" s="44"/>
      <c r="M789" s="44"/>
      <c r="N789" s="44"/>
      <c r="O789" s="44"/>
    </row>
    <row r="790" spans="1:15" ht="17.25" customHeight="1">
      <c r="A790" s="44"/>
      <c r="B790" s="44"/>
      <c r="C790" s="44"/>
      <c r="D790" s="44"/>
      <c r="E790" s="44"/>
      <c r="F790" s="44"/>
      <c r="G790" s="44"/>
      <c r="H790" s="44"/>
      <c r="I790" s="44"/>
      <c r="J790" s="44"/>
      <c r="K790" s="44"/>
      <c r="L790" s="44"/>
      <c r="M790" s="44"/>
      <c r="N790" s="44"/>
      <c r="O790" s="44"/>
    </row>
    <row r="791" spans="1:15" ht="17.25" customHeight="1">
      <c r="A791" s="44"/>
      <c r="B791" s="44"/>
      <c r="C791" s="44"/>
      <c r="D791" s="44"/>
      <c r="E791" s="44"/>
      <c r="F791" s="44"/>
      <c r="G791" s="44"/>
      <c r="H791" s="44"/>
      <c r="I791" s="44"/>
      <c r="J791" s="44"/>
      <c r="K791" s="44"/>
      <c r="L791" s="44"/>
      <c r="M791" s="44"/>
      <c r="N791" s="44"/>
      <c r="O791" s="44"/>
    </row>
    <row r="792" spans="1:15" ht="17.25" customHeight="1">
      <c r="A792" s="44"/>
      <c r="B792" s="44"/>
      <c r="C792" s="44"/>
      <c r="D792" s="44"/>
      <c r="E792" s="44"/>
      <c r="F792" s="44"/>
      <c r="G792" s="44"/>
      <c r="H792" s="44"/>
      <c r="I792" s="44"/>
      <c r="J792" s="44"/>
      <c r="K792" s="44"/>
      <c r="L792" s="44"/>
      <c r="M792" s="44"/>
      <c r="N792" s="44"/>
      <c r="O792" s="44"/>
    </row>
    <row r="793" spans="1:15" ht="17.25" customHeight="1">
      <c r="A793" s="44"/>
      <c r="B793" s="44"/>
      <c r="C793" s="44"/>
      <c r="D793" s="44"/>
      <c r="E793" s="44"/>
      <c r="F793" s="44"/>
      <c r="G793" s="44"/>
      <c r="H793" s="44"/>
      <c r="I793" s="44"/>
      <c r="J793" s="44"/>
      <c r="K793" s="44"/>
      <c r="L793" s="44"/>
      <c r="M793" s="44"/>
      <c r="N793" s="44"/>
      <c r="O793" s="44"/>
    </row>
    <row r="794" spans="1:15" ht="17.25" customHeight="1">
      <c r="A794" s="44"/>
      <c r="B794" s="44"/>
      <c r="C794" s="44"/>
      <c r="D794" s="44"/>
      <c r="E794" s="44"/>
      <c r="F794" s="44"/>
      <c r="G794" s="44"/>
      <c r="H794" s="44"/>
      <c r="I794" s="44"/>
      <c r="J794" s="44"/>
      <c r="K794" s="44"/>
      <c r="L794" s="44"/>
      <c r="M794" s="44"/>
      <c r="N794" s="44"/>
      <c r="O794" s="44"/>
    </row>
    <row r="795" spans="1:15" ht="17.25" customHeight="1">
      <c r="A795" s="44"/>
      <c r="B795" s="44"/>
      <c r="C795" s="44"/>
      <c r="D795" s="44"/>
      <c r="E795" s="44"/>
      <c r="F795" s="44"/>
      <c r="G795" s="44"/>
      <c r="H795" s="44"/>
      <c r="I795" s="44"/>
      <c r="J795" s="44"/>
      <c r="K795" s="44"/>
      <c r="L795" s="44"/>
      <c r="M795" s="44"/>
      <c r="N795" s="44"/>
      <c r="O795" s="44"/>
    </row>
    <row r="796" spans="1:15" ht="17.25" customHeight="1">
      <c r="A796" s="44"/>
      <c r="B796" s="44"/>
      <c r="C796" s="44"/>
      <c r="D796" s="44"/>
      <c r="E796" s="44"/>
      <c r="F796" s="44"/>
      <c r="G796" s="44"/>
      <c r="H796" s="44"/>
      <c r="I796" s="44"/>
      <c r="J796" s="44"/>
      <c r="K796" s="44"/>
      <c r="L796" s="44"/>
      <c r="M796" s="44"/>
      <c r="N796" s="44"/>
      <c r="O796" s="44"/>
    </row>
    <row r="797" spans="1:15" ht="17.25" customHeight="1">
      <c r="A797" s="44"/>
      <c r="B797" s="44"/>
      <c r="C797" s="44"/>
      <c r="D797" s="44"/>
      <c r="E797" s="44"/>
      <c r="F797" s="44"/>
      <c r="G797" s="44"/>
      <c r="H797" s="44"/>
      <c r="I797" s="44"/>
      <c r="J797" s="44"/>
      <c r="K797" s="44"/>
      <c r="L797" s="44"/>
      <c r="M797" s="44"/>
      <c r="N797" s="44"/>
      <c r="O797" s="44"/>
    </row>
    <row r="798" spans="1:15" ht="17.25" customHeight="1">
      <c r="A798" s="44"/>
      <c r="B798" s="44"/>
      <c r="C798" s="44"/>
      <c r="D798" s="44"/>
      <c r="E798" s="44"/>
      <c r="F798" s="44"/>
      <c r="G798" s="44"/>
      <c r="H798" s="44"/>
      <c r="I798" s="44"/>
      <c r="J798" s="44"/>
      <c r="K798" s="44"/>
      <c r="L798" s="44"/>
      <c r="M798" s="44"/>
      <c r="N798" s="44"/>
      <c r="O798" s="44"/>
    </row>
    <row r="799" spans="1:15" ht="17.25" customHeight="1">
      <c r="A799" s="44"/>
      <c r="B799" s="44"/>
      <c r="C799" s="44"/>
      <c r="D799" s="44"/>
      <c r="E799" s="44"/>
      <c r="F799" s="44"/>
      <c r="G799" s="44"/>
      <c r="H799" s="44"/>
      <c r="I799" s="44"/>
      <c r="J799" s="44"/>
      <c r="K799" s="44"/>
      <c r="L799" s="44"/>
      <c r="M799" s="44"/>
      <c r="N799" s="44"/>
      <c r="O799" s="44"/>
    </row>
    <row r="800" spans="1:15" ht="17.25" customHeight="1">
      <c r="A800" s="44"/>
      <c r="B800" s="44"/>
      <c r="C800" s="44"/>
      <c r="D800" s="44"/>
      <c r="E800" s="44"/>
      <c r="F800" s="44"/>
      <c r="G800" s="44"/>
      <c r="H800" s="44"/>
      <c r="I800" s="44"/>
      <c r="J800" s="44"/>
      <c r="K800" s="44"/>
      <c r="L800" s="44"/>
      <c r="M800" s="44"/>
      <c r="N800" s="44"/>
      <c r="O800" s="44"/>
    </row>
    <row r="801" spans="1:15" ht="17.25" customHeight="1">
      <c r="A801" s="44"/>
      <c r="B801" s="44"/>
      <c r="C801" s="44"/>
      <c r="D801" s="44"/>
      <c r="E801" s="44"/>
      <c r="F801" s="44"/>
      <c r="G801" s="44"/>
      <c r="H801" s="44"/>
      <c r="I801" s="44"/>
      <c r="J801" s="44"/>
      <c r="K801" s="44"/>
      <c r="L801" s="44"/>
      <c r="M801" s="44"/>
      <c r="N801" s="44"/>
      <c r="O801" s="44"/>
    </row>
    <row r="802" spans="1:15" ht="17.25" customHeight="1">
      <c r="A802" s="44"/>
      <c r="B802" s="44"/>
      <c r="C802" s="44"/>
      <c r="D802" s="44"/>
      <c r="E802" s="44"/>
      <c r="F802" s="44"/>
      <c r="G802" s="44"/>
      <c r="H802" s="44"/>
      <c r="I802" s="44"/>
      <c r="J802" s="44"/>
      <c r="K802" s="44"/>
      <c r="L802" s="44"/>
      <c r="M802" s="44"/>
      <c r="N802" s="44"/>
      <c r="O802" s="44"/>
    </row>
    <row r="803" spans="1:15" ht="17.25" customHeight="1">
      <c r="A803" s="44"/>
      <c r="B803" s="44"/>
      <c r="C803" s="44"/>
      <c r="D803" s="44"/>
      <c r="E803" s="44"/>
      <c r="F803" s="44"/>
      <c r="G803" s="44"/>
      <c r="H803" s="44"/>
      <c r="I803" s="44"/>
      <c r="J803" s="44"/>
      <c r="K803" s="44"/>
      <c r="L803" s="44"/>
      <c r="M803" s="44"/>
      <c r="N803" s="44"/>
      <c r="O803" s="44"/>
    </row>
    <row r="804" spans="1:15" ht="17.25" customHeight="1">
      <c r="A804" s="44"/>
      <c r="B804" s="44"/>
      <c r="C804" s="44"/>
      <c r="D804" s="44"/>
      <c r="E804" s="44"/>
      <c r="F804" s="44"/>
      <c r="G804" s="44"/>
      <c r="H804" s="44"/>
      <c r="I804" s="44"/>
      <c r="J804" s="44"/>
      <c r="K804" s="44"/>
      <c r="L804" s="44"/>
      <c r="M804" s="44"/>
      <c r="N804" s="44"/>
      <c r="O804" s="44"/>
    </row>
    <row r="805" spans="1:15" ht="17.25" customHeight="1">
      <c r="A805" s="44"/>
      <c r="B805" s="44"/>
      <c r="C805" s="44"/>
      <c r="D805" s="44"/>
      <c r="E805" s="44"/>
      <c r="F805" s="44"/>
      <c r="G805" s="44"/>
      <c r="H805" s="44"/>
      <c r="I805" s="44"/>
      <c r="J805" s="44"/>
      <c r="K805" s="44"/>
      <c r="L805" s="44"/>
      <c r="M805" s="44"/>
      <c r="N805" s="44"/>
      <c r="O805" s="44"/>
    </row>
    <row r="806" spans="1:15" ht="17.25" customHeight="1">
      <c r="A806" s="44"/>
      <c r="B806" s="44"/>
      <c r="C806" s="44"/>
      <c r="D806" s="44"/>
      <c r="E806" s="44"/>
      <c r="F806" s="44"/>
      <c r="G806" s="44"/>
      <c r="H806" s="44"/>
      <c r="I806" s="44"/>
      <c r="J806" s="44"/>
      <c r="K806" s="44"/>
      <c r="L806" s="44"/>
      <c r="M806" s="44"/>
      <c r="N806" s="44"/>
      <c r="O806" s="44"/>
    </row>
    <row r="807" spans="1:15" ht="17.25" customHeight="1">
      <c r="A807" s="44"/>
      <c r="B807" s="44"/>
      <c r="C807" s="44"/>
      <c r="D807" s="44"/>
      <c r="E807" s="44"/>
      <c r="F807" s="44"/>
      <c r="G807" s="44"/>
      <c r="H807" s="44"/>
      <c r="I807" s="44"/>
      <c r="J807" s="44"/>
      <c r="K807" s="44"/>
      <c r="L807" s="44"/>
      <c r="M807" s="44"/>
      <c r="N807" s="44"/>
      <c r="O807" s="44"/>
    </row>
    <row r="808" spans="1:15" ht="17.25" customHeight="1">
      <c r="A808" s="44"/>
      <c r="B808" s="44"/>
      <c r="C808" s="44"/>
      <c r="D808" s="44"/>
      <c r="E808" s="44"/>
      <c r="F808" s="44"/>
      <c r="G808" s="44"/>
      <c r="H808" s="44"/>
      <c r="I808" s="44"/>
      <c r="J808" s="44"/>
      <c r="K808" s="44"/>
      <c r="L808" s="44"/>
      <c r="M808" s="44"/>
      <c r="N808" s="44"/>
      <c r="O808" s="44"/>
    </row>
    <row r="809" spans="1:15" ht="17.25" customHeight="1">
      <c r="A809" s="44"/>
      <c r="B809" s="44"/>
      <c r="C809" s="44"/>
      <c r="D809" s="44"/>
      <c r="E809" s="44"/>
      <c r="F809" s="44"/>
      <c r="G809" s="44"/>
      <c r="H809" s="44"/>
      <c r="I809" s="44"/>
      <c r="J809" s="44"/>
      <c r="K809" s="44"/>
      <c r="L809" s="44"/>
      <c r="M809" s="44"/>
      <c r="N809" s="44"/>
      <c r="O809" s="44"/>
    </row>
    <row r="810" spans="1:15" ht="17.25" customHeight="1">
      <c r="A810" s="44"/>
      <c r="B810" s="44"/>
      <c r="C810" s="44"/>
      <c r="D810" s="44"/>
      <c r="E810" s="44"/>
      <c r="F810" s="44"/>
      <c r="G810" s="44"/>
      <c r="H810" s="44"/>
      <c r="I810" s="44"/>
      <c r="J810" s="44"/>
      <c r="K810" s="44"/>
      <c r="L810" s="44"/>
      <c r="M810" s="44"/>
      <c r="N810" s="44"/>
      <c r="O810" s="44"/>
    </row>
    <row r="811" spans="1:15" ht="17.25" customHeight="1">
      <c r="A811" s="44"/>
      <c r="B811" s="44"/>
      <c r="C811" s="44"/>
      <c r="D811" s="44"/>
      <c r="E811" s="44"/>
      <c r="F811" s="44"/>
      <c r="G811" s="44"/>
      <c r="H811" s="44"/>
      <c r="I811" s="44"/>
      <c r="J811" s="44"/>
      <c r="K811" s="44"/>
      <c r="L811" s="44"/>
      <c r="M811" s="44"/>
      <c r="N811" s="44"/>
      <c r="O811" s="44"/>
    </row>
    <row r="812" spans="1:15" ht="17.25" customHeight="1">
      <c r="A812" s="44"/>
      <c r="B812" s="44"/>
      <c r="C812" s="44"/>
      <c r="D812" s="44"/>
      <c r="E812" s="44"/>
      <c r="F812" s="44"/>
      <c r="G812" s="44"/>
      <c r="H812" s="44"/>
      <c r="I812" s="44"/>
      <c r="J812" s="44"/>
      <c r="K812" s="44"/>
      <c r="L812" s="44"/>
      <c r="M812" s="44"/>
      <c r="N812" s="44"/>
      <c r="O812" s="44"/>
    </row>
    <row r="813" spans="1:15" ht="17.25" customHeight="1">
      <c r="A813" s="44"/>
      <c r="B813" s="44"/>
      <c r="C813" s="44"/>
      <c r="D813" s="44"/>
      <c r="E813" s="44"/>
      <c r="F813" s="44"/>
      <c r="G813" s="44"/>
      <c r="H813" s="44"/>
      <c r="I813" s="44"/>
      <c r="J813" s="44"/>
      <c r="K813" s="44"/>
      <c r="L813" s="44"/>
      <c r="M813" s="44"/>
      <c r="N813" s="44"/>
      <c r="O813" s="44"/>
    </row>
    <row r="814" spans="1:15" ht="17.25" customHeight="1">
      <c r="A814" s="44"/>
      <c r="B814" s="44"/>
      <c r="C814" s="44"/>
      <c r="D814" s="44"/>
      <c r="E814" s="44"/>
      <c r="F814" s="44"/>
      <c r="G814" s="44"/>
      <c r="H814" s="44"/>
      <c r="I814" s="44"/>
      <c r="J814" s="44"/>
      <c r="K814" s="44"/>
      <c r="L814" s="44"/>
      <c r="M814" s="44"/>
      <c r="N814" s="44"/>
      <c r="O814" s="44"/>
    </row>
    <row r="815" spans="1:15" ht="17.25" customHeight="1">
      <c r="A815" s="44"/>
      <c r="B815" s="44"/>
      <c r="C815" s="44"/>
      <c r="D815" s="44"/>
      <c r="E815" s="44"/>
      <c r="F815" s="44"/>
      <c r="G815" s="44"/>
      <c r="H815" s="44"/>
      <c r="I815" s="44"/>
      <c r="J815" s="44"/>
      <c r="K815" s="44"/>
      <c r="L815" s="44"/>
      <c r="M815" s="44"/>
      <c r="N815" s="44"/>
      <c r="O815" s="44"/>
    </row>
    <row r="816" spans="1:15" ht="17.25" customHeight="1">
      <c r="A816" s="44"/>
      <c r="B816" s="44"/>
      <c r="C816" s="44"/>
      <c r="D816" s="44"/>
      <c r="E816" s="44"/>
      <c r="F816" s="44"/>
      <c r="G816" s="44"/>
      <c r="H816" s="44"/>
      <c r="I816" s="44"/>
      <c r="J816" s="44"/>
      <c r="K816" s="44"/>
      <c r="L816" s="44"/>
      <c r="M816" s="44"/>
      <c r="N816" s="44"/>
      <c r="O816" s="44"/>
    </row>
    <row r="817" spans="1:15" ht="17.25" customHeight="1">
      <c r="A817" s="44"/>
      <c r="B817" s="44"/>
      <c r="C817" s="44"/>
      <c r="D817" s="44"/>
      <c r="E817" s="44"/>
      <c r="F817" s="44"/>
      <c r="G817" s="44"/>
      <c r="H817" s="44"/>
      <c r="I817" s="44"/>
      <c r="J817" s="44"/>
      <c r="K817" s="44"/>
      <c r="L817" s="44"/>
      <c r="M817" s="44"/>
      <c r="N817" s="44"/>
      <c r="O817" s="44"/>
    </row>
    <row r="818" spans="1:15" ht="17.25" customHeight="1">
      <c r="A818" s="44"/>
      <c r="B818" s="44"/>
      <c r="C818" s="44"/>
      <c r="D818" s="44"/>
      <c r="E818" s="44"/>
      <c r="F818" s="44"/>
      <c r="G818" s="44"/>
      <c r="H818" s="44"/>
      <c r="I818" s="44"/>
      <c r="J818" s="44"/>
      <c r="K818" s="44"/>
      <c r="L818" s="44"/>
      <c r="M818" s="44"/>
      <c r="N818" s="44"/>
      <c r="O818" s="44"/>
    </row>
    <row r="819" spans="1:15" ht="17.25" customHeight="1">
      <c r="A819" s="44"/>
      <c r="B819" s="44"/>
      <c r="C819" s="44"/>
      <c r="D819" s="44"/>
      <c r="E819" s="44"/>
      <c r="F819" s="44"/>
      <c r="G819" s="44"/>
      <c r="H819" s="44"/>
      <c r="I819" s="44"/>
      <c r="J819" s="44"/>
      <c r="K819" s="44"/>
      <c r="L819" s="44"/>
      <c r="M819" s="44"/>
      <c r="N819" s="44"/>
      <c r="O819" s="44"/>
    </row>
    <row r="820" spans="1:15" ht="17.25" customHeight="1">
      <c r="A820" s="44"/>
      <c r="B820" s="44"/>
      <c r="C820" s="44"/>
      <c r="D820" s="44"/>
      <c r="E820" s="44"/>
      <c r="F820" s="44"/>
      <c r="G820" s="44"/>
      <c r="H820" s="44"/>
      <c r="I820" s="44"/>
      <c r="J820" s="44"/>
      <c r="K820" s="44"/>
      <c r="L820" s="44"/>
      <c r="M820" s="44"/>
      <c r="N820" s="44"/>
      <c r="O820" s="44"/>
    </row>
    <row r="821" spans="1:15" ht="17.25" customHeight="1">
      <c r="A821" s="44"/>
      <c r="B821" s="44"/>
      <c r="C821" s="44"/>
      <c r="D821" s="44"/>
      <c r="E821" s="44"/>
      <c r="F821" s="44"/>
      <c r="G821" s="44"/>
      <c r="H821" s="44"/>
      <c r="I821" s="44"/>
      <c r="J821" s="44"/>
      <c r="K821" s="44"/>
      <c r="L821" s="44"/>
      <c r="M821" s="44"/>
      <c r="N821" s="44"/>
      <c r="O821" s="44"/>
    </row>
    <row r="822" spans="1:15" ht="17.25" customHeight="1">
      <c r="A822" s="44"/>
      <c r="B822" s="44"/>
      <c r="C822" s="44"/>
      <c r="D822" s="44"/>
      <c r="E822" s="44"/>
      <c r="F822" s="44"/>
      <c r="G822" s="44"/>
      <c r="H822" s="44"/>
      <c r="I822" s="44"/>
      <c r="J822" s="44"/>
      <c r="K822" s="44"/>
      <c r="L822" s="44"/>
      <c r="M822" s="44"/>
      <c r="N822" s="44"/>
      <c r="O822" s="44"/>
    </row>
    <row r="823" spans="1:15" ht="17.25" customHeight="1">
      <c r="A823" s="44"/>
      <c r="B823" s="44"/>
      <c r="C823" s="44"/>
      <c r="D823" s="44"/>
      <c r="E823" s="44"/>
      <c r="F823" s="44"/>
      <c r="G823" s="44"/>
      <c r="H823" s="44"/>
      <c r="I823" s="44"/>
      <c r="J823" s="44"/>
      <c r="K823" s="44"/>
      <c r="L823" s="44"/>
      <c r="M823" s="44"/>
      <c r="N823" s="44"/>
      <c r="O823" s="44"/>
    </row>
    <row r="824" spans="1:15" ht="17.25" customHeight="1">
      <c r="A824" s="44"/>
      <c r="B824" s="44"/>
      <c r="C824" s="44"/>
      <c r="D824" s="44"/>
      <c r="E824" s="44"/>
      <c r="F824" s="44"/>
      <c r="G824" s="44"/>
      <c r="H824" s="44"/>
      <c r="I824" s="44"/>
      <c r="J824" s="44"/>
      <c r="K824" s="44"/>
      <c r="L824" s="44"/>
      <c r="M824" s="44"/>
      <c r="N824" s="44"/>
      <c r="O824" s="44"/>
    </row>
    <row r="825" spans="1:15" ht="17.25" customHeight="1">
      <c r="A825" s="44"/>
      <c r="B825" s="44"/>
      <c r="C825" s="44"/>
      <c r="D825" s="44"/>
      <c r="E825" s="44"/>
      <c r="F825" s="44"/>
      <c r="G825" s="44"/>
      <c r="H825" s="44"/>
      <c r="I825" s="44"/>
      <c r="J825" s="44"/>
      <c r="K825" s="44"/>
      <c r="L825" s="44"/>
      <c r="M825" s="44"/>
      <c r="N825" s="44"/>
      <c r="O825" s="44"/>
    </row>
    <row r="826" spans="1:15" ht="17.25" customHeight="1">
      <c r="A826" s="44"/>
      <c r="B826" s="44"/>
      <c r="C826" s="44"/>
      <c r="D826" s="44"/>
      <c r="E826" s="44"/>
      <c r="F826" s="44"/>
      <c r="G826" s="44"/>
      <c r="H826" s="44"/>
      <c r="I826" s="44"/>
      <c r="J826" s="44"/>
      <c r="K826" s="44"/>
      <c r="L826" s="44"/>
      <c r="M826" s="44"/>
      <c r="N826" s="44"/>
      <c r="O826" s="44"/>
    </row>
    <row r="827" spans="1:15" ht="17.25" customHeight="1">
      <c r="A827" s="44"/>
      <c r="B827" s="44"/>
      <c r="C827" s="44"/>
      <c r="D827" s="44"/>
      <c r="E827" s="44"/>
      <c r="F827" s="44"/>
      <c r="G827" s="44"/>
      <c r="H827" s="44"/>
      <c r="I827" s="44"/>
      <c r="J827" s="44"/>
      <c r="K827" s="44"/>
      <c r="L827" s="44"/>
      <c r="M827" s="44"/>
      <c r="N827" s="44"/>
      <c r="O827" s="44"/>
    </row>
    <row r="828" spans="1:15" ht="17.25" customHeight="1">
      <c r="A828" s="44"/>
      <c r="B828" s="44"/>
      <c r="C828" s="44"/>
      <c r="D828" s="44"/>
      <c r="E828" s="44"/>
      <c r="F828" s="44"/>
      <c r="G828" s="44"/>
      <c r="H828" s="44"/>
      <c r="I828" s="44"/>
      <c r="J828" s="44"/>
      <c r="K828" s="44"/>
      <c r="L828" s="44"/>
      <c r="M828" s="44"/>
      <c r="N828" s="44"/>
      <c r="O828" s="44"/>
    </row>
    <row r="829" spans="1:15" ht="17.25" customHeight="1">
      <c r="A829" s="44"/>
      <c r="B829" s="44"/>
      <c r="C829" s="44"/>
      <c r="D829" s="44"/>
      <c r="E829" s="44"/>
      <c r="F829" s="44"/>
      <c r="G829" s="44"/>
      <c r="H829" s="44"/>
      <c r="I829" s="44"/>
      <c r="J829" s="44"/>
      <c r="K829" s="44"/>
      <c r="L829" s="44"/>
      <c r="M829" s="44"/>
      <c r="N829" s="44"/>
      <c r="O829" s="44"/>
    </row>
    <row r="830" spans="1:15" ht="17.25" customHeight="1">
      <c r="A830" s="44"/>
      <c r="B830" s="44"/>
      <c r="C830" s="44"/>
      <c r="D830" s="44"/>
      <c r="E830" s="44"/>
      <c r="F830" s="44"/>
      <c r="G830" s="44"/>
      <c r="H830" s="44"/>
      <c r="I830" s="44"/>
      <c r="J830" s="44"/>
      <c r="K830" s="44"/>
      <c r="L830" s="44"/>
      <c r="M830" s="44"/>
      <c r="N830" s="44"/>
      <c r="O830" s="44"/>
    </row>
    <row r="831" spans="1:15" ht="17.25" customHeight="1">
      <c r="A831" s="44"/>
      <c r="B831" s="44"/>
      <c r="C831" s="44"/>
      <c r="D831" s="44"/>
      <c r="E831" s="44"/>
      <c r="F831" s="44"/>
      <c r="G831" s="44"/>
      <c r="H831" s="44"/>
      <c r="I831" s="44"/>
      <c r="J831" s="44"/>
      <c r="K831" s="44"/>
      <c r="L831" s="44"/>
      <c r="M831" s="44"/>
      <c r="N831" s="44"/>
      <c r="O831" s="44"/>
    </row>
    <row r="832" spans="1:15" ht="17.25" customHeight="1">
      <c r="A832" s="44"/>
      <c r="B832" s="44"/>
      <c r="C832" s="44"/>
      <c r="D832" s="44"/>
      <c r="E832" s="44"/>
      <c r="F832" s="44"/>
      <c r="G832" s="44"/>
      <c r="H832" s="44"/>
      <c r="I832" s="44"/>
      <c r="J832" s="44"/>
      <c r="K832" s="44"/>
      <c r="L832" s="44"/>
      <c r="M832" s="44"/>
      <c r="N832" s="44"/>
      <c r="O832" s="44"/>
    </row>
    <row r="833" spans="1:15" ht="17.25" customHeight="1">
      <c r="A833" s="44"/>
      <c r="B833" s="44"/>
      <c r="C833" s="44"/>
      <c r="D833" s="44"/>
      <c r="E833" s="44"/>
      <c r="F833" s="44"/>
      <c r="G833" s="44"/>
      <c r="H833" s="44"/>
      <c r="I833" s="44"/>
      <c r="J833" s="44"/>
      <c r="K833" s="44"/>
      <c r="L833" s="44"/>
      <c r="M833" s="44"/>
      <c r="N833" s="44"/>
      <c r="O833" s="44"/>
    </row>
    <row r="834" spans="1:15" ht="17.25" customHeight="1">
      <c r="A834" s="44"/>
      <c r="B834" s="44"/>
      <c r="C834" s="44"/>
      <c r="D834" s="44"/>
      <c r="E834" s="44"/>
      <c r="F834" s="44"/>
      <c r="G834" s="44"/>
      <c r="H834" s="44"/>
      <c r="I834" s="44"/>
      <c r="J834" s="44"/>
      <c r="K834" s="44"/>
      <c r="L834" s="44"/>
      <c r="M834" s="44"/>
      <c r="N834" s="44"/>
      <c r="O834" s="44"/>
    </row>
    <row r="835" spans="1:15" ht="17.25" customHeight="1">
      <c r="A835" s="44"/>
      <c r="B835" s="44"/>
      <c r="C835" s="44"/>
      <c r="D835" s="44"/>
      <c r="E835" s="44"/>
      <c r="F835" s="44"/>
      <c r="G835" s="44"/>
      <c r="H835" s="44"/>
      <c r="I835" s="44"/>
      <c r="J835" s="44"/>
      <c r="K835" s="44"/>
      <c r="L835" s="44"/>
      <c r="M835" s="44"/>
      <c r="N835" s="44"/>
      <c r="O835" s="44"/>
    </row>
    <row r="836" spans="1:15" ht="17.25" customHeight="1">
      <c r="A836" s="44"/>
      <c r="B836" s="44"/>
      <c r="C836" s="44"/>
      <c r="D836" s="44"/>
      <c r="E836" s="44"/>
      <c r="F836" s="44"/>
      <c r="G836" s="44"/>
      <c r="H836" s="44"/>
      <c r="I836" s="44"/>
      <c r="J836" s="44"/>
      <c r="K836" s="44"/>
      <c r="L836" s="44"/>
      <c r="M836" s="44"/>
      <c r="N836" s="44"/>
      <c r="O836" s="44"/>
    </row>
    <row r="837" spans="1:15" ht="17.25" customHeight="1">
      <c r="A837" s="44"/>
      <c r="B837" s="44"/>
      <c r="C837" s="44"/>
      <c r="D837" s="44"/>
      <c r="E837" s="44"/>
      <c r="F837" s="44"/>
      <c r="G837" s="44"/>
      <c r="H837" s="44"/>
      <c r="I837" s="44"/>
      <c r="J837" s="44"/>
      <c r="K837" s="44"/>
      <c r="L837" s="44"/>
      <c r="M837" s="44"/>
      <c r="N837" s="44"/>
      <c r="O837" s="44"/>
    </row>
    <row r="838" spans="1:15" ht="17.25" customHeight="1">
      <c r="A838" s="44"/>
      <c r="B838" s="44"/>
      <c r="C838" s="44"/>
      <c r="D838" s="44"/>
      <c r="E838" s="44"/>
      <c r="F838" s="44"/>
      <c r="G838" s="44"/>
      <c r="H838" s="44"/>
      <c r="I838" s="44"/>
      <c r="J838" s="44"/>
      <c r="K838" s="44"/>
      <c r="L838" s="44"/>
      <c r="M838" s="44"/>
      <c r="N838" s="44"/>
      <c r="O838" s="44"/>
    </row>
    <row r="839" spans="1:15" ht="17.25" customHeight="1">
      <c r="A839" s="44"/>
      <c r="B839" s="44"/>
      <c r="C839" s="44"/>
      <c r="D839" s="44"/>
      <c r="E839" s="44"/>
      <c r="F839" s="44"/>
      <c r="G839" s="44"/>
      <c r="H839" s="44"/>
      <c r="I839" s="44"/>
      <c r="J839" s="44"/>
      <c r="K839" s="44"/>
      <c r="L839" s="44"/>
      <c r="M839" s="44"/>
      <c r="N839" s="44"/>
      <c r="O839" s="44"/>
    </row>
    <row r="840" spans="1:15" ht="17.25" customHeight="1">
      <c r="A840" s="44"/>
      <c r="B840" s="44"/>
      <c r="C840" s="44"/>
      <c r="D840" s="44"/>
      <c r="E840" s="44"/>
      <c r="F840" s="44"/>
      <c r="G840" s="44"/>
      <c r="H840" s="44"/>
      <c r="I840" s="44"/>
      <c r="J840" s="44"/>
      <c r="K840" s="44"/>
      <c r="L840" s="44"/>
      <c r="M840" s="44"/>
      <c r="N840" s="44"/>
      <c r="O840" s="44"/>
    </row>
    <row r="841" spans="1:15" ht="17.25" customHeight="1">
      <c r="A841" s="44"/>
      <c r="B841" s="44"/>
      <c r="C841" s="44"/>
      <c r="D841" s="44"/>
      <c r="E841" s="44"/>
      <c r="F841" s="44"/>
      <c r="G841" s="44"/>
      <c r="H841" s="44"/>
      <c r="I841" s="44"/>
      <c r="J841" s="44"/>
      <c r="K841" s="44"/>
      <c r="L841" s="44"/>
      <c r="M841" s="44"/>
      <c r="N841" s="44"/>
      <c r="O841" s="44"/>
    </row>
    <row r="842" spans="1:15" ht="17.25" customHeight="1">
      <c r="A842" s="44"/>
      <c r="B842" s="44"/>
      <c r="C842" s="44"/>
      <c r="D842" s="44"/>
      <c r="E842" s="44"/>
      <c r="F842" s="44"/>
      <c r="G842" s="44"/>
      <c r="H842" s="44"/>
      <c r="I842" s="44"/>
      <c r="J842" s="44"/>
      <c r="K842" s="44"/>
      <c r="L842" s="44"/>
      <c r="M842" s="44"/>
      <c r="N842" s="44"/>
      <c r="O842" s="44"/>
    </row>
    <row r="843" spans="1:15" ht="17.25" customHeight="1">
      <c r="A843" s="44"/>
      <c r="B843" s="44"/>
      <c r="C843" s="44"/>
      <c r="D843" s="44"/>
      <c r="E843" s="44"/>
      <c r="F843" s="44"/>
      <c r="G843" s="44"/>
      <c r="H843" s="44"/>
      <c r="I843" s="44"/>
      <c r="J843" s="44"/>
      <c r="K843" s="44"/>
      <c r="L843" s="44"/>
      <c r="M843" s="44"/>
      <c r="N843" s="44"/>
      <c r="O843" s="44"/>
    </row>
    <row r="844" spans="1:15" ht="17.25" customHeight="1">
      <c r="A844" s="44"/>
      <c r="B844" s="44"/>
      <c r="C844" s="44"/>
      <c r="D844" s="44"/>
      <c r="E844" s="44"/>
      <c r="F844" s="44"/>
      <c r="G844" s="44"/>
      <c r="H844" s="44"/>
      <c r="I844" s="44"/>
      <c r="J844" s="44"/>
      <c r="K844" s="44"/>
      <c r="L844" s="44"/>
      <c r="M844" s="44"/>
      <c r="N844" s="44"/>
      <c r="O844" s="44"/>
    </row>
    <row r="845" spans="1:15" ht="17.25" customHeight="1">
      <c r="A845" s="44"/>
      <c r="B845" s="44"/>
      <c r="C845" s="44"/>
      <c r="D845" s="44"/>
      <c r="E845" s="44"/>
      <c r="F845" s="44"/>
      <c r="G845" s="44"/>
      <c r="H845" s="44"/>
      <c r="I845" s="44"/>
      <c r="J845" s="44"/>
      <c r="K845" s="44"/>
      <c r="L845" s="44"/>
      <c r="M845" s="44"/>
      <c r="N845" s="44"/>
      <c r="O845" s="44"/>
    </row>
    <row r="846" spans="1:15" ht="17.25" customHeight="1">
      <c r="A846" s="44"/>
      <c r="B846" s="44"/>
      <c r="C846" s="44"/>
      <c r="D846" s="44"/>
      <c r="E846" s="44"/>
      <c r="F846" s="44"/>
      <c r="G846" s="44"/>
      <c r="H846" s="44"/>
      <c r="I846" s="44"/>
      <c r="J846" s="44"/>
      <c r="K846" s="44"/>
      <c r="L846" s="44"/>
      <c r="M846" s="44"/>
      <c r="N846" s="44"/>
      <c r="O846" s="44"/>
    </row>
    <row r="847" spans="1:15" ht="17.25" customHeight="1">
      <c r="A847" s="44"/>
      <c r="B847" s="44"/>
      <c r="C847" s="44"/>
      <c r="D847" s="44"/>
      <c r="E847" s="44"/>
      <c r="F847" s="44"/>
      <c r="G847" s="44"/>
      <c r="H847" s="44"/>
      <c r="I847" s="44"/>
      <c r="J847" s="44"/>
      <c r="K847" s="44"/>
      <c r="L847" s="44"/>
      <c r="M847" s="44"/>
      <c r="N847" s="44"/>
      <c r="O847" s="44"/>
    </row>
    <row r="848" spans="1:15" ht="17.25" customHeight="1">
      <c r="A848" s="44"/>
      <c r="B848" s="44"/>
      <c r="C848" s="44"/>
      <c r="D848" s="44"/>
      <c r="E848" s="44"/>
      <c r="F848" s="44"/>
      <c r="G848" s="44"/>
      <c r="H848" s="44"/>
      <c r="I848" s="44"/>
      <c r="J848" s="44"/>
      <c r="K848" s="44"/>
      <c r="L848" s="44"/>
      <c r="M848" s="44"/>
      <c r="N848" s="44"/>
      <c r="O848" s="44"/>
    </row>
    <row r="849" spans="1:15" ht="17.25" customHeight="1">
      <c r="A849" s="44"/>
      <c r="B849" s="44"/>
      <c r="C849" s="44"/>
      <c r="D849" s="44"/>
      <c r="E849" s="44"/>
      <c r="F849" s="44"/>
      <c r="G849" s="44"/>
      <c r="H849" s="44"/>
      <c r="I849" s="44"/>
      <c r="J849" s="44"/>
      <c r="K849" s="44"/>
      <c r="L849" s="44"/>
      <c r="M849" s="44"/>
      <c r="N849" s="44"/>
      <c r="O849" s="44"/>
    </row>
    <row r="850" spans="1:15" ht="17.25" customHeight="1">
      <c r="A850" s="44"/>
      <c r="B850" s="44"/>
      <c r="C850" s="44"/>
      <c r="D850" s="44"/>
      <c r="E850" s="44"/>
      <c r="F850" s="44"/>
      <c r="G850" s="44"/>
      <c r="H850" s="44"/>
      <c r="I850" s="44"/>
      <c r="J850" s="44"/>
      <c r="K850" s="44"/>
      <c r="L850" s="44"/>
      <c r="M850" s="44"/>
      <c r="N850" s="44"/>
      <c r="O850" s="44"/>
    </row>
    <row r="851" spans="1:15" ht="17.25" customHeight="1">
      <c r="A851" s="44"/>
      <c r="B851" s="44"/>
      <c r="C851" s="44"/>
      <c r="D851" s="44"/>
      <c r="E851" s="44"/>
      <c r="F851" s="44"/>
      <c r="G851" s="44"/>
      <c r="H851" s="44"/>
      <c r="I851" s="44"/>
      <c r="J851" s="44"/>
      <c r="K851" s="44"/>
      <c r="L851" s="44"/>
      <c r="M851" s="44"/>
      <c r="N851" s="44"/>
      <c r="O851" s="44"/>
    </row>
    <row r="852" spans="1:15" ht="17.25" customHeight="1">
      <c r="A852" s="44"/>
      <c r="B852" s="44"/>
      <c r="C852" s="44"/>
      <c r="D852" s="44"/>
      <c r="E852" s="44"/>
      <c r="F852" s="44"/>
      <c r="G852" s="44"/>
      <c r="H852" s="44"/>
      <c r="I852" s="44"/>
      <c r="J852" s="44"/>
      <c r="K852" s="44"/>
      <c r="L852" s="44"/>
      <c r="M852" s="44"/>
      <c r="N852" s="44"/>
      <c r="O852" s="44"/>
    </row>
    <row r="853" spans="1:15" ht="17.25" customHeight="1">
      <c r="A853" s="44"/>
      <c r="B853" s="44"/>
      <c r="C853" s="44"/>
      <c r="D853" s="44"/>
      <c r="E853" s="44"/>
      <c r="F853" s="44"/>
      <c r="G853" s="44"/>
      <c r="H853" s="44"/>
      <c r="I853" s="44"/>
      <c r="J853" s="44"/>
      <c r="K853" s="44"/>
      <c r="L853" s="44"/>
      <c r="M853" s="44"/>
      <c r="N853" s="44"/>
      <c r="O853" s="44"/>
    </row>
    <row r="854" spans="1:15" ht="17.25" customHeight="1">
      <c r="A854" s="44"/>
      <c r="B854" s="44"/>
      <c r="C854" s="44"/>
      <c r="D854" s="44"/>
      <c r="E854" s="44"/>
      <c r="F854" s="44"/>
      <c r="G854" s="44"/>
      <c r="H854" s="44"/>
      <c r="I854" s="44"/>
      <c r="J854" s="44"/>
      <c r="K854" s="44"/>
      <c r="L854" s="44"/>
      <c r="M854" s="44"/>
      <c r="N854" s="44"/>
      <c r="O854" s="44"/>
    </row>
    <row r="855" spans="1:15" ht="17.25" customHeight="1">
      <c r="A855" s="44"/>
      <c r="B855" s="44"/>
      <c r="C855" s="44"/>
      <c r="D855" s="44"/>
      <c r="E855" s="44"/>
      <c r="F855" s="44"/>
      <c r="G855" s="44"/>
      <c r="H855" s="44"/>
      <c r="I855" s="44"/>
      <c r="J855" s="44"/>
      <c r="K855" s="44"/>
      <c r="L855" s="44"/>
      <c r="M855" s="44"/>
      <c r="N855" s="44"/>
      <c r="O855" s="44"/>
    </row>
    <row r="856" spans="1:15" ht="17.25" customHeight="1">
      <c r="A856" s="44"/>
      <c r="B856" s="44"/>
      <c r="C856" s="44"/>
      <c r="D856" s="44"/>
      <c r="E856" s="44"/>
      <c r="F856" s="44"/>
      <c r="G856" s="44"/>
      <c r="H856" s="44"/>
      <c r="I856" s="44"/>
      <c r="J856" s="44"/>
      <c r="K856" s="44"/>
      <c r="L856" s="44"/>
      <c r="M856" s="44"/>
      <c r="N856" s="44"/>
      <c r="O856" s="44"/>
    </row>
    <row r="857" spans="1:15" ht="17.25" customHeight="1">
      <c r="A857" s="44"/>
      <c r="B857" s="44"/>
      <c r="C857" s="44"/>
      <c r="D857" s="44"/>
      <c r="E857" s="44"/>
      <c r="F857" s="44"/>
      <c r="G857" s="44"/>
      <c r="H857" s="44"/>
      <c r="I857" s="44"/>
      <c r="J857" s="44"/>
      <c r="K857" s="44"/>
      <c r="L857" s="44"/>
      <c r="M857" s="44"/>
      <c r="N857" s="44"/>
      <c r="O857" s="44"/>
    </row>
    <row r="858" spans="1:15" ht="17.25" customHeight="1">
      <c r="A858" s="44"/>
      <c r="B858" s="44"/>
      <c r="C858" s="44"/>
      <c r="D858" s="44"/>
      <c r="E858" s="44"/>
      <c r="F858" s="44"/>
      <c r="G858" s="44"/>
      <c r="H858" s="44"/>
      <c r="I858" s="44"/>
      <c r="J858" s="44"/>
      <c r="K858" s="44"/>
      <c r="L858" s="44"/>
      <c r="M858" s="44"/>
      <c r="N858" s="44"/>
      <c r="O858" s="44"/>
    </row>
    <row r="859" spans="1:15" ht="17.25" customHeight="1">
      <c r="A859" s="44"/>
      <c r="B859" s="44"/>
      <c r="C859" s="44"/>
      <c r="D859" s="44"/>
      <c r="E859" s="44"/>
      <c r="F859" s="44"/>
      <c r="G859" s="44"/>
      <c r="H859" s="44"/>
      <c r="I859" s="44"/>
      <c r="J859" s="44"/>
      <c r="K859" s="44"/>
      <c r="L859" s="44"/>
      <c r="M859" s="44"/>
      <c r="N859" s="44"/>
      <c r="O859" s="44"/>
    </row>
    <row r="860" spans="1:15" ht="17.25" customHeight="1">
      <c r="A860" s="44"/>
      <c r="B860" s="44"/>
      <c r="C860" s="44"/>
      <c r="D860" s="44"/>
      <c r="E860" s="44"/>
      <c r="F860" s="44"/>
      <c r="G860" s="44"/>
      <c r="H860" s="44"/>
      <c r="I860" s="44"/>
      <c r="J860" s="44"/>
      <c r="K860" s="44"/>
      <c r="L860" s="44"/>
      <c r="M860" s="44"/>
      <c r="N860" s="44"/>
      <c r="O860" s="44"/>
    </row>
    <row r="861" spans="1:15" ht="17.25" customHeight="1">
      <c r="A861" s="44"/>
      <c r="B861" s="44"/>
      <c r="C861" s="44"/>
      <c r="D861" s="44"/>
      <c r="E861" s="44"/>
      <c r="F861" s="44"/>
      <c r="G861" s="44"/>
      <c r="H861" s="44"/>
      <c r="I861" s="44"/>
      <c r="J861" s="44"/>
      <c r="K861" s="44"/>
      <c r="L861" s="44"/>
      <c r="M861" s="44"/>
      <c r="N861" s="44"/>
      <c r="O861" s="44"/>
    </row>
    <row r="862" spans="1:15" ht="17.25" customHeight="1">
      <c r="A862" s="44"/>
      <c r="B862" s="44"/>
      <c r="C862" s="44"/>
      <c r="D862" s="44"/>
      <c r="E862" s="44"/>
      <c r="F862" s="44"/>
      <c r="G862" s="44"/>
      <c r="H862" s="44"/>
      <c r="I862" s="44"/>
      <c r="J862" s="44"/>
      <c r="K862" s="44"/>
      <c r="L862" s="44"/>
      <c r="M862" s="44"/>
      <c r="N862" s="44"/>
      <c r="O862" s="44"/>
    </row>
    <row r="863" spans="1:15" ht="17.25" customHeight="1">
      <c r="A863" s="44"/>
      <c r="B863" s="44"/>
      <c r="C863" s="44"/>
      <c r="D863" s="44"/>
      <c r="E863" s="44"/>
      <c r="F863" s="44"/>
      <c r="G863" s="44"/>
      <c r="H863" s="44"/>
      <c r="I863" s="44"/>
      <c r="J863" s="44"/>
      <c r="K863" s="44"/>
      <c r="L863" s="44"/>
      <c r="M863" s="44"/>
      <c r="N863" s="44"/>
      <c r="O863" s="44"/>
    </row>
    <row r="864" spans="1:15" ht="17.25" customHeight="1">
      <c r="A864" s="44"/>
      <c r="B864" s="44"/>
      <c r="C864" s="44"/>
      <c r="D864" s="44"/>
      <c r="E864" s="44"/>
      <c r="F864" s="44"/>
      <c r="G864" s="44"/>
      <c r="H864" s="44"/>
      <c r="I864" s="44"/>
      <c r="J864" s="44"/>
      <c r="K864" s="44"/>
      <c r="L864" s="44"/>
      <c r="M864" s="44"/>
      <c r="N864" s="44"/>
      <c r="O864" s="44"/>
    </row>
    <row r="865" spans="1:15" ht="17.25" customHeight="1">
      <c r="A865" s="44"/>
      <c r="B865" s="44"/>
      <c r="C865" s="44"/>
      <c r="D865" s="44"/>
      <c r="E865" s="44"/>
      <c r="F865" s="44"/>
      <c r="G865" s="44"/>
      <c r="H865" s="44"/>
      <c r="I865" s="44"/>
      <c r="J865" s="44"/>
      <c r="K865" s="44"/>
      <c r="L865" s="44"/>
      <c r="M865" s="44"/>
      <c r="N865" s="44"/>
      <c r="O865" s="44"/>
    </row>
    <row r="866" spans="1:15" ht="17.25" customHeight="1">
      <c r="A866" s="44"/>
      <c r="B866" s="44"/>
      <c r="C866" s="44"/>
      <c r="D866" s="44"/>
      <c r="E866" s="44"/>
      <c r="F866" s="44"/>
      <c r="G866" s="44"/>
      <c r="H866" s="44"/>
      <c r="I866" s="44"/>
      <c r="J866" s="44"/>
      <c r="K866" s="44"/>
      <c r="L866" s="44"/>
      <c r="M866" s="44"/>
      <c r="N866" s="44"/>
      <c r="O866" s="44"/>
    </row>
    <row r="867" spans="1:15" ht="17.25" customHeight="1">
      <c r="A867" s="44"/>
      <c r="B867" s="44"/>
      <c r="C867" s="44"/>
      <c r="D867" s="44"/>
      <c r="E867" s="44"/>
      <c r="F867" s="44"/>
      <c r="G867" s="44"/>
      <c r="H867" s="44"/>
      <c r="I867" s="44"/>
      <c r="J867" s="44"/>
      <c r="K867" s="44"/>
      <c r="L867" s="44"/>
      <c r="M867" s="44"/>
      <c r="N867" s="44"/>
      <c r="O867" s="44"/>
    </row>
    <row r="868" spans="1:15" ht="17.25" customHeight="1">
      <c r="A868" s="44"/>
      <c r="B868" s="44"/>
      <c r="C868" s="44"/>
      <c r="D868" s="44"/>
      <c r="E868" s="44"/>
      <c r="F868" s="44"/>
      <c r="G868" s="44"/>
      <c r="H868" s="44"/>
      <c r="I868" s="44"/>
      <c r="J868" s="44"/>
      <c r="K868" s="44"/>
      <c r="L868" s="44"/>
      <c r="M868" s="44"/>
      <c r="N868" s="44"/>
      <c r="O868" s="44"/>
    </row>
    <row r="869" spans="1:15" ht="17.25" customHeight="1">
      <c r="A869" s="44"/>
      <c r="B869" s="44"/>
      <c r="C869" s="44"/>
      <c r="D869" s="44"/>
      <c r="E869" s="44"/>
      <c r="F869" s="44"/>
      <c r="G869" s="44"/>
      <c r="H869" s="44"/>
      <c r="I869" s="44"/>
      <c r="J869" s="44"/>
      <c r="K869" s="44"/>
      <c r="L869" s="44"/>
      <c r="M869" s="44"/>
      <c r="N869" s="44"/>
      <c r="O869" s="44"/>
    </row>
    <row r="870" spans="1:15" ht="17.25" customHeight="1">
      <c r="A870" s="44"/>
      <c r="B870" s="44"/>
      <c r="C870" s="44"/>
      <c r="D870" s="44"/>
      <c r="E870" s="44"/>
      <c r="F870" s="44"/>
      <c r="G870" s="44"/>
      <c r="H870" s="44"/>
      <c r="I870" s="44"/>
      <c r="J870" s="44"/>
      <c r="K870" s="44"/>
      <c r="L870" s="44"/>
      <c r="M870" s="44"/>
      <c r="N870" s="44"/>
      <c r="O870" s="44"/>
    </row>
    <row r="871" spans="1:15" ht="17.25" customHeight="1">
      <c r="A871" s="44"/>
      <c r="B871" s="44"/>
      <c r="C871" s="44"/>
      <c r="D871" s="44"/>
      <c r="E871" s="44"/>
      <c r="F871" s="44"/>
      <c r="G871" s="44"/>
      <c r="H871" s="44"/>
      <c r="I871" s="44"/>
      <c r="J871" s="44"/>
      <c r="K871" s="44"/>
      <c r="L871" s="44"/>
      <c r="M871" s="44"/>
      <c r="N871" s="44"/>
      <c r="O871" s="44"/>
    </row>
    <row r="872" spans="1:15" ht="17.25" customHeight="1">
      <c r="A872" s="44"/>
      <c r="B872" s="44"/>
      <c r="C872" s="44"/>
      <c r="D872" s="44"/>
      <c r="E872" s="44"/>
      <c r="F872" s="44"/>
      <c r="G872" s="44"/>
      <c r="H872" s="44"/>
      <c r="I872" s="44"/>
      <c r="J872" s="44"/>
      <c r="K872" s="44"/>
      <c r="L872" s="44"/>
      <c r="M872" s="44"/>
      <c r="N872" s="44"/>
      <c r="O872" s="44"/>
    </row>
    <row r="873" spans="1:15" ht="17.25" customHeight="1">
      <c r="A873" s="44"/>
      <c r="B873" s="44"/>
      <c r="C873" s="44"/>
      <c r="D873" s="44"/>
      <c r="E873" s="44"/>
      <c r="F873" s="44"/>
      <c r="G873" s="44"/>
      <c r="H873" s="44"/>
      <c r="I873" s="44"/>
      <c r="J873" s="44"/>
      <c r="K873" s="44"/>
      <c r="L873" s="44"/>
      <c r="M873" s="44"/>
      <c r="N873" s="44"/>
      <c r="O873" s="44"/>
    </row>
    <row r="874" spans="1:15" ht="17.25" customHeight="1">
      <c r="A874" s="44"/>
      <c r="B874" s="44"/>
      <c r="C874" s="44"/>
      <c r="D874" s="44"/>
      <c r="E874" s="44"/>
      <c r="F874" s="44"/>
      <c r="G874" s="44"/>
      <c r="H874" s="44"/>
      <c r="I874" s="44"/>
      <c r="J874" s="44"/>
      <c r="K874" s="44"/>
      <c r="L874" s="44"/>
      <c r="M874" s="44"/>
      <c r="N874" s="44"/>
      <c r="O874" s="44"/>
    </row>
    <row r="875" spans="1:15" ht="17.25" customHeight="1">
      <c r="A875" s="44"/>
      <c r="B875" s="44"/>
      <c r="C875" s="44"/>
      <c r="D875" s="44"/>
      <c r="E875" s="44"/>
      <c r="F875" s="44"/>
      <c r="G875" s="44"/>
      <c r="H875" s="44"/>
      <c r="I875" s="44"/>
      <c r="J875" s="44"/>
      <c r="K875" s="44"/>
      <c r="L875" s="44"/>
      <c r="M875" s="44"/>
      <c r="N875" s="44"/>
      <c r="O875" s="44"/>
    </row>
    <row r="876" spans="1:15" ht="17.25" customHeight="1">
      <c r="A876" s="44"/>
      <c r="B876" s="44"/>
      <c r="C876" s="44"/>
      <c r="D876" s="44"/>
      <c r="E876" s="44"/>
      <c r="F876" s="44"/>
      <c r="G876" s="44"/>
      <c r="H876" s="44"/>
      <c r="I876" s="44"/>
      <c r="J876" s="44"/>
      <c r="K876" s="44"/>
      <c r="L876" s="44"/>
      <c r="M876" s="44"/>
      <c r="N876" s="44"/>
      <c r="O876" s="44"/>
    </row>
    <row r="877" spans="1:15" ht="17.25" customHeight="1">
      <c r="A877" s="44"/>
      <c r="B877" s="44"/>
      <c r="C877" s="44"/>
      <c r="D877" s="44"/>
      <c r="E877" s="44"/>
      <c r="F877" s="44"/>
      <c r="G877" s="44"/>
      <c r="H877" s="44"/>
      <c r="I877" s="44"/>
      <c r="J877" s="44"/>
      <c r="K877" s="44"/>
      <c r="L877" s="44"/>
      <c r="M877" s="44"/>
      <c r="N877" s="44"/>
      <c r="O877" s="44"/>
    </row>
    <row r="878" spans="1:15" ht="17.25" customHeight="1">
      <c r="A878" s="44"/>
      <c r="B878" s="44"/>
      <c r="C878" s="44"/>
      <c r="D878" s="44"/>
      <c r="E878" s="44"/>
      <c r="F878" s="44"/>
      <c r="G878" s="44"/>
      <c r="H878" s="44"/>
      <c r="I878" s="44"/>
      <c r="J878" s="44"/>
      <c r="K878" s="44"/>
      <c r="L878" s="44"/>
      <c r="M878" s="44"/>
      <c r="N878" s="44"/>
      <c r="O878" s="44"/>
    </row>
    <row r="879" spans="1:15" ht="17.25" customHeight="1">
      <c r="A879" s="44"/>
      <c r="B879" s="44"/>
      <c r="C879" s="44"/>
      <c r="D879" s="44"/>
      <c r="E879" s="44"/>
      <c r="F879" s="44"/>
      <c r="G879" s="44"/>
      <c r="H879" s="44"/>
      <c r="I879" s="44"/>
      <c r="J879" s="44"/>
      <c r="K879" s="44"/>
      <c r="L879" s="44"/>
      <c r="M879" s="44"/>
      <c r="N879" s="44"/>
      <c r="O879" s="44"/>
    </row>
    <row r="880" spans="1:15" ht="17.25" customHeight="1">
      <c r="A880" s="44"/>
      <c r="B880" s="44"/>
      <c r="C880" s="44"/>
      <c r="D880" s="44"/>
      <c r="E880" s="44"/>
      <c r="F880" s="44"/>
      <c r="G880" s="44"/>
      <c r="H880" s="44"/>
      <c r="I880" s="44"/>
      <c r="J880" s="44"/>
      <c r="K880" s="44"/>
      <c r="L880" s="44"/>
      <c r="M880" s="44"/>
      <c r="N880" s="44"/>
      <c r="O880" s="44"/>
    </row>
    <row r="881" spans="1:15" ht="17.25" customHeight="1">
      <c r="A881" s="44"/>
      <c r="B881" s="44"/>
      <c r="C881" s="44"/>
      <c r="D881" s="44"/>
      <c r="E881" s="44"/>
      <c r="F881" s="44"/>
      <c r="G881" s="44"/>
      <c r="H881" s="44"/>
      <c r="I881" s="44"/>
      <c r="J881" s="44"/>
      <c r="K881" s="44"/>
      <c r="L881" s="44"/>
      <c r="M881" s="44"/>
      <c r="N881" s="44"/>
      <c r="O881" s="44"/>
    </row>
    <row r="882" spans="1:15" ht="17.25" customHeight="1">
      <c r="A882" s="44"/>
      <c r="B882" s="44"/>
      <c r="C882" s="44"/>
      <c r="D882" s="44"/>
      <c r="E882" s="44"/>
      <c r="F882" s="44"/>
      <c r="G882" s="44"/>
      <c r="H882" s="44"/>
      <c r="I882" s="44"/>
      <c r="J882" s="44"/>
      <c r="K882" s="44"/>
      <c r="L882" s="44"/>
      <c r="M882" s="44"/>
      <c r="N882" s="44"/>
      <c r="O882" s="44"/>
    </row>
    <row r="883" spans="1:15" ht="17.25" customHeight="1">
      <c r="A883" s="44"/>
      <c r="B883" s="44"/>
      <c r="C883" s="44"/>
      <c r="D883" s="44"/>
      <c r="E883" s="44"/>
      <c r="F883" s="44"/>
      <c r="G883" s="44"/>
      <c r="H883" s="44"/>
      <c r="I883" s="44"/>
      <c r="J883" s="44"/>
      <c r="K883" s="44"/>
      <c r="L883" s="44"/>
      <c r="M883" s="44"/>
      <c r="N883" s="44"/>
      <c r="O883" s="44"/>
    </row>
    <row r="884" spans="1:15" ht="17.25" customHeight="1">
      <c r="A884" s="44"/>
      <c r="B884" s="44"/>
      <c r="C884" s="44"/>
      <c r="D884" s="44"/>
      <c r="E884" s="44"/>
      <c r="F884" s="44"/>
      <c r="G884" s="44"/>
      <c r="H884" s="44"/>
      <c r="I884" s="44"/>
      <c r="J884" s="44"/>
      <c r="K884" s="44"/>
      <c r="L884" s="44"/>
      <c r="M884" s="44"/>
      <c r="N884" s="44"/>
      <c r="O884" s="44"/>
    </row>
    <row r="885" spans="1:15" ht="17.25" customHeight="1">
      <c r="A885" s="44"/>
      <c r="B885" s="44"/>
      <c r="C885" s="44"/>
      <c r="D885" s="44"/>
      <c r="E885" s="44"/>
      <c r="F885" s="44"/>
      <c r="G885" s="44"/>
      <c r="H885" s="44"/>
      <c r="I885" s="44"/>
      <c r="J885" s="44"/>
      <c r="K885" s="44"/>
      <c r="L885" s="44"/>
      <c r="M885" s="44"/>
      <c r="N885" s="44"/>
      <c r="O885" s="44"/>
    </row>
    <row r="886" spans="1:15" ht="17.25" customHeight="1">
      <c r="A886" s="44"/>
      <c r="B886" s="44"/>
      <c r="C886" s="44"/>
      <c r="D886" s="44"/>
      <c r="E886" s="44"/>
      <c r="F886" s="44"/>
      <c r="G886" s="44"/>
      <c r="H886" s="44"/>
      <c r="I886" s="44"/>
      <c r="J886" s="44"/>
      <c r="K886" s="44"/>
      <c r="L886" s="44"/>
      <c r="M886" s="44"/>
      <c r="N886" s="44"/>
      <c r="O886" s="44"/>
    </row>
    <row r="887" spans="1:15" ht="17.25" customHeight="1">
      <c r="A887" s="44"/>
      <c r="B887" s="44"/>
      <c r="C887" s="44"/>
      <c r="D887" s="44"/>
      <c r="E887" s="44"/>
      <c r="F887" s="44"/>
      <c r="G887" s="44"/>
      <c r="H887" s="44"/>
      <c r="I887" s="44"/>
      <c r="J887" s="44"/>
      <c r="K887" s="44"/>
      <c r="L887" s="44"/>
      <c r="M887" s="44"/>
      <c r="N887" s="44"/>
      <c r="O887" s="44"/>
    </row>
    <row r="888" spans="1:15" ht="17.25" customHeight="1">
      <c r="A888" s="44"/>
      <c r="B888" s="44"/>
      <c r="C888" s="44"/>
      <c r="D888" s="44"/>
      <c r="E888" s="44"/>
      <c r="F888" s="44"/>
      <c r="G888" s="44"/>
      <c r="H888" s="44"/>
      <c r="I888" s="44"/>
      <c r="J888" s="44"/>
      <c r="K888" s="44"/>
      <c r="L888" s="44"/>
      <c r="M888" s="44"/>
      <c r="N888" s="44"/>
      <c r="O888" s="44"/>
    </row>
    <row r="889" spans="1:15" ht="17.25" customHeight="1">
      <c r="A889" s="44"/>
      <c r="B889" s="44"/>
      <c r="C889" s="44"/>
      <c r="D889" s="44"/>
      <c r="E889" s="44"/>
      <c r="F889" s="44"/>
      <c r="G889" s="44"/>
      <c r="H889" s="44"/>
      <c r="I889" s="44"/>
      <c r="J889" s="44"/>
      <c r="K889" s="44"/>
      <c r="L889" s="44"/>
      <c r="M889" s="44"/>
      <c r="N889" s="44"/>
      <c r="O889" s="44"/>
    </row>
    <row r="890" spans="1:15" ht="17.25" customHeight="1">
      <c r="A890" s="44"/>
      <c r="B890" s="44"/>
      <c r="C890" s="44"/>
      <c r="D890" s="44"/>
      <c r="E890" s="44"/>
      <c r="F890" s="44"/>
      <c r="G890" s="44"/>
      <c r="H890" s="44"/>
      <c r="I890" s="44"/>
      <c r="J890" s="44"/>
      <c r="K890" s="44"/>
      <c r="L890" s="44"/>
      <c r="M890" s="44"/>
      <c r="N890" s="44"/>
      <c r="O890" s="44"/>
    </row>
    <row r="891" spans="1:15" ht="17.25" customHeight="1">
      <c r="A891" s="44"/>
      <c r="B891" s="44"/>
      <c r="C891" s="44"/>
      <c r="D891" s="44"/>
      <c r="E891" s="44"/>
      <c r="F891" s="44"/>
      <c r="G891" s="44"/>
      <c r="H891" s="44"/>
      <c r="I891" s="44"/>
      <c r="J891" s="44"/>
      <c r="K891" s="44"/>
      <c r="L891" s="44"/>
      <c r="M891" s="44"/>
      <c r="N891" s="44"/>
      <c r="O891" s="44"/>
    </row>
    <row r="892" spans="1:15" ht="17.25" customHeight="1">
      <c r="A892" s="44"/>
      <c r="B892" s="44"/>
      <c r="C892" s="44"/>
      <c r="D892" s="44"/>
      <c r="E892" s="44"/>
      <c r="F892" s="44"/>
      <c r="G892" s="44"/>
      <c r="H892" s="44"/>
      <c r="I892" s="44"/>
      <c r="J892" s="44"/>
      <c r="K892" s="44"/>
      <c r="L892" s="44"/>
      <c r="M892" s="44"/>
      <c r="N892" s="44"/>
      <c r="O892" s="44"/>
    </row>
    <row r="893" spans="1:15" ht="17.25" customHeight="1">
      <c r="A893" s="44"/>
      <c r="B893" s="44"/>
      <c r="C893" s="44"/>
      <c r="D893" s="44"/>
      <c r="E893" s="44"/>
      <c r="F893" s="44"/>
      <c r="G893" s="44"/>
      <c r="H893" s="44"/>
      <c r="I893" s="44"/>
      <c r="J893" s="44"/>
      <c r="K893" s="44"/>
      <c r="L893" s="44"/>
      <c r="M893" s="44"/>
      <c r="N893" s="44"/>
      <c r="O893" s="44"/>
    </row>
    <row r="894" spans="1:15" ht="17.25" customHeight="1">
      <c r="A894" s="44"/>
      <c r="B894" s="44"/>
      <c r="C894" s="44"/>
      <c r="D894" s="44"/>
      <c r="E894" s="44"/>
      <c r="F894" s="44"/>
      <c r="G894" s="44"/>
      <c r="H894" s="44"/>
      <c r="I894" s="44"/>
      <c r="J894" s="44"/>
      <c r="K894" s="44"/>
      <c r="L894" s="44"/>
      <c r="M894" s="44"/>
      <c r="N894" s="44"/>
      <c r="O894" s="44"/>
    </row>
    <row r="895" spans="1:15" ht="17.25" customHeight="1">
      <c r="A895" s="44"/>
      <c r="B895" s="44"/>
      <c r="C895" s="44"/>
      <c r="D895" s="44"/>
      <c r="E895" s="44"/>
      <c r="F895" s="44"/>
      <c r="G895" s="44"/>
      <c r="H895" s="44"/>
      <c r="I895" s="44"/>
      <c r="J895" s="44"/>
      <c r="K895" s="44"/>
      <c r="L895" s="44"/>
      <c r="M895" s="44"/>
      <c r="N895" s="44"/>
      <c r="O895" s="44"/>
    </row>
    <row r="896" spans="1:15" ht="17.25" customHeight="1">
      <c r="A896" s="44"/>
      <c r="B896" s="44"/>
      <c r="C896" s="44"/>
      <c r="D896" s="44"/>
      <c r="E896" s="44"/>
      <c r="F896" s="44"/>
      <c r="G896" s="44"/>
      <c r="H896" s="44"/>
      <c r="I896" s="44"/>
      <c r="J896" s="44"/>
      <c r="K896" s="44"/>
      <c r="L896" s="44"/>
      <c r="M896" s="44"/>
      <c r="N896" s="44"/>
      <c r="O896" s="44"/>
    </row>
    <row r="897" spans="1:15" ht="17.25" customHeight="1">
      <c r="A897" s="44"/>
      <c r="B897" s="44"/>
      <c r="C897" s="44"/>
      <c r="D897" s="44"/>
      <c r="E897" s="44"/>
      <c r="F897" s="44"/>
      <c r="G897" s="44"/>
      <c r="H897" s="44"/>
      <c r="I897" s="44"/>
      <c r="J897" s="44"/>
      <c r="K897" s="44"/>
      <c r="L897" s="44"/>
      <c r="M897" s="44"/>
      <c r="N897" s="44"/>
      <c r="O897" s="44"/>
    </row>
    <row r="898" spans="1:15" ht="17.25" customHeight="1">
      <c r="A898" s="44"/>
      <c r="B898" s="44"/>
      <c r="C898" s="44"/>
      <c r="D898" s="44"/>
      <c r="E898" s="44"/>
      <c r="F898" s="44"/>
      <c r="G898" s="44"/>
      <c r="H898" s="44"/>
      <c r="I898" s="44"/>
      <c r="J898" s="44"/>
      <c r="K898" s="44"/>
      <c r="L898" s="44"/>
      <c r="M898" s="44"/>
      <c r="N898" s="44"/>
      <c r="O898" s="44"/>
    </row>
    <row r="899" spans="1:15" ht="17.25" customHeight="1">
      <c r="A899" s="44"/>
      <c r="B899" s="44"/>
      <c r="C899" s="44"/>
      <c r="D899" s="44"/>
      <c r="E899" s="44"/>
      <c r="F899" s="44"/>
      <c r="G899" s="44"/>
      <c r="H899" s="44"/>
      <c r="I899" s="44"/>
      <c r="J899" s="44"/>
      <c r="K899" s="44"/>
      <c r="L899" s="44"/>
      <c r="M899" s="44"/>
      <c r="N899" s="44"/>
      <c r="O899" s="44"/>
    </row>
    <row r="900" spans="1:15" ht="17.25" customHeight="1">
      <c r="A900" s="44"/>
      <c r="B900" s="44"/>
      <c r="C900" s="44"/>
      <c r="D900" s="44"/>
      <c r="E900" s="44"/>
      <c r="F900" s="44"/>
      <c r="G900" s="44"/>
      <c r="H900" s="44"/>
      <c r="I900" s="44"/>
      <c r="J900" s="44"/>
      <c r="K900" s="44"/>
      <c r="L900" s="44"/>
      <c r="M900" s="44"/>
      <c r="N900" s="44"/>
      <c r="O900" s="44"/>
    </row>
    <row r="901" spans="1:15" ht="17.25" customHeight="1">
      <c r="A901" s="44"/>
      <c r="B901" s="44"/>
      <c r="C901" s="44"/>
      <c r="D901" s="44"/>
      <c r="E901" s="44"/>
      <c r="F901" s="44"/>
      <c r="G901" s="44"/>
      <c r="H901" s="44"/>
      <c r="I901" s="44"/>
      <c r="J901" s="44"/>
      <c r="K901" s="44"/>
      <c r="L901" s="44"/>
      <c r="M901" s="44"/>
      <c r="N901" s="44"/>
      <c r="O901" s="44"/>
    </row>
    <row r="902" spans="1:15" ht="17.25" customHeight="1">
      <c r="A902" s="44"/>
      <c r="B902" s="44"/>
      <c r="C902" s="44"/>
      <c r="D902" s="44"/>
      <c r="E902" s="44"/>
      <c r="F902" s="44"/>
      <c r="G902" s="44"/>
      <c r="H902" s="44"/>
      <c r="I902" s="44"/>
      <c r="J902" s="44"/>
      <c r="K902" s="44"/>
      <c r="L902" s="44"/>
      <c r="M902" s="44"/>
      <c r="N902" s="44"/>
      <c r="O902" s="44"/>
    </row>
    <row r="903" spans="1:15" ht="17.25" customHeight="1">
      <c r="A903" s="44"/>
      <c r="B903" s="44"/>
      <c r="C903" s="44"/>
      <c r="D903" s="44"/>
      <c r="E903" s="44"/>
      <c r="F903" s="44"/>
      <c r="G903" s="44"/>
      <c r="H903" s="44"/>
      <c r="I903" s="44"/>
      <c r="J903" s="44"/>
      <c r="K903" s="44"/>
      <c r="L903" s="44"/>
      <c r="M903" s="44"/>
      <c r="N903" s="44"/>
      <c r="O903" s="44"/>
    </row>
    <row r="904" spans="1:15" ht="17.25" customHeight="1">
      <c r="A904" s="44"/>
      <c r="B904" s="44"/>
      <c r="C904" s="44"/>
      <c r="D904" s="44"/>
      <c r="E904" s="44"/>
      <c r="F904" s="44"/>
      <c r="G904" s="44"/>
      <c r="H904" s="44"/>
      <c r="I904" s="44"/>
      <c r="J904" s="44"/>
      <c r="K904" s="44"/>
      <c r="L904" s="44"/>
      <c r="M904" s="44"/>
      <c r="N904" s="44"/>
      <c r="O904" s="44"/>
    </row>
    <row r="905" spans="1:15" ht="17.25" customHeight="1">
      <c r="A905" s="44"/>
      <c r="B905" s="44"/>
      <c r="C905" s="44"/>
      <c r="D905" s="44"/>
      <c r="E905" s="44"/>
      <c r="F905" s="44"/>
      <c r="G905" s="44"/>
      <c r="H905" s="44"/>
      <c r="I905" s="44"/>
      <c r="J905" s="44"/>
      <c r="K905" s="44"/>
      <c r="L905" s="44"/>
      <c r="M905" s="44"/>
      <c r="N905" s="44"/>
      <c r="O905" s="44"/>
    </row>
    <row r="906" spans="1:15" ht="17.25" customHeight="1">
      <c r="A906" s="44"/>
      <c r="B906" s="44"/>
      <c r="C906" s="44"/>
      <c r="D906" s="44"/>
      <c r="E906" s="44"/>
      <c r="F906" s="44"/>
      <c r="G906" s="44"/>
      <c r="H906" s="44"/>
      <c r="I906" s="44"/>
      <c r="J906" s="44"/>
      <c r="K906" s="44"/>
      <c r="L906" s="44"/>
      <c r="M906" s="44"/>
      <c r="N906" s="44"/>
      <c r="O906" s="44"/>
    </row>
    <row r="907" spans="1:15" ht="17.25" customHeight="1">
      <c r="A907" s="44"/>
      <c r="B907" s="44"/>
      <c r="C907" s="44"/>
      <c r="D907" s="44"/>
      <c r="E907" s="44"/>
      <c r="F907" s="44"/>
      <c r="G907" s="44"/>
      <c r="H907" s="44"/>
      <c r="I907" s="44"/>
      <c r="J907" s="44"/>
      <c r="K907" s="44"/>
      <c r="L907" s="44"/>
      <c r="M907" s="44"/>
      <c r="N907" s="44"/>
      <c r="O907" s="44"/>
    </row>
    <row r="908" spans="1:15" ht="17.25" customHeight="1">
      <c r="A908" s="44"/>
      <c r="B908" s="44"/>
      <c r="C908" s="44"/>
      <c r="D908" s="44"/>
      <c r="E908" s="44"/>
      <c r="F908" s="44"/>
      <c r="G908" s="44"/>
      <c r="H908" s="44"/>
      <c r="I908" s="44"/>
      <c r="J908" s="44"/>
      <c r="K908" s="44"/>
      <c r="L908" s="44"/>
      <c r="M908" s="44"/>
      <c r="N908" s="44"/>
      <c r="O908" s="44"/>
    </row>
    <row r="909" spans="1:15" ht="17.25" customHeight="1">
      <c r="A909" s="44"/>
      <c r="B909" s="44"/>
      <c r="C909" s="44"/>
      <c r="D909" s="44"/>
      <c r="E909" s="44"/>
      <c r="F909" s="44"/>
      <c r="G909" s="44"/>
      <c r="H909" s="44"/>
      <c r="I909" s="44"/>
      <c r="J909" s="44"/>
      <c r="K909" s="44"/>
      <c r="L909" s="44"/>
      <c r="M909" s="44"/>
      <c r="N909" s="44"/>
      <c r="O909" s="44"/>
    </row>
    <row r="910" spans="1:15" ht="17.25" customHeight="1">
      <c r="A910" s="44"/>
      <c r="B910" s="44"/>
      <c r="C910" s="44"/>
      <c r="D910" s="44"/>
      <c r="E910" s="44"/>
      <c r="F910" s="44"/>
      <c r="G910" s="44"/>
      <c r="H910" s="44"/>
      <c r="I910" s="44"/>
      <c r="J910" s="44"/>
      <c r="K910" s="44"/>
      <c r="L910" s="44"/>
      <c r="M910" s="44"/>
      <c r="N910" s="44"/>
      <c r="O910" s="44"/>
    </row>
    <row r="911" spans="1:15" ht="17.25" customHeight="1">
      <c r="A911" s="44"/>
      <c r="B911" s="44"/>
      <c r="C911" s="44"/>
      <c r="D911" s="44"/>
      <c r="E911" s="44"/>
      <c r="F911" s="44"/>
      <c r="G911" s="44"/>
      <c r="H911" s="44"/>
      <c r="I911" s="44"/>
      <c r="J911" s="44"/>
      <c r="K911" s="44"/>
      <c r="L911" s="44"/>
      <c r="M911" s="44"/>
      <c r="N911" s="44"/>
      <c r="O911" s="44"/>
    </row>
    <row r="912" spans="1:15" ht="17.25" customHeight="1">
      <c r="A912" s="44"/>
      <c r="B912" s="44"/>
      <c r="C912" s="44"/>
      <c r="D912" s="44"/>
      <c r="E912" s="44"/>
      <c r="F912" s="44"/>
      <c r="G912" s="44"/>
      <c r="H912" s="44"/>
      <c r="I912" s="44"/>
      <c r="J912" s="44"/>
      <c r="K912" s="44"/>
      <c r="L912" s="44"/>
      <c r="M912" s="44"/>
      <c r="N912" s="44"/>
      <c r="O912" s="44"/>
    </row>
    <row r="913" spans="1:15" ht="17.25" customHeight="1">
      <c r="A913" s="44"/>
      <c r="B913" s="44"/>
      <c r="C913" s="44"/>
      <c r="D913" s="44"/>
      <c r="E913" s="44"/>
      <c r="F913" s="44"/>
      <c r="G913" s="44"/>
      <c r="H913" s="44"/>
      <c r="I913" s="44"/>
      <c r="J913" s="44"/>
      <c r="K913" s="44"/>
      <c r="L913" s="44"/>
      <c r="M913" s="44"/>
      <c r="N913" s="44"/>
      <c r="O913" s="44"/>
    </row>
    <row r="914" spans="1:15" ht="17.25" customHeight="1">
      <c r="A914" s="44"/>
      <c r="B914" s="44"/>
      <c r="C914" s="44"/>
      <c r="D914" s="44"/>
      <c r="E914" s="44"/>
      <c r="F914" s="44"/>
      <c r="G914" s="44"/>
      <c r="H914" s="44"/>
      <c r="I914" s="44"/>
      <c r="J914" s="44"/>
      <c r="K914" s="44"/>
      <c r="L914" s="44"/>
      <c r="M914" s="44"/>
      <c r="N914" s="44"/>
      <c r="O914" s="44"/>
    </row>
    <row r="915" spans="1:15" ht="17.25" customHeight="1">
      <c r="A915" s="44"/>
      <c r="B915" s="44"/>
      <c r="C915" s="44"/>
      <c r="D915" s="44"/>
      <c r="E915" s="44"/>
      <c r="F915" s="44"/>
      <c r="G915" s="44"/>
      <c r="H915" s="44"/>
      <c r="I915" s="44"/>
      <c r="J915" s="44"/>
      <c r="K915" s="44"/>
      <c r="L915" s="44"/>
      <c r="M915" s="44"/>
      <c r="N915" s="44"/>
      <c r="O915" s="44"/>
    </row>
    <row r="916" spans="1:15" ht="17.25" customHeight="1">
      <c r="A916" s="44"/>
      <c r="B916" s="44"/>
      <c r="C916" s="44"/>
      <c r="D916" s="44"/>
      <c r="E916" s="44"/>
      <c r="F916" s="44"/>
      <c r="G916" s="44"/>
      <c r="H916" s="44"/>
      <c r="I916" s="44"/>
      <c r="J916" s="44"/>
      <c r="K916" s="44"/>
      <c r="L916" s="44"/>
      <c r="M916" s="44"/>
      <c r="N916" s="44"/>
      <c r="O916" s="44"/>
    </row>
    <row r="917" spans="1:15" ht="17.25" customHeight="1">
      <c r="A917" s="44"/>
      <c r="B917" s="44"/>
      <c r="C917" s="44"/>
      <c r="D917" s="44"/>
      <c r="E917" s="44"/>
      <c r="F917" s="44"/>
      <c r="G917" s="44"/>
      <c r="H917" s="44"/>
      <c r="I917" s="44"/>
      <c r="J917" s="44"/>
      <c r="K917" s="44"/>
      <c r="L917" s="44"/>
      <c r="M917" s="44"/>
      <c r="N917" s="44"/>
      <c r="O917" s="44"/>
    </row>
    <row r="918" spans="1:15" ht="17.25" customHeight="1">
      <c r="A918" s="44"/>
      <c r="B918" s="44"/>
      <c r="C918" s="44"/>
      <c r="D918" s="44"/>
      <c r="E918" s="44"/>
      <c r="F918" s="44"/>
      <c r="G918" s="44"/>
      <c r="H918" s="44"/>
      <c r="I918" s="44"/>
      <c r="J918" s="44"/>
      <c r="K918" s="44"/>
      <c r="L918" s="44"/>
      <c r="M918" s="44"/>
      <c r="N918" s="44"/>
      <c r="O918" s="44"/>
    </row>
    <row r="919" spans="1:15" ht="17.25" customHeight="1">
      <c r="A919" s="44"/>
      <c r="B919" s="44"/>
      <c r="C919" s="44"/>
      <c r="D919" s="44"/>
      <c r="E919" s="44"/>
      <c r="F919" s="44"/>
      <c r="G919" s="44"/>
      <c r="H919" s="44"/>
      <c r="I919" s="44"/>
      <c r="J919" s="44"/>
      <c r="K919" s="44"/>
      <c r="L919" s="44"/>
      <c r="M919" s="44"/>
      <c r="N919" s="44"/>
      <c r="O919" s="44"/>
    </row>
    <row r="920" spans="1:15" ht="17.25" customHeight="1">
      <c r="A920" s="44"/>
      <c r="B920" s="44"/>
      <c r="C920" s="44"/>
      <c r="D920" s="44"/>
      <c r="E920" s="44"/>
      <c r="F920" s="44"/>
      <c r="G920" s="44"/>
      <c r="H920" s="44"/>
      <c r="I920" s="44"/>
      <c r="J920" s="44"/>
      <c r="K920" s="44"/>
      <c r="L920" s="44"/>
      <c r="M920" s="44"/>
      <c r="N920" s="44"/>
      <c r="O920" s="44"/>
    </row>
    <row r="921" spans="1:15" ht="17.25" customHeight="1">
      <c r="A921" s="44"/>
      <c r="B921" s="44"/>
      <c r="C921" s="44"/>
      <c r="D921" s="44"/>
      <c r="E921" s="44"/>
      <c r="F921" s="44"/>
      <c r="G921" s="44"/>
      <c r="H921" s="44"/>
      <c r="I921" s="44"/>
      <c r="J921" s="44"/>
      <c r="K921" s="44"/>
      <c r="L921" s="44"/>
      <c r="M921" s="44"/>
      <c r="N921" s="44"/>
      <c r="O921" s="44"/>
    </row>
    <row r="922" spans="1:15" ht="17.25" customHeight="1">
      <c r="A922" s="44"/>
      <c r="B922" s="44"/>
      <c r="C922" s="44"/>
      <c r="D922" s="44"/>
      <c r="E922" s="44"/>
      <c r="F922" s="44"/>
      <c r="G922" s="44"/>
      <c r="H922" s="44"/>
      <c r="I922" s="44"/>
      <c r="J922" s="44"/>
      <c r="K922" s="44"/>
      <c r="L922" s="44"/>
      <c r="M922" s="44"/>
      <c r="N922" s="44"/>
      <c r="O922" s="44"/>
    </row>
    <row r="923" spans="1:15" ht="17.25" customHeight="1">
      <c r="A923" s="44"/>
      <c r="B923" s="44"/>
      <c r="C923" s="44"/>
      <c r="D923" s="44"/>
      <c r="E923" s="44"/>
      <c r="F923" s="44"/>
      <c r="G923" s="44"/>
      <c r="H923" s="44"/>
      <c r="I923" s="44"/>
      <c r="J923" s="44"/>
      <c r="K923" s="44"/>
      <c r="L923" s="44"/>
      <c r="M923" s="44"/>
      <c r="N923" s="44"/>
      <c r="O923" s="44"/>
    </row>
    <row r="924" spans="1:15" ht="17.25" customHeight="1">
      <c r="A924" s="44"/>
      <c r="B924" s="44"/>
      <c r="C924" s="44"/>
      <c r="D924" s="44"/>
      <c r="E924" s="44"/>
      <c r="F924" s="44"/>
      <c r="G924" s="44"/>
      <c r="H924" s="44"/>
      <c r="I924" s="44"/>
      <c r="J924" s="44"/>
      <c r="K924" s="44"/>
      <c r="L924" s="44"/>
      <c r="M924" s="44"/>
      <c r="N924" s="44"/>
      <c r="O924" s="44"/>
    </row>
    <row r="925" spans="1:15" ht="17.25" customHeight="1">
      <c r="A925" s="44"/>
      <c r="B925" s="44"/>
      <c r="C925" s="44"/>
      <c r="D925" s="44"/>
      <c r="E925" s="44"/>
      <c r="F925" s="44"/>
      <c r="G925" s="44"/>
      <c r="H925" s="44"/>
      <c r="I925" s="44"/>
      <c r="J925" s="44"/>
      <c r="K925" s="44"/>
      <c r="L925" s="44"/>
      <c r="M925" s="44"/>
      <c r="N925" s="44"/>
      <c r="O925" s="44"/>
    </row>
    <row r="926" spans="1:15" ht="17.25" customHeight="1">
      <c r="A926" s="44"/>
      <c r="B926" s="44"/>
      <c r="C926" s="44"/>
      <c r="D926" s="44"/>
      <c r="E926" s="44"/>
      <c r="F926" s="44"/>
      <c r="G926" s="44"/>
      <c r="H926" s="44"/>
      <c r="I926" s="44"/>
      <c r="J926" s="44"/>
      <c r="K926" s="44"/>
      <c r="L926" s="44"/>
      <c r="M926" s="44"/>
      <c r="N926" s="44"/>
      <c r="O926" s="44"/>
    </row>
    <row r="927" spans="1:15" ht="17.25" customHeight="1">
      <c r="A927" s="44"/>
      <c r="B927" s="44"/>
      <c r="C927" s="44"/>
      <c r="D927" s="44"/>
      <c r="E927" s="44"/>
      <c r="F927" s="44"/>
      <c r="G927" s="44"/>
      <c r="H927" s="44"/>
      <c r="I927" s="44"/>
      <c r="J927" s="44"/>
      <c r="K927" s="44"/>
      <c r="L927" s="44"/>
      <c r="M927" s="44"/>
      <c r="N927" s="44"/>
      <c r="O927" s="44"/>
    </row>
    <row r="928" spans="1:15" ht="17.25" customHeight="1">
      <c r="A928" s="44"/>
      <c r="B928" s="44"/>
      <c r="C928" s="44"/>
      <c r="D928" s="44"/>
      <c r="E928" s="44"/>
      <c r="F928" s="44"/>
      <c r="G928" s="44"/>
      <c r="H928" s="44"/>
      <c r="I928" s="44"/>
      <c r="J928" s="44"/>
      <c r="K928" s="44"/>
      <c r="L928" s="44"/>
      <c r="M928" s="44"/>
      <c r="N928" s="44"/>
      <c r="O928" s="44"/>
    </row>
    <row r="929" spans="1:15" ht="17.25" customHeight="1">
      <c r="A929" s="44"/>
      <c r="B929" s="44"/>
      <c r="C929" s="44"/>
      <c r="D929" s="44"/>
      <c r="E929" s="44"/>
      <c r="F929" s="44"/>
      <c r="G929" s="44"/>
      <c r="H929" s="44"/>
      <c r="I929" s="44"/>
      <c r="J929" s="44"/>
      <c r="K929" s="44"/>
      <c r="L929" s="44"/>
      <c r="M929" s="44"/>
      <c r="N929" s="44"/>
      <c r="O929" s="44"/>
    </row>
    <row r="930" spans="1:15" ht="17.25" customHeight="1">
      <c r="A930" s="44"/>
      <c r="B930" s="44"/>
      <c r="C930" s="44"/>
      <c r="D930" s="44"/>
      <c r="E930" s="44"/>
      <c r="F930" s="44"/>
      <c r="G930" s="44"/>
      <c r="H930" s="44"/>
      <c r="I930" s="44"/>
      <c r="J930" s="44"/>
      <c r="K930" s="44"/>
      <c r="L930" s="44"/>
      <c r="M930" s="44"/>
      <c r="N930" s="44"/>
      <c r="O930" s="44"/>
    </row>
    <row r="931" spans="1:15" ht="17.25" customHeight="1">
      <c r="A931" s="44"/>
      <c r="B931" s="44"/>
      <c r="C931" s="44"/>
      <c r="D931" s="44"/>
      <c r="E931" s="44"/>
      <c r="F931" s="44"/>
      <c r="G931" s="44"/>
      <c r="H931" s="44"/>
      <c r="I931" s="44"/>
      <c r="J931" s="44"/>
      <c r="K931" s="44"/>
      <c r="L931" s="44"/>
      <c r="M931" s="44"/>
      <c r="N931" s="44"/>
      <c r="O931" s="44"/>
    </row>
    <row r="932" spans="1:15" ht="17.25" customHeight="1">
      <c r="A932" s="44"/>
      <c r="B932" s="44"/>
      <c r="C932" s="44"/>
      <c r="D932" s="44"/>
      <c r="E932" s="44"/>
      <c r="F932" s="44"/>
      <c r="G932" s="44"/>
      <c r="H932" s="44"/>
      <c r="I932" s="44"/>
      <c r="J932" s="44"/>
      <c r="K932" s="44"/>
      <c r="L932" s="44"/>
      <c r="M932" s="44"/>
      <c r="N932" s="44"/>
      <c r="O932" s="44"/>
    </row>
    <row r="933" spans="1:15" ht="17.25" customHeight="1">
      <c r="A933" s="44"/>
      <c r="B933" s="44"/>
      <c r="C933" s="44"/>
      <c r="D933" s="44"/>
      <c r="E933" s="44"/>
      <c r="F933" s="44"/>
      <c r="G933" s="44"/>
      <c r="H933" s="44"/>
      <c r="I933" s="44"/>
      <c r="J933" s="44"/>
      <c r="K933" s="44"/>
      <c r="L933" s="44"/>
      <c r="M933" s="44"/>
      <c r="N933" s="44"/>
      <c r="O933" s="44"/>
    </row>
    <row r="934" spans="1:15" ht="17.25" customHeight="1">
      <c r="A934" s="44"/>
      <c r="B934" s="44"/>
      <c r="C934" s="44"/>
      <c r="D934" s="44"/>
      <c r="E934" s="44"/>
      <c r="F934" s="44"/>
      <c r="G934" s="44"/>
      <c r="H934" s="44"/>
      <c r="I934" s="44"/>
      <c r="J934" s="44"/>
      <c r="K934" s="44"/>
      <c r="L934" s="44"/>
      <c r="M934" s="44"/>
      <c r="N934" s="44"/>
      <c r="O934" s="44"/>
    </row>
    <row r="935" spans="1:15" ht="17.25" customHeight="1">
      <c r="A935" s="44"/>
      <c r="B935" s="44"/>
      <c r="C935" s="44"/>
      <c r="D935" s="44"/>
      <c r="E935" s="44"/>
      <c r="F935" s="44"/>
      <c r="G935" s="44"/>
      <c r="H935" s="44"/>
      <c r="I935" s="44"/>
      <c r="J935" s="44"/>
      <c r="K935" s="44"/>
      <c r="L935" s="44"/>
      <c r="M935" s="44"/>
      <c r="N935" s="44"/>
      <c r="O935" s="44"/>
    </row>
    <row r="936" spans="1:15" ht="17.25" customHeight="1">
      <c r="A936" s="44"/>
      <c r="B936" s="44"/>
      <c r="C936" s="44"/>
      <c r="D936" s="44"/>
      <c r="E936" s="44"/>
      <c r="F936" s="44"/>
      <c r="G936" s="44"/>
      <c r="H936" s="44"/>
      <c r="I936" s="44"/>
      <c r="J936" s="44"/>
      <c r="K936" s="44"/>
      <c r="L936" s="44"/>
      <c r="M936" s="44"/>
      <c r="N936" s="44"/>
      <c r="O936" s="44"/>
    </row>
    <row r="937" spans="1:15" ht="17.25" customHeight="1">
      <c r="A937" s="44"/>
      <c r="B937" s="44"/>
      <c r="C937" s="44"/>
      <c r="D937" s="44"/>
      <c r="E937" s="44"/>
      <c r="F937" s="44"/>
      <c r="G937" s="44"/>
      <c r="H937" s="44"/>
      <c r="I937" s="44"/>
      <c r="J937" s="44"/>
      <c r="K937" s="44"/>
      <c r="L937" s="44"/>
      <c r="M937" s="44"/>
      <c r="N937" s="44"/>
      <c r="O937" s="44"/>
    </row>
    <row r="938" spans="1:15" ht="17.25" customHeight="1">
      <c r="A938" s="44"/>
      <c r="B938" s="44"/>
      <c r="C938" s="44"/>
      <c r="D938" s="44"/>
      <c r="E938" s="44"/>
      <c r="F938" s="44"/>
      <c r="G938" s="44"/>
      <c r="H938" s="44"/>
      <c r="I938" s="44"/>
      <c r="J938" s="44"/>
      <c r="K938" s="44"/>
      <c r="L938" s="44"/>
      <c r="M938" s="44"/>
      <c r="N938" s="44"/>
      <c r="O938" s="44"/>
    </row>
    <row r="939" spans="1:15" ht="17.25" customHeight="1">
      <c r="A939" s="44"/>
      <c r="B939" s="44"/>
      <c r="C939" s="44"/>
      <c r="D939" s="44"/>
      <c r="E939" s="44"/>
      <c r="F939" s="44"/>
      <c r="G939" s="44"/>
      <c r="H939" s="44"/>
      <c r="I939" s="44"/>
      <c r="J939" s="44"/>
      <c r="K939" s="44"/>
      <c r="L939" s="44"/>
      <c r="M939" s="44"/>
      <c r="N939" s="44"/>
      <c r="O939" s="44"/>
    </row>
    <row r="940" spans="1:15" ht="17.25" customHeight="1">
      <c r="A940" s="44"/>
      <c r="B940" s="44"/>
      <c r="C940" s="44"/>
      <c r="D940" s="44"/>
      <c r="E940" s="44"/>
      <c r="F940" s="44"/>
      <c r="G940" s="44"/>
      <c r="H940" s="44"/>
      <c r="I940" s="44"/>
      <c r="J940" s="44"/>
      <c r="K940" s="44"/>
      <c r="L940" s="44"/>
      <c r="M940" s="44"/>
      <c r="N940" s="44"/>
      <c r="O940" s="44"/>
    </row>
    <row r="941" spans="1:15" ht="17.25" customHeight="1">
      <c r="A941" s="44"/>
      <c r="B941" s="44"/>
      <c r="C941" s="44"/>
      <c r="D941" s="44"/>
      <c r="E941" s="44"/>
      <c r="F941" s="44"/>
      <c r="G941" s="44"/>
      <c r="H941" s="44"/>
      <c r="I941" s="44"/>
      <c r="J941" s="44"/>
      <c r="K941" s="44"/>
      <c r="L941" s="44"/>
      <c r="M941" s="44"/>
      <c r="N941" s="44"/>
      <c r="O941" s="44"/>
    </row>
    <row r="942" spans="1:15" ht="17.25" customHeight="1">
      <c r="A942" s="44"/>
      <c r="B942" s="44"/>
      <c r="C942" s="44"/>
      <c r="D942" s="44"/>
      <c r="E942" s="44"/>
      <c r="F942" s="44"/>
      <c r="G942" s="44"/>
      <c r="H942" s="44"/>
      <c r="I942" s="44"/>
      <c r="J942" s="44"/>
      <c r="K942" s="44"/>
      <c r="L942" s="44"/>
      <c r="M942" s="44"/>
      <c r="N942" s="44"/>
      <c r="O942" s="44"/>
    </row>
    <row r="943" spans="1:15" ht="17.25" customHeight="1">
      <c r="A943" s="44"/>
      <c r="B943" s="44"/>
      <c r="C943" s="44"/>
      <c r="D943" s="44"/>
      <c r="E943" s="44"/>
      <c r="F943" s="44"/>
      <c r="G943" s="44"/>
      <c r="H943" s="44"/>
      <c r="I943" s="44"/>
      <c r="J943" s="44"/>
      <c r="K943" s="44"/>
      <c r="L943" s="44"/>
      <c r="M943" s="44"/>
      <c r="N943" s="44"/>
      <c r="O943" s="44"/>
    </row>
    <row r="944" spans="1:15" ht="17.25" customHeight="1">
      <c r="A944" s="44"/>
      <c r="B944" s="44"/>
      <c r="C944" s="44"/>
      <c r="D944" s="44"/>
      <c r="E944" s="44"/>
      <c r="F944" s="44"/>
      <c r="G944" s="44"/>
      <c r="H944" s="44"/>
      <c r="I944" s="44"/>
      <c r="J944" s="44"/>
      <c r="K944" s="44"/>
      <c r="L944" s="44"/>
      <c r="M944" s="44"/>
      <c r="N944" s="44"/>
      <c r="O944" s="44"/>
    </row>
    <row r="945" spans="1:15" ht="17.25" customHeight="1">
      <c r="A945" s="44"/>
      <c r="B945" s="44"/>
      <c r="C945" s="44"/>
      <c r="D945" s="44"/>
      <c r="E945" s="44"/>
      <c r="F945" s="44"/>
      <c r="G945" s="44"/>
      <c r="H945" s="44"/>
      <c r="I945" s="44"/>
      <c r="J945" s="44"/>
      <c r="K945" s="44"/>
      <c r="L945" s="44"/>
      <c r="M945" s="44"/>
      <c r="N945" s="44"/>
      <c r="O945" s="44"/>
    </row>
    <row r="946" spans="1:15" ht="17.25" customHeight="1">
      <c r="A946" s="44"/>
      <c r="B946" s="44"/>
      <c r="C946" s="44"/>
      <c r="D946" s="44"/>
      <c r="E946" s="44"/>
      <c r="F946" s="44"/>
      <c r="G946" s="44"/>
      <c r="H946" s="44"/>
      <c r="I946" s="44"/>
      <c r="J946" s="44"/>
      <c r="K946" s="44"/>
      <c r="L946" s="44"/>
      <c r="M946" s="44"/>
      <c r="N946" s="44"/>
      <c r="O946" s="44"/>
    </row>
    <row r="947" spans="1:15" ht="17.25" customHeight="1">
      <c r="A947" s="44"/>
      <c r="B947" s="44"/>
      <c r="C947" s="44"/>
      <c r="D947" s="44"/>
      <c r="E947" s="44"/>
      <c r="F947" s="44"/>
      <c r="G947" s="44"/>
      <c r="H947" s="44"/>
      <c r="I947" s="44"/>
      <c r="J947" s="44"/>
      <c r="K947" s="44"/>
      <c r="L947" s="44"/>
      <c r="M947" s="44"/>
      <c r="N947" s="44"/>
      <c r="O947" s="44"/>
    </row>
    <row r="948" spans="1:15" ht="17.25" customHeight="1">
      <c r="A948" s="44"/>
      <c r="B948" s="44"/>
      <c r="C948" s="44"/>
      <c r="D948" s="44"/>
      <c r="E948" s="44"/>
      <c r="F948" s="44"/>
      <c r="G948" s="44"/>
      <c r="H948" s="44"/>
      <c r="I948" s="44"/>
      <c r="J948" s="44"/>
      <c r="K948" s="44"/>
      <c r="L948" s="44"/>
      <c r="M948" s="44"/>
      <c r="N948" s="44"/>
      <c r="O948" s="44"/>
    </row>
    <row r="949" spans="1:15" ht="17.25" customHeight="1">
      <c r="A949" s="44"/>
      <c r="B949" s="44"/>
      <c r="C949" s="44"/>
      <c r="D949" s="44"/>
      <c r="E949" s="44"/>
      <c r="F949" s="44"/>
      <c r="G949" s="44"/>
      <c r="H949" s="44"/>
      <c r="I949" s="44"/>
      <c r="J949" s="44"/>
      <c r="K949" s="44"/>
      <c r="L949" s="44"/>
      <c r="M949" s="44"/>
      <c r="N949" s="44"/>
      <c r="O949" s="44"/>
    </row>
    <row r="950" spans="1:15" ht="17.25" customHeight="1">
      <c r="A950" s="44"/>
      <c r="B950" s="44"/>
      <c r="C950" s="44"/>
      <c r="D950" s="44"/>
      <c r="E950" s="44"/>
      <c r="F950" s="44"/>
      <c r="G950" s="44"/>
      <c r="H950" s="44"/>
      <c r="I950" s="44"/>
      <c r="J950" s="44"/>
      <c r="K950" s="44"/>
      <c r="L950" s="44"/>
      <c r="M950" s="44"/>
      <c r="N950" s="44"/>
      <c r="O950" s="44"/>
    </row>
    <row r="951" spans="1:15" ht="17.25" customHeight="1">
      <c r="A951" s="44"/>
      <c r="B951" s="44"/>
      <c r="C951" s="44"/>
      <c r="D951" s="44"/>
      <c r="E951" s="44"/>
      <c r="F951" s="44"/>
      <c r="G951" s="44"/>
      <c r="H951" s="44"/>
      <c r="I951" s="44"/>
      <c r="J951" s="44"/>
      <c r="K951" s="44"/>
      <c r="L951" s="44"/>
      <c r="M951" s="44"/>
      <c r="N951" s="44"/>
      <c r="O951" s="44"/>
    </row>
    <row r="952" spans="1:15" ht="17.25" customHeight="1">
      <c r="A952" s="44"/>
      <c r="B952" s="44"/>
      <c r="C952" s="44"/>
      <c r="D952" s="44"/>
      <c r="E952" s="44"/>
      <c r="F952" s="44"/>
      <c r="G952" s="44"/>
      <c r="H952" s="44"/>
      <c r="I952" s="44"/>
      <c r="J952" s="44"/>
      <c r="K952" s="44"/>
      <c r="L952" s="44"/>
      <c r="M952" s="44"/>
      <c r="N952" s="44"/>
      <c r="O952" s="44"/>
    </row>
    <row r="953" spans="1:15" ht="17.25" customHeight="1">
      <c r="A953" s="44"/>
      <c r="B953" s="44"/>
      <c r="C953" s="44"/>
      <c r="D953" s="44"/>
      <c r="E953" s="44"/>
      <c r="F953" s="44"/>
      <c r="G953" s="44"/>
      <c r="H953" s="44"/>
      <c r="I953" s="44"/>
      <c r="J953" s="44"/>
      <c r="K953" s="44"/>
      <c r="L953" s="44"/>
      <c r="M953" s="44"/>
      <c r="N953" s="44"/>
      <c r="O953" s="44"/>
    </row>
    <row r="954" spans="1:15" ht="17.25" customHeight="1">
      <c r="A954" s="44"/>
      <c r="B954" s="44"/>
      <c r="C954" s="44"/>
      <c r="D954" s="44"/>
      <c r="E954" s="44"/>
      <c r="F954" s="44"/>
      <c r="G954" s="44"/>
      <c r="H954" s="44"/>
      <c r="I954" s="44"/>
      <c r="J954" s="44"/>
      <c r="K954" s="44"/>
      <c r="L954" s="44"/>
      <c r="M954" s="44"/>
      <c r="N954" s="44"/>
      <c r="O954" s="44"/>
    </row>
    <row r="955" spans="1:15" ht="17.25" customHeight="1">
      <c r="A955" s="44"/>
      <c r="B955" s="44"/>
      <c r="C955" s="44"/>
      <c r="D955" s="44"/>
      <c r="E955" s="44"/>
      <c r="F955" s="44"/>
      <c r="G955" s="44"/>
      <c r="H955" s="44"/>
      <c r="I955" s="44"/>
      <c r="J955" s="44"/>
      <c r="K955" s="44"/>
      <c r="L955" s="44"/>
      <c r="M955" s="44"/>
      <c r="N955" s="44"/>
      <c r="O955" s="44"/>
    </row>
    <row r="956" spans="1:15" ht="17.25" customHeight="1">
      <c r="A956" s="44"/>
      <c r="B956" s="44"/>
      <c r="C956" s="44"/>
      <c r="D956" s="44"/>
      <c r="E956" s="44"/>
      <c r="F956" s="44"/>
      <c r="G956" s="44"/>
      <c r="H956" s="44"/>
      <c r="I956" s="44"/>
      <c r="J956" s="44"/>
      <c r="K956" s="44"/>
      <c r="L956" s="44"/>
      <c r="M956" s="44"/>
      <c r="N956" s="44"/>
      <c r="O956" s="44"/>
    </row>
    <row r="957" spans="1:15" ht="17.25" customHeight="1">
      <c r="A957" s="44"/>
      <c r="B957" s="44"/>
      <c r="C957" s="44"/>
      <c r="D957" s="44"/>
      <c r="E957" s="44"/>
      <c r="F957" s="44"/>
      <c r="G957" s="44"/>
      <c r="H957" s="44"/>
      <c r="I957" s="44"/>
      <c r="J957" s="44"/>
      <c r="K957" s="44"/>
      <c r="L957" s="44"/>
      <c r="M957" s="44"/>
      <c r="N957" s="44"/>
      <c r="O957" s="44"/>
    </row>
    <row r="958" spans="1:15" ht="17.25" customHeight="1">
      <c r="A958" s="44"/>
      <c r="B958" s="44"/>
      <c r="C958" s="44"/>
      <c r="D958" s="44"/>
      <c r="E958" s="44"/>
      <c r="F958" s="44"/>
      <c r="G958" s="44"/>
      <c r="H958" s="44"/>
      <c r="I958" s="44"/>
      <c r="J958" s="44"/>
      <c r="K958" s="44"/>
      <c r="L958" s="44"/>
      <c r="M958" s="44"/>
      <c r="N958" s="44"/>
      <c r="O958" s="44"/>
    </row>
    <row r="959" spans="1:15" ht="17.25" customHeight="1">
      <c r="A959" s="44"/>
      <c r="B959" s="44"/>
      <c r="C959" s="44"/>
      <c r="D959" s="44"/>
      <c r="E959" s="44"/>
      <c r="F959" s="44"/>
      <c r="G959" s="44"/>
      <c r="H959" s="44"/>
      <c r="I959" s="44"/>
      <c r="J959" s="44"/>
      <c r="K959" s="44"/>
      <c r="L959" s="44"/>
      <c r="M959" s="44"/>
      <c r="N959" s="44"/>
      <c r="O959" s="44"/>
    </row>
    <row r="960" spans="1:15" ht="17.25" customHeight="1">
      <c r="A960" s="44"/>
      <c r="B960" s="44"/>
      <c r="C960" s="44"/>
      <c r="D960" s="44"/>
      <c r="E960" s="44"/>
      <c r="F960" s="44"/>
      <c r="G960" s="44"/>
      <c r="H960" s="44"/>
      <c r="I960" s="44"/>
      <c r="J960" s="44"/>
      <c r="K960" s="44"/>
      <c r="L960" s="44"/>
      <c r="M960" s="44"/>
      <c r="N960" s="44"/>
      <c r="O960" s="44"/>
    </row>
    <row r="961" spans="1:15" ht="17.25" customHeight="1">
      <c r="A961" s="44"/>
      <c r="B961" s="44"/>
      <c r="C961" s="44"/>
      <c r="D961" s="44"/>
      <c r="E961" s="44"/>
      <c r="F961" s="44"/>
      <c r="G961" s="44"/>
      <c r="H961" s="44"/>
      <c r="I961" s="44"/>
      <c r="J961" s="44"/>
      <c r="K961" s="44"/>
      <c r="L961" s="44"/>
      <c r="M961" s="44"/>
      <c r="N961" s="44"/>
      <c r="O961" s="44"/>
    </row>
    <row r="962" spans="1:15" ht="17.25" customHeight="1">
      <c r="A962" s="44"/>
      <c r="B962" s="44"/>
      <c r="C962" s="44"/>
      <c r="D962" s="44"/>
      <c r="E962" s="44"/>
      <c r="F962" s="44"/>
      <c r="G962" s="44"/>
      <c r="H962" s="44"/>
      <c r="I962" s="44"/>
      <c r="J962" s="44"/>
      <c r="K962" s="44"/>
      <c r="L962" s="44"/>
      <c r="M962" s="44"/>
      <c r="N962" s="44"/>
      <c r="O962" s="44"/>
    </row>
    <row r="963" spans="1:15" ht="17.25" customHeight="1">
      <c r="A963" s="44"/>
      <c r="B963" s="44"/>
      <c r="C963" s="44"/>
      <c r="D963" s="44"/>
      <c r="E963" s="44"/>
      <c r="F963" s="44"/>
      <c r="G963" s="44"/>
      <c r="H963" s="44"/>
      <c r="I963" s="44"/>
      <c r="J963" s="44"/>
      <c r="K963" s="44"/>
      <c r="L963" s="44"/>
      <c r="M963" s="44"/>
      <c r="N963" s="44"/>
      <c r="O963" s="44"/>
    </row>
    <row r="964" spans="1:15" ht="17.25" customHeight="1">
      <c r="A964" s="44"/>
      <c r="B964" s="44"/>
      <c r="C964" s="44"/>
      <c r="D964" s="44"/>
      <c r="E964" s="44"/>
      <c r="F964" s="44"/>
      <c r="G964" s="44"/>
      <c r="H964" s="44"/>
      <c r="I964" s="44"/>
      <c r="J964" s="44"/>
      <c r="K964" s="44"/>
      <c r="L964" s="44"/>
      <c r="M964" s="44"/>
      <c r="N964" s="44"/>
      <c r="O964" s="44"/>
    </row>
    <row r="965" spans="1:15" ht="17.25" customHeight="1">
      <c r="A965" s="44"/>
      <c r="B965" s="44"/>
      <c r="C965" s="44"/>
      <c r="D965" s="44"/>
      <c r="E965" s="44"/>
      <c r="F965" s="44"/>
      <c r="G965" s="44"/>
      <c r="H965" s="44"/>
      <c r="I965" s="44"/>
      <c r="J965" s="44"/>
      <c r="K965" s="44"/>
      <c r="L965" s="44"/>
      <c r="M965" s="44"/>
      <c r="N965" s="44"/>
      <c r="O965" s="44"/>
    </row>
    <row r="966" spans="1:15" ht="17.25" customHeight="1">
      <c r="A966" s="44"/>
      <c r="B966" s="44"/>
      <c r="C966" s="44"/>
      <c r="D966" s="44"/>
      <c r="E966" s="44"/>
      <c r="F966" s="44"/>
      <c r="G966" s="44"/>
      <c r="H966" s="44"/>
      <c r="I966" s="44"/>
      <c r="J966" s="44"/>
      <c r="K966" s="44"/>
      <c r="L966" s="44"/>
      <c r="M966" s="44"/>
      <c r="N966" s="44"/>
      <c r="O966" s="44"/>
    </row>
    <row r="967" spans="1:15" ht="17.25" customHeight="1">
      <c r="A967" s="44"/>
      <c r="B967" s="44"/>
      <c r="C967" s="44"/>
      <c r="D967" s="44"/>
      <c r="E967" s="44"/>
      <c r="F967" s="44"/>
      <c r="G967" s="44"/>
      <c r="H967" s="44"/>
      <c r="I967" s="44"/>
      <c r="J967" s="44"/>
      <c r="K967" s="44"/>
      <c r="L967" s="44"/>
      <c r="M967" s="44"/>
      <c r="N967" s="44"/>
      <c r="O967" s="44"/>
    </row>
    <row r="968" spans="1:15" ht="17.25" customHeight="1">
      <c r="A968" s="44"/>
      <c r="B968" s="44"/>
      <c r="C968" s="44"/>
      <c r="D968" s="44"/>
      <c r="E968" s="44"/>
      <c r="F968" s="44"/>
      <c r="G968" s="44"/>
      <c r="H968" s="44"/>
      <c r="I968" s="44"/>
      <c r="J968" s="44"/>
      <c r="K968" s="44"/>
      <c r="L968" s="44"/>
      <c r="M968" s="44"/>
      <c r="N968" s="44"/>
      <c r="O968" s="44"/>
    </row>
    <row r="969" spans="1:15" ht="17.25" customHeight="1">
      <c r="A969" s="44"/>
      <c r="B969" s="44"/>
      <c r="C969" s="44"/>
      <c r="D969" s="44"/>
      <c r="E969" s="44"/>
      <c r="F969" s="44"/>
      <c r="G969" s="44"/>
      <c r="H969" s="44"/>
      <c r="I969" s="44"/>
      <c r="J969" s="44"/>
      <c r="K969" s="44"/>
      <c r="L969" s="44"/>
      <c r="M969" s="44"/>
      <c r="N969" s="44"/>
      <c r="O969" s="44"/>
    </row>
    <row r="970" spans="1:15" ht="17.25" customHeight="1">
      <c r="A970" s="44"/>
      <c r="B970" s="44"/>
      <c r="C970" s="44"/>
      <c r="D970" s="44"/>
      <c r="E970" s="44"/>
      <c r="F970" s="44"/>
      <c r="G970" s="44"/>
      <c r="H970" s="44"/>
      <c r="I970" s="44"/>
      <c r="J970" s="44"/>
      <c r="K970" s="44"/>
      <c r="L970" s="44"/>
      <c r="M970" s="44"/>
      <c r="N970" s="44"/>
      <c r="O970" s="44"/>
    </row>
    <row r="971" spans="1:15" ht="17.25" customHeight="1">
      <c r="A971" s="44"/>
      <c r="B971" s="44"/>
      <c r="C971" s="44"/>
      <c r="D971" s="44"/>
      <c r="E971" s="44"/>
      <c r="F971" s="44"/>
      <c r="G971" s="44"/>
      <c r="H971" s="44"/>
      <c r="I971" s="44"/>
      <c r="J971" s="44"/>
      <c r="K971" s="44"/>
      <c r="L971" s="44"/>
      <c r="M971" s="44"/>
      <c r="N971" s="44"/>
      <c r="O971" s="44"/>
    </row>
    <row r="972" spans="1:15" ht="17.25" customHeight="1">
      <c r="A972" s="44"/>
      <c r="B972" s="44"/>
      <c r="C972" s="44"/>
      <c r="D972" s="44"/>
      <c r="E972" s="44"/>
      <c r="F972" s="44"/>
      <c r="G972" s="44"/>
      <c r="H972" s="44"/>
      <c r="I972" s="44"/>
      <c r="J972" s="44"/>
      <c r="K972" s="44"/>
      <c r="L972" s="44"/>
      <c r="M972" s="44"/>
      <c r="N972" s="44"/>
      <c r="O972" s="44"/>
    </row>
    <row r="973" spans="1:15" ht="17.25" customHeight="1">
      <c r="A973" s="44"/>
      <c r="B973" s="44"/>
      <c r="C973" s="44"/>
      <c r="D973" s="44"/>
      <c r="E973" s="44"/>
      <c r="F973" s="44"/>
      <c r="G973" s="44"/>
      <c r="H973" s="44"/>
      <c r="I973" s="44"/>
      <c r="J973" s="44"/>
      <c r="K973" s="44"/>
      <c r="L973" s="44"/>
      <c r="M973" s="44"/>
      <c r="N973" s="44"/>
      <c r="O973" s="44"/>
    </row>
    <row r="974" spans="1:15" ht="17.25" customHeight="1">
      <c r="A974" s="44"/>
      <c r="B974" s="44"/>
      <c r="C974" s="44"/>
      <c r="D974" s="44"/>
      <c r="E974" s="44"/>
      <c r="F974" s="44"/>
      <c r="G974" s="44"/>
      <c r="H974" s="44"/>
      <c r="I974" s="44"/>
      <c r="J974" s="44"/>
      <c r="K974" s="44"/>
      <c r="L974" s="44"/>
      <c r="M974" s="44"/>
      <c r="N974" s="44"/>
      <c r="O974" s="44"/>
    </row>
    <row r="975" spans="1:15" ht="17.25" customHeight="1">
      <c r="A975" s="44"/>
      <c r="B975" s="44"/>
      <c r="C975" s="44"/>
      <c r="D975" s="44"/>
      <c r="E975" s="44"/>
      <c r="F975" s="44"/>
      <c r="G975" s="44"/>
      <c r="H975" s="44"/>
      <c r="I975" s="44"/>
      <c r="J975" s="44"/>
      <c r="K975" s="44"/>
      <c r="L975" s="44"/>
      <c r="M975" s="44"/>
      <c r="N975" s="44"/>
      <c r="O975" s="44"/>
    </row>
    <row r="976" spans="1:15" ht="17.25" customHeight="1">
      <c r="A976" s="44"/>
      <c r="B976" s="44"/>
      <c r="C976" s="44"/>
      <c r="D976" s="44"/>
      <c r="E976" s="44"/>
      <c r="F976" s="44"/>
      <c r="G976" s="44"/>
      <c r="H976" s="44"/>
      <c r="I976" s="44"/>
      <c r="J976" s="44"/>
      <c r="K976" s="44"/>
      <c r="L976" s="44"/>
      <c r="M976" s="44"/>
      <c r="N976" s="44"/>
      <c r="O976" s="44"/>
    </row>
    <row r="977" spans="1:15" ht="17.25" customHeight="1">
      <c r="A977" s="44"/>
      <c r="B977" s="44"/>
      <c r="C977" s="44"/>
      <c r="D977" s="44"/>
      <c r="E977" s="44"/>
      <c r="F977" s="44"/>
      <c r="G977" s="44"/>
      <c r="H977" s="44"/>
      <c r="I977" s="44"/>
      <c r="J977" s="44"/>
      <c r="K977" s="44"/>
      <c r="L977" s="44"/>
      <c r="M977" s="44"/>
      <c r="N977" s="44"/>
      <c r="O977" s="44"/>
    </row>
    <row r="978" spans="1:15" ht="17.25" customHeight="1">
      <c r="A978" s="44"/>
      <c r="B978" s="44"/>
      <c r="C978" s="44"/>
      <c r="D978" s="44"/>
      <c r="E978" s="44"/>
      <c r="F978" s="44"/>
      <c r="G978" s="44"/>
      <c r="H978" s="44"/>
      <c r="I978" s="44"/>
      <c r="J978" s="44"/>
      <c r="K978" s="44"/>
      <c r="L978" s="44"/>
      <c r="M978" s="44"/>
      <c r="N978" s="44"/>
      <c r="O978" s="44"/>
    </row>
    <row r="979" spans="1:15" ht="17.25" customHeight="1">
      <c r="A979" s="44"/>
      <c r="B979" s="44"/>
      <c r="C979" s="44"/>
      <c r="D979" s="44"/>
      <c r="E979" s="44"/>
      <c r="F979" s="44"/>
      <c r="G979" s="44"/>
      <c r="H979" s="44"/>
      <c r="I979" s="44"/>
      <c r="J979" s="44"/>
      <c r="K979" s="44"/>
      <c r="L979" s="44"/>
      <c r="M979" s="44"/>
      <c r="N979" s="44"/>
      <c r="O979" s="44"/>
    </row>
    <row r="980" spans="1:15" ht="17.25" customHeight="1">
      <c r="A980" s="44"/>
      <c r="B980" s="44"/>
      <c r="C980" s="44"/>
      <c r="D980" s="44"/>
      <c r="E980" s="44"/>
      <c r="F980" s="44"/>
      <c r="G980" s="44"/>
      <c r="H980" s="44"/>
      <c r="I980" s="44"/>
      <c r="J980" s="44"/>
      <c r="K980" s="44"/>
      <c r="L980" s="44"/>
      <c r="M980" s="44"/>
      <c r="N980" s="44"/>
      <c r="O980" s="44"/>
    </row>
    <row r="981" spans="1:15" ht="17.25" customHeight="1">
      <c r="A981" s="44"/>
      <c r="B981" s="44"/>
      <c r="C981" s="44"/>
      <c r="D981" s="44"/>
      <c r="E981" s="44"/>
      <c r="F981" s="44"/>
      <c r="G981" s="44"/>
      <c r="H981" s="44"/>
      <c r="I981" s="44"/>
      <c r="J981" s="44"/>
      <c r="K981" s="44"/>
      <c r="L981" s="44"/>
      <c r="M981" s="44"/>
      <c r="N981" s="44"/>
      <c r="O981" s="44"/>
    </row>
    <row r="982" spans="1:15" ht="17.25" customHeight="1">
      <c r="A982" s="44"/>
      <c r="B982" s="44"/>
      <c r="C982" s="44"/>
      <c r="D982" s="44"/>
      <c r="E982" s="44"/>
      <c r="F982" s="44"/>
      <c r="G982" s="44"/>
      <c r="H982" s="44"/>
      <c r="I982" s="44"/>
      <c r="J982" s="44"/>
      <c r="K982" s="44"/>
      <c r="L982" s="44"/>
      <c r="M982" s="44"/>
      <c r="N982" s="44"/>
      <c r="O982" s="44"/>
    </row>
    <row r="983" spans="1:15" ht="17.25" customHeight="1">
      <c r="A983" s="44"/>
      <c r="B983" s="44"/>
      <c r="C983" s="44"/>
      <c r="D983" s="44"/>
      <c r="E983" s="44"/>
      <c r="F983" s="44"/>
      <c r="G983" s="44"/>
      <c r="H983" s="44"/>
      <c r="I983" s="44"/>
      <c r="J983" s="44"/>
      <c r="K983" s="44"/>
      <c r="L983" s="44"/>
      <c r="M983" s="44"/>
      <c r="N983" s="44"/>
      <c r="O983" s="44"/>
    </row>
    <row r="984" spans="1:15" ht="17.25" customHeight="1">
      <c r="A984" s="44"/>
      <c r="B984" s="44"/>
      <c r="C984" s="44"/>
      <c r="D984" s="44"/>
      <c r="E984" s="44"/>
      <c r="F984" s="44"/>
      <c r="G984" s="44"/>
      <c r="H984" s="44"/>
      <c r="I984" s="44"/>
      <c r="J984" s="44"/>
      <c r="K984" s="44"/>
      <c r="L984" s="44"/>
      <c r="M984" s="44"/>
      <c r="N984" s="44"/>
      <c r="O984" s="44"/>
    </row>
    <row r="985" spans="1:15" ht="17.25" customHeight="1">
      <c r="A985" s="44"/>
      <c r="B985" s="44"/>
      <c r="C985" s="44"/>
      <c r="D985" s="44"/>
      <c r="E985" s="44"/>
      <c r="F985" s="44"/>
      <c r="G985" s="44"/>
      <c r="H985" s="44"/>
      <c r="I985" s="44"/>
      <c r="J985" s="44"/>
      <c r="K985" s="44"/>
      <c r="L985" s="44"/>
      <c r="M985" s="44"/>
      <c r="N985" s="44"/>
      <c r="O985" s="44"/>
    </row>
    <row r="986" spans="1:15" ht="17.25" customHeight="1">
      <c r="A986" s="44"/>
      <c r="B986" s="44"/>
      <c r="C986" s="44"/>
      <c r="D986" s="44"/>
      <c r="E986" s="44"/>
      <c r="F986" s="44"/>
      <c r="G986" s="44"/>
      <c r="H986" s="44"/>
      <c r="I986" s="44"/>
      <c r="J986" s="44"/>
      <c r="K986" s="44"/>
      <c r="L986" s="44"/>
      <c r="M986" s="44"/>
      <c r="N986" s="44"/>
      <c r="O986" s="44"/>
    </row>
    <row r="987" spans="1:15" ht="15" customHeight="1"/>
    <row r="988" spans="1:15" ht="15" customHeight="1"/>
    <row r="989" spans="1:15" ht="15" customHeight="1"/>
    <row r="990" spans="1:15" ht="15" customHeight="1"/>
    <row r="991" spans="1:15" ht="15" customHeight="1"/>
    <row r="992" spans="1:15" ht="15" customHeight="1"/>
    <row r="993" ht="15" customHeight="1"/>
    <row r="994" ht="15" customHeight="1"/>
    <row r="995" ht="15" customHeight="1"/>
    <row r="996" ht="15" customHeight="1"/>
    <row r="997" ht="15" customHeight="1"/>
    <row r="998" ht="15" customHeight="1"/>
  </sheetData>
  <mergeCells count="2">
    <mergeCell ref="G1:J2"/>
    <mergeCell ref="B4:C4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T139"/>
  <sheetViews>
    <sheetView showGridLines="0" tabSelected="1" topLeftCell="A5" zoomScale="90" zoomScaleNormal="90" workbookViewId="0">
      <selection activeCell="C70" sqref="C70"/>
    </sheetView>
  </sheetViews>
  <sheetFormatPr baseColWidth="10" defaultRowHeight="15.75" outlineLevelRow="1"/>
  <cols>
    <col min="1" max="1" width="24.7109375" style="1" customWidth="1"/>
    <col min="2" max="2" width="26" style="1" customWidth="1"/>
    <col min="3" max="3" width="19" style="1" customWidth="1"/>
    <col min="4" max="4" width="8.140625" style="2" customWidth="1"/>
    <col min="5" max="5" width="11.7109375" style="2" bestFit="1" customWidth="1"/>
    <col min="6" max="6" width="10.85546875" style="2" bestFit="1" customWidth="1"/>
    <col min="7" max="7" width="8.42578125" style="2" customWidth="1"/>
    <col min="8" max="8" width="9" style="2" customWidth="1"/>
    <col min="9" max="9" width="13.28515625" style="2" customWidth="1"/>
    <col min="10" max="10" width="8.5703125" style="2" customWidth="1"/>
    <col min="11" max="11" width="9.140625" style="2" customWidth="1"/>
    <col min="12" max="12" width="10.28515625" style="2" customWidth="1"/>
    <col min="13" max="13" width="8" style="2" customWidth="1"/>
    <col min="14" max="15" width="7.5703125" style="2" customWidth="1"/>
    <col min="16" max="16" width="8.7109375" style="2" customWidth="1"/>
    <col min="17" max="17" width="8.140625" style="2" customWidth="1"/>
    <col min="18" max="18" width="8.42578125" style="2" bestFit="1" customWidth="1"/>
    <col min="19" max="19" width="9.85546875" style="2" customWidth="1"/>
    <col min="20" max="20" width="7.7109375" style="2" customWidth="1"/>
    <col min="21" max="21" width="9.140625" style="2" customWidth="1"/>
    <col min="22" max="23" width="8.140625" style="2" customWidth="1"/>
    <col min="24" max="24" width="7" style="2" hidden="1" customWidth="1"/>
    <col min="25" max="25" width="7" style="2" customWidth="1"/>
    <col min="26" max="27" width="5.7109375" style="2" bestFit="1" customWidth="1"/>
    <col min="28" max="28" width="5" style="1" bestFit="1" customWidth="1"/>
    <col min="29" max="16384" width="11.42578125" style="1"/>
  </cols>
  <sheetData>
    <row r="2" spans="1:28">
      <c r="A2" s="167" t="s">
        <v>0</v>
      </c>
      <c r="B2" s="167"/>
      <c r="C2" s="1" t="s">
        <v>1</v>
      </c>
    </row>
    <row r="3" spans="1:28">
      <c r="A3" s="167" t="s">
        <v>2</v>
      </c>
      <c r="B3" s="167"/>
      <c r="C3" s="1" t="s">
        <v>3</v>
      </c>
    </row>
    <row r="4" spans="1:28" ht="11.25" customHeight="1">
      <c r="A4" s="3"/>
      <c r="B4" s="3"/>
    </row>
    <row r="5" spans="1:28" ht="46.5" customHeight="1">
      <c r="A5" s="168" t="s">
        <v>4</v>
      </c>
      <c r="B5" s="168"/>
      <c r="C5" s="169" t="s">
        <v>5</v>
      </c>
      <c r="D5" s="169"/>
      <c r="E5" s="169"/>
      <c r="F5" s="169"/>
      <c r="G5" s="169"/>
      <c r="H5" s="169"/>
      <c r="I5" s="169"/>
      <c r="J5" s="169"/>
      <c r="K5" s="169"/>
      <c r="L5" s="169"/>
      <c r="M5" s="169"/>
    </row>
    <row r="6" spans="1:28" ht="16.5" customHeight="1">
      <c r="A6" s="4"/>
      <c r="B6" s="4"/>
    </row>
    <row r="7" spans="1:28">
      <c r="A7" s="160" t="s">
        <v>6</v>
      </c>
      <c r="B7" s="160"/>
      <c r="C7" s="160"/>
      <c r="D7" s="160"/>
      <c r="E7" s="160"/>
      <c r="F7" s="160"/>
      <c r="G7" s="160"/>
      <c r="H7" s="160"/>
      <c r="I7" s="160"/>
      <c r="M7" s="1"/>
      <c r="N7" s="1"/>
      <c r="O7" s="1"/>
      <c r="P7" s="1"/>
      <c r="Q7" s="1"/>
    </row>
    <row r="8" spans="1:28" s="115" customFormat="1">
      <c r="A8" s="160"/>
      <c r="B8" s="160"/>
      <c r="C8" s="160"/>
      <c r="D8" s="160"/>
      <c r="E8" s="160"/>
      <c r="F8" s="160"/>
      <c r="G8" s="160"/>
      <c r="H8" s="160"/>
      <c r="I8" s="160"/>
      <c r="J8" s="153"/>
      <c r="K8" s="116"/>
      <c r="L8" s="127"/>
      <c r="M8" s="132"/>
      <c r="N8" s="132"/>
      <c r="O8" s="130"/>
      <c r="P8" s="133"/>
      <c r="Q8" s="134"/>
      <c r="R8" s="116"/>
      <c r="S8" s="116"/>
      <c r="T8" s="116"/>
      <c r="U8" s="116"/>
      <c r="V8" s="116"/>
      <c r="W8" s="116"/>
      <c r="X8" s="116"/>
      <c r="Y8" s="116"/>
      <c r="Z8" s="116"/>
      <c r="AA8" s="116"/>
    </row>
    <row r="9" spans="1:28" s="115" customFormat="1" hidden="1">
      <c r="A9" s="162" t="s">
        <v>107</v>
      </c>
      <c r="B9" s="117" t="s">
        <v>108</v>
      </c>
      <c r="C9" s="118" t="s">
        <v>7</v>
      </c>
      <c r="D9" s="119" t="s">
        <v>8</v>
      </c>
      <c r="E9" s="120">
        <v>44328</v>
      </c>
      <c r="F9" s="152"/>
      <c r="G9" s="152"/>
      <c r="H9" s="152"/>
      <c r="I9" s="152"/>
      <c r="J9" s="153"/>
      <c r="K9" s="116"/>
      <c r="L9" s="127"/>
      <c r="M9" s="132"/>
      <c r="N9" s="132"/>
      <c r="O9" s="130"/>
      <c r="P9" s="133"/>
      <c r="Q9" s="134"/>
      <c r="R9" s="116"/>
      <c r="S9" s="116"/>
      <c r="T9" s="116"/>
      <c r="U9" s="116"/>
      <c r="V9" s="116"/>
      <c r="W9" s="116"/>
      <c r="X9" s="116"/>
      <c r="Y9" s="116"/>
      <c r="Z9" s="116"/>
      <c r="AA9" s="116"/>
    </row>
    <row r="10" spans="1:28" s="115" customFormat="1" hidden="1">
      <c r="A10" s="163"/>
      <c r="B10" s="117" t="s">
        <v>109</v>
      </c>
      <c r="C10" s="118" t="s">
        <v>9</v>
      </c>
      <c r="D10" s="119" t="s">
        <v>10</v>
      </c>
      <c r="E10" s="121">
        <v>44344</v>
      </c>
      <c r="F10" s="152"/>
      <c r="G10" s="152"/>
      <c r="H10" s="152"/>
      <c r="I10" s="152"/>
      <c r="J10" s="153"/>
      <c r="K10" s="116"/>
      <c r="L10" s="127"/>
      <c r="M10" s="132"/>
      <c r="N10" s="132"/>
      <c r="O10" s="130"/>
      <c r="P10" s="133"/>
      <c r="Q10" s="134"/>
      <c r="R10" s="116"/>
      <c r="S10" s="116"/>
      <c r="T10" s="116"/>
      <c r="U10" s="116"/>
      <c r="V10" s="116"/>
      <c r="W10" s="116"/>
      <c r="X10" s="116"/>
      <c r="Y10" s="116"/>
      <c r="Z10" s="116"/>
      <c r="AA10" s="116"/>
    </row>
    <row r="11" spans="1:28" s="115" customFormat="1">
      <c r="A11" s="164" t="s">
        <v>110</v>
      </c>
      <c r="B11" s="122" t="s">
        <v>111</v>
      </c>
      <c r="C11" s="118" t="s">
        <v>112</v>
      </c>
      <c r="D11" s="119" t="s">
        <v>8</v>
      </c>
      <c r="E11" s="131">
        <v>44575</v>
      </c>
      <c r="F11" s="152"/>
      <c r="G11" s="152"/>
      <c r="H11" s="152"/>
      <c r="I11" s="152"/>
      <c r="J11" s="153"/>
      <c r="K11" s="116"/>
      <c r="L11" s="127"/>
      <c r="M11" s="132"/>
      <c r="N11" s="132"/>
      <c r="O11" s="130"/>
      <c r="P11" s="133"/>
      <c r="Q11" s="134"/>
      <c r="R11" s="116"/>
      <c r="S11" s="116"/>
      <c r="T11" s="116"/>
      <c r="U11" s="116"/>
      <c r="V11" s="116"/>
      <c r="W11" s="116"/>
      <c r="X11" s="116"/>
      <c r="Y11" s="116"/>
      <c r="Z11" s="116"/>
      <c r="AA11" s="116"/>
    </row>
    <row r="12" spans="1:28" s="115" customFormat="1">
      <c r="A12" s="165"/>
      <c r="B12" s="123" t="s">
        <v>113</v>
      </c>
      <c r="C12" s="118" t="s">
        <v>9</v>
      </c>
      <c r="D12" s="119" t="s">
        <v>10</v>
      </c>
      <c r="E12" s="131">
        <v>44581</v>
      </c>
      <c r="F12" s="152"/>
      <c r="G12" s="152"/>
      <c r="H12" s="152"/>
      <c r="I12" s="152"/>
      <c r="J12" s="153"/>
      <c r="K12" s="116"/>
      <c r="L12" s="127"/>
      <c r="M12" s="132"/>
      <c r="N12" s="132"/>
      <c r="O12" s="130"/>
      <c r="P12" s="133"/>
      <c r="Q12" s="134"/>
      <c r="R12" s="116"/>
      <c r="S12" s="116"/>
      <c r="T12" s="116"/>
      <c r="U12" s="116"/>
      <c r="V12" s="116"/>
      <c r="W12" s="116"/>
      <c r="X12" s="116"/>
      <c r="Y12" s="116"/>
      <c r="Z12" s="116"/>
      <c r="AA12" s="116"/>
    </row>
    <row r="13" spans="1:28" s="2" customFormat="1">
      <c r="A13" s="181" t="s">
        <v>51</v>
      </c>
      <c r="B13" s="7" t="s">
        <v>11</v>
      </c>
      <c r="C13" s="36" t="s">
        <v>7</v>
      </c>
      <c r="D13" s="37" t="s">
        <v>8</v>
      </c>
      <c r="E13" s="8">
        <v>44785</v>
      </c>
      <c r="F13" s="9"/>
      <c r="L13" s="127"/>
      <c r="M13" s="127"/>
      <c r="N13" s="127"/>
      <c r="O13" s="127"/>
      <c r="P13" s="127"/>
      <c r="Q13" s="127"/>
      <c r="AB13" s="1"/>
    </row>
    <row r="14" spans="1:28" s="2" customFormat="1">
      <c r="A14" s="181"/>
      <c r="B14" s="7" t="s">
        <v>12</v>
      </c>
      <c r="C14" s="5" t="s">
        <v>9</v>
      </c>
      <c r="D14" s="6" t="s">
        <v>10</v>
      </c>
      <c r="E14" s="8">
        <v>44785</v>
      </c>
      <c r="F14" s="10"/>
      <c r="L14" s="127"/>
      <c r="M14" s="127"/>
      <c r="N14" s="127"/>
      <c r="O14" s="127"/>
      <c r="P14" s="127"/>
      <c r="Q14" s="127"/>
      <c r="AB14" s="1"/>
    </row>
    <row r="15" spans="1:28" s="2" customFormat="1" hidden="1">
      <c r="A15" s="183" t="s">
        <v>52</v>
      </c>
      <c r="B15" s="106" t="s">
        <v>53</v>
      </c>
      <c r="C15" s="107" t="s">
        <v>7</v>
      </c>
      <c r="D15" s="108" t="s">
        <v>8</v>
      </c>
      <c r="E15" s="151">
        <v>44915</v>
      </c>
      <c r="F15" s="10"/>
      <c r="L15" s="127"/>
      <c r="M15" s="166"/>
      <c r="N15" s="135"/>
      <c r="O15" s="130"/>
      <c r="P15" s="133"/>
      <c r="Q15" s="136"/>
      <c r="AB15" s="1"/>
    </row>
    <row r="16" spans="1:28" hidden="1">
      <c r="A16" s="183"/>
      <c r="B16" s="106" t="s">
        <v>54</v>
      </c>
      <c r="C16" s="109" t="s">
        <v>9</v>
      </c>
      <c r="D16" s="110" t="s">
        <v>10</v>
      </c>
      <c r="E16" s="151">
        <v>44914</v>
      </c>
      <c r="F16" s="10"/>
      <c r="L16" s="127"/>
      <c r="M16" s="166"/>
      <c r="N16" s="135"/>
      <c r="O16" s="130"/>
      <c r="P16" s="133"/>
      <c r="Q16" s="136"/>
    </row>
    <row r="17" spans="1:23">
      <c r="A17" s="161" t="s">
        <v>101</v>
      </c>
      <c r="B17" s="102" t="s">
        <v>102</v>
      </c>
      <c r="C17" s="36" t="s">
        <v>7</v>
      </c>
      <c r="D17" s="37" t="s">
        <v>8</v>
      </c>
      <c r="E17" s="8">
        <v>44966</v>
      </c>
      <c r="F17" s="10"/>
      <c r="L17" s="127"/>
      <c r="M17" s="166"/>
      <c r="N17" s="137"/>
      <c r="O17" s="130"/>
      <c r="P17" s="133"/>
      <c r="Q17" s="136"/>
    </row>
    <row r="18" spans="1:23">
      <c r="A18" s="161"/>
      <c r="B18" s="102" t="s">
        <v>103</v>
      </c>
      <c r="C18" s="5" t="s">
        <v>9</v>
      </c>
      <c r="D18" s="6" t="s">
        <v>10</v>
      </c>
      <c r="E18" s="8">
        <v>44966</v>
      </c>
      <c r="F18" s="10"/>
      <c r="L18" s="127"/>
      <c r="M18" s="166"/>
      <c r="N18" s="137"/>
      <c r="O18" s="130"/>
      <c r="P18" s="133"/>
      <c r="Q18" s="136"/>
    </row>
    <row r="19" spans="1:23" ht="38.25" customHeight="1">
      <c r="A19" s="11"/>
      <c r="B19" s="11"/>
      <c r="C19" s="182" t="s">
        <v>104</v>
      </c>
      <c r="D19" s="182"/>
      <c r="E19" s="182"/>
      <c r="F19" s="182"/>
      <c r="G19" s="182"/>
      <c r="H19" s="182"/>
      <c r="I19" s="182"/>
      <c r="J19" s="182"/>
      <c r="K19" s="182"/>
      <c r="L19" s="182"/>
      <c r="M19" s="182"/>
      <c r="N19" s="182"/>
      <c r="O19" s="182"/>
      <c r="P19" s="182"/>
      <c r="Q19" s="182"/>
      <c r="R19" s="182"/>
      <c r="S19" s="182"/>
      <c r="T19" s="182"/>
      <c r="U19" s="182"/>
      <c r="V19" s="182"/>
      <c r="W19" s="182"/>
    </row>
    <row r="20" spans="1:23">
      <c r="C20" s="1" t="s">
        <v>13</v>
      </c>
    </row>
    <row r="22" spans="1:23">
      <c r="A22" s="1" t="s">
        <v>115</v>
      </c>
    </row>
    <row r="23" spans="1:23">
      <c r="C23" s="7" t="s">
        <v>11</v>
      </c>
      <c r="J23" s="7" t="s">
        <v>12</v>
      </c>
    </row>
    <row r="31" spans="1:23">
      <c r="G31" s="2">
        <v>0.8</v>
      </c>
    </row>
    <row r="38" spans="3:12">
      <c r="C38" s="25" t="s">
        <v>53</v>
      </c>
      <c r="H38" s="1"/>
      <c r="I38" s="1"/>
      <c r="L38" s="25" t="s">
        <v>54</v>
      </c>
    </row>
    <row r="63" spans="1:23" ht="16.5" customHeight="1">
      <c r="A63" s="11"/>
      <c r="B63" s="11"/>
      <c r="C63" s="20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0"/>
      <c r="O63" s="20"/>
      <c r="P63" s="20"/>
      <c r="Q63" s="20"/>
      <c r="R63" s="20"/>
      <c r="S63" s="20"/>
      <c r="T63" s="20"/>
      <c r="U63" s="20"/>
      <c r="V63" s="20"/>
      <c r="W63" s="20"/>
    </row>
    <row r="64" spans="1:23" ht="16.5" customHeight="1">
      <c r="A64" s="11"/>
      <c r="B64" s="11"/>
      <c r="C64" s="20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0"/>
      <c r="O64" s="20"/>
      <c r="P64" s="20"/>
      <c r="Q64" s="20"/>
      <c r="R64" s="20"/>
      <c r="S64" s="20"/>
      <c r="T64" s="20"/>
      <c r="U64" s="20"/>
      <c r="V64" s="20"/>
      <c r="W64" s="20"/>
    </row>
    <row r="65" spans="1:28" s="93" customFormat="1">
      <c r="B65" s="94"/>
      <c r="C65" s="95"/>
      <c r="I65" s="92"/>
      <c r="X65" s="96"/>
      <c r="Y65" s="96"/>
      <c r="Z65" s="96"/>
      <c r="AA65" s="96"/>
    </row>
    <row r="66" spans="1:28" s="93" customFormat="1">
      <c r="B66" s="94"/>
      <c r="C66" s="95"/>
      <c r="X66" s="96"/>
      <c r="Y66" s="96"/>
      <c r="Z66" s="96"/>
      <c r="AA66" s="96"/>
    </row>
    <row r="67" spans="1:28" s="93" customFormat="1">
      <c r="B67" s="94"/>
      <c r="C67" s="95"/>
      <c r="X67" s="96"/>
      <c r="Y67" s="96"/>
      <c r="Z67" s="96"/>
      <c r="AA67" s="96"/>
    </row>
    <row r="68" spans="1:28" s="93" customFormat="1">
      <c r="B68" s="94"/>
      <c r="C68" s="95"/>
      <c r="D68" s="92"/>
      <c r="E68" s="92"/>
      <c r="F68" s="92"/>
      <c r="G68" s="92"/>
      <c r="H68" s="92"/>
      <c r="I68" s="92"/>
      <c r="J68" s="92"/>
      <c r="K68" s="92"/>
      <c r="L68" s="92"/>
      <c r="M68" s="92"/>
      <c r="N68" s="92"/>
      <c r="O68" s="92"/>
      <c r="P68" s="92"/>
      <c r="Q68" s="92"/>
      <c r="R68" s="92"/>
      <c r="S68" s="92"/>
      <c r="T68" s="92"/>
      <c r="U68" s="92"/>
      <c r="V68" s="92"/>
      <c r="W68" s="92"/>
      <c r="X68" s="96"/>
      <c r="Y68" s="96"/>
      <c r="Z68" s="96"/>
      <c r="AA68" s="96"/>
    </row>
    <row r="69" spans="1:28">
      <c r="D69" s="175" t="s">
        <v>14</v>
      </c>
      <c r="E69" s="175"/>
      <c r="F69" s="175" t="s">
        <v>15</v>
      </c>
      <c r="G69" s="175"/>
      <c r="H69" s="175" t="s">
        <v>16</v>
      </c>
      <c r="I69" s="175"/>
      <c r="J69" s="175" t="s">
        <v>17</v>
      </c>
      <c r="K69" s="175"/>
      <c r="L69" s="175" t="s">
        <v>18</v>
      </c>
      <c r="M69" s="175"/>
      <c r="N69" s="175" t="s">
        <v>19</v>
      </c>
      <c r="O69" s="175"/>
      <c r="P69" s="175" t="s">
        <v>20</v>
      </c>
      <c r="Q69" s="175"/>
      <c r="R69" s="175" t="s">
        <v>21</v>
      </c>
      <c r="S69" s="175"/>
      <c r="T69" s="175" t="s">
        <v>22</v>
      </c>
      <c r="U69" s="175"/>
      <c r="V69" s="175" t="s">
        <v>23</v>
      </c>
      <c r="W69" s="175"/>
      <c r="X69" s="22"/>
      <c r="Y69" s="22"/>
      <c r="Z69" s="22"/>
      <c r="AA69" s="22"/>
      <c r="AB69" s="23"/>
    </row>
    <row r="70" spans="1:28" ht="19.5" customHeight="1">
      <c r="B70" s="154" t="s">
        <v>100</v>
      </c>
      <c r="C70" s="12"/>
      <c r="D70" s="147" t="s">
        <v>24</v>
      </c>
      <c r="E70" s="126" t="s">
        <v>25</v>
      </c>
      <c r="F70" s="147" t="s">
        <v>26</v>
      </c>
      <c r="G70" s="126" t="s">
        <v>27</v>
      </c>
      <c r="H70" s="147" t="s">
        <v>28</v>
      </c>
      <c r="I70" s="126" t="s">
        <v>29</v>
      </c>
      <c r="J70" s="147" t="s">
        <v>30</v>
      </c>
      <c r="K70" s="126" t="s">
        <v>31</v>
      </c>
      <c r="L70" s="147" t="s">
        <v>32</v>
      </c>
      <c r="M70" s="126" t="s">
        <v>33</v>
      </c>
      <c r="N70" s="147" t="s">
        <v>34</v>
      </c>
      <c r="O70" s="126" t="s">
        <v>35</v>
      </c>
      <c r="P70" s="147" t="s">
        <v>36</v>
      </c>
      <c r="Q70" s="126" t="s">
        <v>37</v>
      </c>
      <c r="R70" s="147" t="s">
        <v>38</v>
      </c>
      <c r="S70" s="126" t="s">
        <v>39</v>
      </c>
      <c r="T70" s="147" t="s">
        <v>40</v>
      </c>
      <c r="U70" s="126" t="s">
        <v>41</v>
      </c>
      <c r="V70" s="147" t="s">
        <v>42</v>
      </c>
      <c r="W70" s="126" t="s">
        <v>43</v>
      </c>
    </row>
    <row r="71" spans="1:28" s="115" customFormat="1">
      <c r="A71" s="115">
        <v>2022</v>
      </c>
      <c r="B71" s="171" t="s">
        <v>89</v>
      </c>
      <c r="C71" s="19" t="s">
        <v>44</v>
      </c>
      <c r="D71" s="103">
        <v>1.8570000000011099E-3</v>
      </c>
      <c r="E71" s="103">
        <v>0.31181687500000499</v>
      </c>
      <c r="F71" s="125">
        <v>0.31516387500000997</v>
      </c>
      <c r="G71" s="125">
        <v>0.63070849999998302</v>
      </c>
      <c r="H71" s="125">
        <v>0.139903124999989</v>
      </c>
      <c r="I71" s="125">
        <v>0.23865437500000999</v>
      </c>
      <c r="J71" s="125">
        <v>9.1964499999988902E-2</v>
      </c>
      <c r="K71" s="125">
        <v>0.12706062499995599</v>
      </c>
      <c r="L71" s="125">
        <v>0.16578837500003399</v>
      </c>
      <c r="M71" s="125">
        <v>0.18716637499991901</v>
      </c>
      <c r="N71" s="125">
        <v>9.8284750000061594E-2</v>
      </c>
      <c r="O71" s="125">
        <v>5.5193874999986299E-2</v>
      </c>
      <c r="P71" s="125">
        <v>8.5652999999979329E-2</v>
      </c>
      <c r="Q71" s="125">
        <v>0.179945250000003</v>
      </c>
      <c r="R71" s="125">
        <v>2.4093250000021271E-2</v>
      </c>
      <c r="S71" s="125">
        <v>1.09603750000247E-2</v>
      </c>
      <c r="T71" s="125">
        <v>0.26092462499997282</v>
      </c>
      <c r="U71" s="125">
        <v>0.24218162500000062</v>
      </c>
      <c r="V71" s="125">
        <v>0.37065037499991149</v>
      </c>
      <c r="W71" s="125">
        <v>0.3563121249999881</v>
      </c>
      <c r="X71" s="116"/>
      <c r="Y71" s="116"/>
      <c r="Z71" s="116"/>
      <c r="AA71" s="116"/>
    </row>
    <row r="72" spans="1:28" s="115" customFormat="1">
      <c r="B72" s="171"/>
      <c r="C72" s="19" t="s">
        <v>45</v>
      </c>
      <c r="D72" s="103">
        <v>7.9897500000001301E-2</v>
      </c>
      <c r="E72" s="103">
        <v>0.36210050000000399</v>
      </c>
      <c r="F72" s="125">
        <v>0.248545000000021</v>
      </c>
      <c r="G72" s="125">
        <v>0.36936325000002102</v>
      </c>
      <c r="H72" s="125">
        <v>0.13049337500001501</v>
      </c>
      <c r="I72" s="125">
        <v>0.17498325000002524</v>
      </c>
      <c r="J72" s="125">
        <v>4.6583249999997599E-2</v>
      </c>
      <c r="K72" s="125">
        <v>0.58486812500001395</v>
      </c>
      <c r="L72" s="125">
        <v>7.4984999999998095E-2</v>
      </c>
      <c r="M72" s="125">
        <v>0.11965175000000272</v>
      </c>
      <c r="N72" s="125">
        <v>0.25577262500002002</v>
      </c>
      <c r="O72" s="125">
        <v>0.70846087499995747</v>
      </c>
      <c r="P72" s="125">
        <v>0.17696949999998399</v>
      </c>
      <c r="Q72" s="125">
        <v>8.8220874999990428E-2</v>
      </c>
      <c r="R72" s="125">
        <v>0.19391899999999401</v>
      </c>
      <c r="S72" s="125">
        <v>2.3519999999734864E-3</v>
      </c>
      <c r="T72" s="125">
        <v>0.12808387499995899</v>
      </c>
      <c r="U72" s="125">
        <v>3.3561249999252141E-3</v>
      </c>
      <c r="V72" s="125">
        <v>0.16003325000002633</v>
      </c>
      <c r="W72" s="125">
        <v>8.6294749999979103E-2</v>
      </c>
      <c r="X72" s="116"/>
      <c r="Y72" s="116"/>
      <c r="Z72" s="116"/>
      <c r="AA72" s="116"/>
    </row>
    <row r="73" spans="1:28" s="115" customFormat="1">
      <c r="B73" s="171"/>
      <c r="C73" s="19" t="s">
        <v>46</v>
      </c>
      <c r="D73" s="103">
        <v>7.5158750000014193E-2</v>
      </c>
      <c r="E73" s="103">
        <v>7.5161500000007195E-2</v>
      </c>
      <c r="F73" s="125">
        <v>0.14655100000000201</v>
      </c>
      <c r="G73" s="125">
        <v>0.11482687500002001</v>
      </c>
      <c r="H73" s="125">
        <v>0.31623050000001701</v>
      </c>
      <c r="I73" s="125">
        <v>0.22772512499997799</v>
      </c>
      <c r="J73" s="125">
        <v>0.202705499999979</v>
      </c>
      <c r="K73" s="125">
        <v>0.12506024999998999</v>
      </c>
      <c r="L73" s="125">
        <v>6.942112499999098E-2</v>
      </c>
      <c r="M73" s="125">
        <v>0.10924349999999095</v>
      </c>
      <c r="N73" s="125">
        <v>4.2181249999941897E-2</v>
      </c>
      <c r="O73" s="125">
        <v>4.1722374999949352E-2</v>
      </c>
      <c r="P73" s="125">
        <v>1.7499750000013099E-2</v>
      </c>
      <c r="Q73" s="125">
        <v>2.49451250000448E-2</v>
      </c>
      <c r="R73" s="125">
        <v>0.35741312500005051</v>
      </c>
      <c r="S73" s="125">
        <v>0.10919862500009003</v>
      </c>
      <c r="T73" s="125">
        <v>0.51347499999997126</v>
      </c>
      <c r="U73" s="125">
        <v>0.2729927499999576</v>
      </c>
      <c r="V73" s="125">
        <v>0.13074799999998277</v>
      </c>
      <c r="W73" s="125">
        <v>8.5116875000039727E-2</v>
      </c>
      <c r="X73" s="116"/>
      <c r="Y73" s="116"/>
      <c r="Z73" s="116"/>
      <c r="AA73" s="116"/>
    </row>
    <row r="74" spans="1:28" s="115" customFormat="1">
      <c r="B74" s="171"/>
      <c r="C74" s="19" t="s">
        <v>47</v>
      </c>
      <c r="D74" s="103">
        <v>0.15158374999999999</v>
      </c>
      <c r="E74" s="103">
        <v>1.6721625000002405E-2</v>
      </c>
      <c r="F74" s="125">
        <v>7.5147000000001199E-2</v>
      </c>
      <c r="G74" s="125">
        <v>0.25890600000001002</v>
      </c>
      <c r="H74" s="125">
        <v>6.0960374999979194E-2</v>
      </c>
      <c r="I74" s="125">
        <v>0.35293912500000602</v>
      </c>
      <c r="J74" s="125">
        <v>8.9724625000002306E-2</v>
      </c>
      <c r="K74" s="125">
        <v>1.53133750000052E-2</v>
      </c>
      <c r="L74" s="125">
        <v>1.27507499999808E-2</v>
      </c>
      <c r="M74" s="125">
        <v>0.29924174999999298</v>
      </c>
      <c r="N74" s="125">
        <v>9.1827624999950785E-2</v>
      </c>
      <c r="O74" s="125">
        <v>5.5796249999957581E-3</v>
      </c>
      <c r="P74" s="125">
        <v>0.30546562500001073</v>
      </c>
      <c r="Q74" s="125">
        <v>2.69779999999855E-2</v>
      </c>
      <c r="R74" s="125">
        <v>5.0125999999977466E-2</v>
      </c>
      <c r="S74" s="125">
        <v>0.28543837500001201</v>
      </c>
      <c r="T74" s="125">
        <v>0.25811300000003712</v>
      </c>
      <c r="U74" s="125">
        <v>0.46000312500001428</v>
      </c>
      <c r="V74" s="125">
        <v>3.9468750000025921E-2</v>
      </c>
      <c r="W74" s="125">
        <v>0.50943837500005884</v>
      </c>
      <c r="X74" s="116"/>
      <c r="Y74" s="116"/>
      <c r="Z74" s="116"/>
      <c r="AA74" s="116"/>
    </row>
    <row r="75" spans="1:28" s="115" customFormat="1">
      <c r="B75" s="171"/>
      <c r="C75" s="19" t="s">
        <v>48</v>
      </c>
      <c r="D75" s="103">
        <v>0.26329074999999602</v>
      </c>
      <c r="E75" s="103">
        <v>7.1670500000010406E-2</v>
      </c>
      <c r="F75" s="125">
        <v>1.85914999999994E-2</v>
      </c>
      <c r="G75" s="125">
        <v>0.18434862499999799</v>
      </c>
      <c r="H75" s="125">
        <v>0.32586449999999401</v>
      </c>
      <c r="I75" s="125">
        <v>8.5152749999991798E-2</v>
      </c>
      <c r="J75" s="125">
        <v>7.1153500000008307E-2</v>
      </c>
      <c r="K75" s="125">
        <v>5.2718375000012002E-2</v>
      </c>
      <c r="L75" s="125">
        <v>0.23399337500001099</v>
      </c>
      <c r="M75" s="125">
        <v>0.19705174999998601</v>
      </c>
      <c r="N75" s="125">
        <v>0.32920487499995943</v>
      </c>
      <c r="O75" s="125">
        <v>4.0627374999985477E-2</v>
      </c>
      <c r="P75" s="125">
        <v>2.1233999999992648E-2</v>
      </c>
      <c r="Q75" s="125">
        <v>0.13822387499993699</v>
      </c>
      <c r="R75" s="125">
        <v>0.15892550000006622</v>
      </c>
      <c r="S75" s="125">
        <v>4.3662000000040301E-2</v>
      </c>
      <c r="T75" s="125">
        <v>0.2026211250000074</v>
      </c>
      <c r="U75" s="125">
        <v>0.17172775000000229</v>
      </c>
      <c r="V75" s="125">
        <v>0.6087773749999883</v>
      </c>
      <c r="W75" s="125">
        <v>0.10492074999996248</v>
      </c>
      <c r="X75" s="116"/>
      <c r="Y75" s="116"/>
      <c r="Z75" s="116"/>
      <c r="AA75" s="116"/>
    </row>
    <row r="76" spans="1:28" s="115" customFormat="1" ht="16.5" thickBot="1">
      <c r="B76" s="171"/>
      <c r="C76" s="19" t="s">
        <v>49</v>
      </c>
      <c r="D76" s="103">
        <v>0.16436062499999299</v>
      </c>
      <c r="E76" s="103">
        <v>0.200890125000001</v>
      </c>
      <c r="F76" s="125">
        <v>0.45490137499997702</v>
      </c>
      <c r="G76" s="125">
        <v>0.21202187500001901</v>
      </c>
      <c r="H76" s="125">
        <v>0.29499925000001798</v>
      </c>
      <c r="I76" s="125">
        <v>0.46338074999999901</v>
      </c>
      <c r="J76" s="125">
        <v>1.5147125000027017E-2</v>
      </c>
      <c r="K76" s="125">
        <v>0.257696124999995</v>
      </c>
      <c r="L76" s="125">
        <v>1.5785999999991401E-2</v>
      </c>
      <c r="M76" s="125">
        <v>9.8176250000022947E-2</v>
      </c>
      <c r="N76" s="125">
        <v>9.8853999999960251E-2</v>
      </c>
      <c r="O76" s="125">
        <v>0.12615162499997701</v>
      </c>
      <c r="P76" s="125">
        <v>1.3854999999978201E-2</v>
      </c>
      <c r="Q76" s="125">
        <v>0.2361643749999871</v>
      </c>
      <c r="R76" s="125">
        <v>0.89504562499996609</v>
      </c>
      <c r="S76" s="125">
        <v>0.30275375000007898</v>
      </c>
      <c r="T76" s="125">
        <v>0.26376887500003932</v>
      </c>
      <c r="U76" s="125">
        <v>0.33986862500006509</v>
      </c>
      <c r="V76" s="125">
        <v>0.40086150000001908</v>
      </c>
      <c r="W76" s="125">
        <v>4.894849999999451E-2</v>
      </c>
      <c r="X76" s="116"/>
      <c r="Y76" s="116"/>
      <c r="Z76" s="116"/>
      <c r="AA76" s="116"/>
    </row>
    <row r="77" spans="1:28">
      <c r="B77" s="184" t="s">
        <v>50</v>
      </c>
      <c r="C77" s="29" t="s">
        <v>44</v>
      </c>
      <c r="D77" s="155">
        <v>0.22165162500000701</v>
      </c>
      <c r="E77" s="155">
        <v>6.0752000000000805E-2</v>
      </c>
      <c r="F77" s="30">
        <v>0.100065375</v>
      </c>
      <c r="G77" s="30">
        <v>4.8861000000002298E-2</v>
      </c>
      <c r="H77" s="30">
        <v>0.218476125000024</v>
      </c>
      <c r="I77" s="30">
        <v>0.10277837500001397</v>
      </c>
      <c r="J77" s="30">
        <v>0.319080250000013</v>
      </c>
      <c r="K77" s="30">
        <v>0.1040475000000356</v>
      </c>
      <c r="L77" s="30">
        <v>6.1314624999965872E-2</v>
      </c>
      <c r="M77" s="30">
        <v>7.3534875000007105E-2</v>
      </c>
      <c r="N77" s="30">
        <v>0.100532624999971</v>
      </c>
      <c r="O77" s="30">
        <v>0.32141712499998221</v>
      </c>
      <c r="P77" s="30">
        <v>5.9487499999590909E-3</v>
      </c>
      <c r="Q77" s="30">
        <v>0.38354062499996644</v>
      </c>
      <c r="R77" s="30">
        <v>0.19878412499991782</v>
      </c>
      <c r="S77" s="30">
        <v>0.36765249999996286</v>
      </c>
      <c r="T77" s="30">
        <v>0.17278887499992379</v>
      </c>
      <c r="U77" s="30">
        <v>0.45113487499997973</v>
      </c>
      <c r="V77" s="30">
        <v>0.29295274999998355</v>
      </c>
      <c r="W77" s="31">
        <v>0.85250174999998762</v>
      </c>
    </row>
    <row r="78" spans="1:28">
      <c r="B78" s="185"/>
      <c r="C78" s="124" t="s">
        <v>45</v>
      </c>
      <c r="D78" s="103">
        <v>0.35614675000000801</v>
      </c>
      <c r="E78" s="103">
        <v>0.24848500000000201</v>
      </c>
      <c r="F78" s="125">
        <v>0.208103124999994</v>
      </c>
      <c r="G78" s="125">
        <v>3.4447625000012701E-2</v>
      </c>
      <c r="H78" s="125">
        <v>1.7742999999967399E-2</v>
      </c>
      <c r="I78" s="125">
        <v>2.6851875000033942E-2</v>
      </c>
      <c r="J78" s="125">
        <v>1.18282500000362E-2</v>
      </c>
      <c r="K78" s="125">
        <v>1.7499624999999241E-2</v>
      </c>
      <c r="L78" s="125">
        <v>0.15635724999995659</v>
      </c>
      <c r="M78" s="125">
        <v>1.8327250000055528E-2</v>
      </c>
      <c r="N78" s="125">
        <v>0.12055800000001682</v>
      </c>
      <c r="O78" s="125">
        <v>0.4725016250000067</v>
      </c>
      <c r="P78" s="125">
        <v>0.332456250000007</v>
      </c>
      <c r="Q78" s="125">
        <v>0.57799200000005158</v>
      </c>
      <c r="R78" s="125">
        <v>0.42812075000006189</v>
      </c>
      <c r="S78" s="125">
        <v>0.29253612500002646</v>
      </c>
      <c r="T78" s="125">
        <v>0.48127137499989203</v>
      </c>
      <c r="U78" s="125">
        <v>0.66271325000002435</v>
      </c>
      <c r="V78" s="125">
        <v>0.5689081250000072</v>
      </c>
      <c r="W78" s="32">
        <v>0.6908923749999758</v>
      </c>
    </row>
    <row r="79" spans="1:28">
      <c r="B79" s="185"/>
      <c r="C79" s="124" t="s">
        <v>46</v>
      </c>
      <c r="D79" s="103">
        <v>0.29506824999999998</v>
      </c>
      <c r="E79" s="103">
        <v>6.0062375000008203E-2</v>
      </c>
      <c r="F79" s="125">
        <v>0.160754874999995</v>
      </c>
      <c r="G79" s="125">
        <v>0.119844125</v>
      </c>
      <c r="H79" s="125">
        <v>2.7812499999981801E-3</v>
      </c>
      <c r="I79" s="125">
        <v>0.20607624999999499</v>
      </c>
      <c r="J79" s="125">
        <v>0.10190237500000876</v>
      </c>
      <c r="K79" s="125">
        <v>0.20777624999996647</v>
      </c>
      <c r="L79" s="125">
        <v>0.22746662500000525</v>
      </c>
      <c r="M79" s="125">
        <v>5.3296375000002172E-2</v>
      </c>
      <c r="N79" s="125">
        <v>0.49262824999993882</v>
      </c>
      <c r="O79" s="125">
        <v>0.56019537499997796</v>
      </c>
      <c r="P79" s="125">
        <v>0.3213804999999752</v>
      </c>
      <c r="Q79" s="125">
        <v>0.39535412499998301</v>
      </c>
      <c r="R79" s="125">
        <v>0.45656050000002324</v>
      </c>
      <c r="S79" s="125">
        <v>0.84402212499998086</v>
      </c>
      <c r="T79" s="125">
        <v>0.44734599999998181</v>
      </c>
      <c r="U79" s="125">
        <v>0.94872737499991899</v>
      </c>
      <c r="V79" s="125">
        <v>0.52019062499988422</v>
      </c>
      <c r="W79" s="32">
        <v>0.88580537499990442</v>
      </c>
    </row>
    <row r="80" spans="1:28">
      <c r="B80" s="185"/>
      <c r="C80" s="124" t="s">
        <v>47</v>
      </c>
      <c r="D80" s="103">
        <v>0.123073374999997</v>
      </c>
      <c r="E80" s="103">
        <v>2.5383125000004725E-2</v>
      </c>
      <c r="F80" s="125">
        <v>0.12922462499999199</v>
      </c>
      <c r="G80" s="125">
        <v>0.20359312499998339</v>
      </c>
      <c r="H80" s="125">
        <v>3.4352624999996799E-2</v>
      </c>
      <c r="I80" s="125">
        <v>2.3873000000008915E-2</v>
      </c>
      <c r="J80" s="125">
        <v>8.8335749999998797E-2</v>
      </c>
      <c r="K80" s="125">
        <v>0.45911887500000148</v>
      </c>
      <c r="L80" s="125">
        <v>0.113494875000015</v>
      </c>
      <c r="M80" s="125">
        <v>0.20231799999999112</v>
      </c>
      <c r="N80" s="125">
        <v>0.22085924999998952</v>
      </c>
      <c r="O80" s="125">
        <v>0.61811150000005455</v>
      </c>
      <c r="P80" s="125">
        <v>0.47857662499995968</v>
      </c>
      <c r="Q80" s="125">
        <v>0.5034512500000119</v>
      </c>
      <c r="R80" s="125">
        <v>0.15203474999998434</v>
      </c>
      <c r="S80" s="125">
        <v>0.68774799999999914</v>
      </c>
      <c r="T80" s="125">
        <v>0.52596987500004388</v>
      </c>
      <c r="U80" s="125">
        <v>0.94804637499998989</v>
      </c>
      <c r="V80" s="125">
        <v>0.7849878749998993</v>
      </c>
      <c r="W80" s="32">
        <v>0.86744650000002821</v>
      </c>
    </row>
    <row r="81" spans="1:46">
      <c r="B81" s="185"/>
      <c r="C81" s="124" t="s">
        <v>48</v>
      </c>
      <c r="D81" s="103">
        <v>4.103399999999624E-2</v>
      </c>
      <c r="E81" s="103">
        <v>8.6094249999995001E-2</v>
      </c>
      <c r="F81" s="125">
        <v>7.95522499999919E-2</v>
      </c>
      <c r="G81" s="125">
        <v>4.03405000000134E-2</v>
      </c>
      <c r="H81" s="125">
        <v>0.21206674999999101</v>
      </c>
      <c r="I81" s="125">
        <v>0.16459787499999834</v>
      </c>
      <c r="J81" s="125">
        <v>0.20496349999996299</v>
      </c>
      <c r="K81" s="125">
        <v>0.24719262499993988</v>
      </c>
      <c r="L81" s="125">
        <v>2.6454125000014983E-2</v>
      </c>
      <c r="M81" s="125">
        <v>3.3840249999997199E-2</v>
      </c>
      <c r="N81" s="125">
        <v>0.32452975000001061</v>
      </c>
      <c r="O81" s="125">
        <v>0.36056924999996909</v>
      </c>
      <c r="P81" s="125">
        <v>0.29090362499999856</v>
      </c>
      <c r="Q81" s="125">
        <v>0.49793900000003077</v>
      </c>
      <c r="R81" s="125">
        <v>0.12628050000000712</v>
      </c>
      <c r="S81" s="125">
        <v>0.59727212499996085</v>
      </c>
      <c r="T81" s="125">
        <v>0.46320750000000999</v>
      </c>
      <c r="U81" s="125">
        <v>0.58423824999999852</v>
      </c>
      <c r="V81" s="125">
        <v>0.57974612500004241</v>
      </c>
      <c r="W81" s="32">
        <v>0.94061500000003662</v>
      </c>
    </row>
    <row r="82" spans="1:46" ht="16.5" thickBot="1">
      <c r="B82" s="186"/>
      <c r="C82" s="33" t="s">
        <v>49</v>
      </c>
      <c r="D82" s="104">
        <v>0.10756900000000513</v>
      </c>
      <c r="E82" s="104">
        <v>0.16345612499999618</v>
      </c>
      <c r="F82" s="34">
        <v>0.185793249999989</v>
      </c>
      <c r="G82" s="34">
        <v>8.4281625000016902E-2</v>
      </c>
      <c r="H82" s="34">
        <v>0.15090200000000209</v>
      </c>
      <c r="I82" s="34">
        <v>3.1547999999986601E-2</v>
      </c>
      <c r="J82" s="34">
        <v>6.8307749999973993E-2</v>
      </c>
      <c r="K82" s="34">
        <v>6.6515000000038071E-2</v>
      </c>
      <c r="L82" s="34">
        <v>0.21581412500000852</v>
      </c>
      <c r="M82" s="34">
        <v>0.25728387500001304</v>
      </c>
      <c r="N82" s="34">
        <v>0.128905374999988</v>
      </c>
      <c r="O82" s="34">
        <v>0.22221050000007381</v>
      </c>
      <c r="P82" s="34">
        <v>0.14066612499999565</v>
      </c>
      <c r="Q82" s="34">
        <v>0.48262212500009127</v>
      </c>
      <c r="R82" s="34">
        <v>0.2184025000000247</v>
      </c>
      <c r="S82" s="34">
        <v>0.47741474999992306</v>
      </c>
      <c r="T82" s="34">
        <v>0.43496712500001422</v>
      </c>
      <c r="U82" s="34">
        <v>0.7790113750000387</v>
      </c>
      <c r="V82" s="34">
        <v>0.2017937499999789</v>
      </c>
      <c r="W82" s="35">
        <v>0.73006399999997029</v>
      </c>
      <c r="Y82" s="127"/>
      <c r="Z82" s="127"/>
      <c r="AA82" s="127"/>
      <c r="AB82" s="130"/>
      <c r="AC82" s="130"/>
      <c r="AD82" s="130"/>
      <c r="AE82" s="130"/>
      <c r="AF82" s="130"/>
      <c r="AG82" s="130"/>
      <c r="AH82" s="130"/>
      <c r="AI82" s="130"/>
      <c r="AJ82" s="130"/>
      <c r="AK82" s="130"/>
      <c r="AL82" s="130"/>
      <c r="AM82" s="130"/>
      <c r="AN82" s="130"/>
      <c r="AO82" s="130"/>
      <c r="AP82" s="130"/>
      <c r="AQ82" s="130"/>
      <c r="AR82" s="130"/>
      <c r="AS82" s="130"/>
      <c r="AT82" s="130"/>
    </row>
    <row r="83" spans="1:46">
      <c r="B83" s="177" t="s">
        <v>105</v>
      </c>
      <c r="C83" s="27" t="s">
        <v>44</v>
      </c>
      <c r="D83" s="155">
        <v>0.10173412500000012</v>
      </c>
      <c r="E83" s="155">
        <v>1.43531249999995E-2</v>
      </c>
      <c r="F83" s="30">
        <v>0.25278412500000502</v>
      </c>
      <c r="G83" s="30">
        <v>0.18031950000001001</v>
      </c>
      <c r="H83" s="30">
        <v>0.39640162499999598</v>
      </c>
      <c r="I83" s="30">
        <v>9.3411250000016793E-2</v>
      </c>
      <c r="J83" s="30">
        <v>0.378130249999998</v>
      </c>
      <c r="K83" s="30">
        <v>0.30761512500001198</v>
      </c>
      <c r="L83" s="30">
        <v>0.298945624999988</v>
      </c>
      <c r="M83" s="30">
        <v>0.431232749999992</v>
      </c>
      <c r="N83" s="30">
        <v>0.32271024999999998</v>
      </c>
      <c r="O83" s="30">
        <v>0.208594500000061</v>
      </c>
      <c r="P83" s="30">
        <v>0.446215500000051</v>
      </c>
      <c r="Q83" s="30">
        <v>0.415399749999949</v>
      </c>
      <c r="R83" s="30">
        <v>4.1436000000146578E-2</v>
      </c>
      <c r="S83" s="30">
        <v>0.12624974999994301</v>
      </c>
      <c r="T83" s="30">
        <v>0.22874549999994501</v>
      </c>
      <c r="U83" s="30">
        <v>1.99273750000089E-2</v>
      </c>
      <c r="V83" s="30">
        <v>5.1132249999966503E-2</v>
      </c>
      <c r="W83" s="31">
        <v>0.44327262499996301</v>
      </c>
      <c r="Y83" s="176"/>
      <c r="Z83" s="128"/>
      <c r="AA83" s="129"/>
      <c r="AB83" s="129"/>
      <c r="AC83" s="129"/>
      <c r="AD83" s="129"/>
      <c r="AE83" s="129"/>
      <c r="AF83" s="129"/>
      <c r="AG83" s="129"/>
      <c r="AH83" s="129"/>
      <c r="AI83" s="129"/>
      <c r="AJ83" s="129"/>
      <c r="AK83" s="129"/>
      <c r="AL83" s="129"/>
      <c r="AM83" s="129"/>
      <c r="AN83" s="129"/>
      <c r="AO83" s="129"/>
      <c r="AP83" s="129"/>
      <c r="AQ83" s="129"/>
      <c r="AR83" s="129"/>
      <c r="AS83" s="129"/>
      <c r="AT83" s="129"/>
    </row>
    <row r="84" spans="1:46">
      <c r="B84" s="178"/>
      <c r="C84" s="26" t="s">
        <v>45</v>
      </c>
      <c r="D84" s="103">
        <v>0.16969525000000399</v>
      </c>
      <c r="E84" s="103">
        <v>0.18863799999999001</v>
      </c>
      <c r="F84" s="17">
        <v>0.36320687500000298</v>
      </c>
      <c r="G84" s="17">
        <v>0.21498525000001201</v>
      </c>
      <c r="H84" s="17">
        <v>0.46521249999999298</v>
      </c>
      <c r="I84" s="17">
        <v>0.22037487499999001</v>
      </c>
      <c r="J84" s="17">
        <v>0.44163775000001199</v>
      </c>
      <c r="K84" s="17">
        <v>0.232328625000008</v>
      </c>
      <c r="L84" s="17">
        <v>0.57851137499997696</v>
      </c>
      <c r="M84" s="17">
        <v>0.38166787500000499</v>
      </c>
      <c r="N84" s="17">
        <v>0.139048750000029</v>
      </c>
      <c r="O84" s="17">
        <v>0.27790475000000497</v>
      </c>
      <c r="P84" s="17">
        <v>0.422980124999981</v>
      </c>
      <c r="Q84" s="17">
        <v>0.33221187500004101</v>
      </c>
      <c r="R84" s="17">
        <v>0.51253662499999597</v>
      </c>
      <c r="S84" s="17">
        <v>3.7736499999994101E-2</v>
      </c>
      <c r="T84" s="17">
        <v>4.7927875000027598E-2</v>
      </c>
      <c r="U84" s="17">
        <v>0.24861574999994199</v>
      </c>
      <c r="V84" s="17">
        <v>0.22943737500008901</v>
      </c>
      <c r="W84" s="32">
        <v>0.21941600000008099</v>
      </c>
      <c r="Y84" s="176"/>
      <c r="Z84" s="128"/>
      <c r="AA84" s="129"/>
      <c r="AB84" s="129"/>
      <c r="AC84" s="129"/>
      <c r="AD84" s="129"/>
      <c r="AE84" s="129"/>
      <c r="AF84" s="129"/>
      <c r="AG84" s="129"/>
      <c r="AH84" s="129"/>
      <c r="AI84" s="129"/>
      <c r="AJ84" s="129"/>
      <c r="AK84" s="129"/>
      <c r="AL84" s="129"/>
      <c r="AM84" s="129"/>
      <c r="AN84" s="129"/>
      <c r="AO84" s="129"/>
      <c r="AP84" s="129"/>
      <c r="AQ84" s="129"/>
      <c r="AR84" s="129"/>
      <c r="AS84" s="129"/>
      <c r="AT84" s="129"/>
    </row>
    <row r="85" spans="1:46">
      <c r="B85" s="178"/>
      <c r="C85" s="26" t="s">
        <v>46</v>
      </c>
      <c r="D85" s="103">
        <v>0.29062800000001199</v>
      </c>
      <c r="E85" s="103">
        <v>0.29227862500000901</v>
      </c>
      <c r="F85" s="17">
        <v>0.34248062500000698</v>
      </c>
      <c r="G85" s="17">
        <v>0.14330725000002101</v>
      </c>
      <c r="H85" s="17">
        <v>0.52766499999998495</v>
      </c>
      <c r="I85" s="17">
        <v>0.101268250000004</v>
      </c>
      <c r="J85" s="17">
        <v>0.53712499999997498</v>
      </c>
      <c r="K85" s="17">
        <v>0.23387725000003501</v>
      </c>
      <c r="L85" s="17">
        <v>0.29432937500001799</v>
      </c>
      <c r="M85" s="17">
        <v>0.165738125000018</v>
      </c>
      <c r="N85" s="17">
        <v>0.42702100000002502</v>
      </c>
      <c r="O85" s="17">
        <v>0.32987212500006502</v>
      </c>
      <c r="P85" s="17">
        <v>0.125152374999914</v>
      </c>
      <c r="Q85" s="17">
        <v>0.28642712499998901</v>
      </c>
      <c r="R85" s="17">
        <v>0.30034587500000498</v>
      </c>
      <c r="S85" s="17">
        <v>7.7055125000015295E-2</v>
      </c>
      <c r="T85" s="17">
        <v>0.47142912499998602</v>
      </c>
      <c r="U85" s="17">
        <v>9.7826375000010998E-2</v>
      </c>
      <c r="V85" s="17">
        <v>0.19421725000006501</v>
      </c>
      <c r="W85" s="32">
        <v>8.9555875000087326E-2</v>
      </c>
      <c r="Y85" s="176"/>
      <c r="Z85" s="128"/>
      <c r="AA85" s="129"/>
      <c r="AB85" s="129"/>
      <c r="AC85" s="129"/>
      <c r="AD85" s="129"/>
      <c r="AE85" s="129"/>
      <c r="AF85" s="129"/>
      <c r="AG85" s="129"/>
      <c r="AH85" s="129"/>
      <c r="AI85" s="129"/>
      <c r="AJ85" s="129"/>
      <c r="AK85" s="129"/>
      <c r="AL85" s="129"/>
      <c r="AM85" s="129"/>
      <c r="AN85" s="129"/>
      <c r="AO85" s="129"/>
      <c r="AP85" s="129"/>
      <c r="AQ85" s="129"/>
      <c r="AR85" s="129"/>
      <c r="AS85" s="129"/>
      <c r="AT85" s="129"/>
    </row>
    <row r="86" spans="1:46">
      <c r="B86" s="178"/>
      <c r="C86" s="26" t="s">
        <v>47</v>
      </c>
      <c r="D86" s="103">
        <v>7.0955250000004355E-2</v>
      </c>
      <c r="E86" s="103">
        <v>0.18686975</v>
      </c>
      <c r="F86" s="17">
        <v>0.37836687499996902</v>
      </c>
      <c r="G86" s="17">
        <v>8.4050874999988395E-2</v>
      </c>
      <c r="H86" s="17">
        <v>0.16380962499999899</v>
      </c>
      <c r="I86" s="17">
        <v>6.9751249999825404E-3</v>
      </c>
      <c r="J86" s="17">
        <v>0.31665849999995999</v>
      </c>
      <c r="K86" s="17">
        <v>0.316863249999983</v>
      </c>
      <c r="L86" s="17">
        <v>0.42474599999997098</v>
      </c>
      <c r="M86" s="17">
        <v>0.10586674999999</v>
      </c>
      <c r="N86" s="17">
        <v>0.45728500000001299</v>
      </c>
      <c r="O86" s="17">
        <v>9.8009124999975938E-2</v>
      </c>
      <c r="P86" s="17">
        <v>0.20509637499998201</v>
      </c>
      <c r="Q86" s="17">
        <v>6.19218749999959E-2</v>
      </c>
      <c r="R86" s="17">
        <v>0.51782700000001103</v>
      </c>
      <c r="S86" s="17">
        <v>6.4724500000068019E-2</v>
      </c>
      <c r="T86" s="17">
        <v>0.228856249999978</v>
      </c>
      <c r="U86" s="17">
        <v>0.17670249999997623</v>
      </c>
      <c r="V86" s="17">
        <v>0.16854700000004599</v>
      </c>
      <c r="W86" s="32">
        <v>0.11797362499993369</v>
      </c>
      <c r="Y86" s="176"/>
      <c r="Z86" s="128"/>
      <c r="AA86" s="129"/>
      <c r="AB86" s="129"/>
      <c r="AC86" s="129"/>
      <c r="AD86" s="129"/>
      <c r="AE86" s="129"/>
      <c r="AF86" s="129"/>
      <c r="AG86" s="129"/>
      <c r="AH86" s="129"/>
      <c r="AI86" s="129"/>
      <c r="AJ86" s="129"/>
      <c r="AK86" s="129"/>
      <c r="AL86" s="129"/>
      <c r="AM86" s="129"/>
      <c r="AN86" s="129"/>
      <c r="AO86" s="129"/>
      <c r="AP86" s="129"/>
      <c r="AQ86" s="129"/>
      <c r="AR86" s="129"/>
      <c r="AS86" s="129"/>
      <c r="AT86" s="129"/>
    </row>
    <row r="87" spans="1:46">
      <c r="B87" s="178"/>
      <c r="C87" s="26" t="s">
        <v>48</v>
      </c>
      <c r="D87" s="103">
        <v>0.12488374999999501</v>
      </c>
      <c r="E87" s="103">
        <v>6.9866624999996005E-2</v>
      </c>
      <c r="F87" s="17">
        <v>7.4294624999993203E-2</v>
      </c>
      <c r="G87" s="17">
        <v>0.11998312499999</v>
      </c>
      <c r="H87" s="17">
        <v>0.26766512499997902</v>
      </c>
      <c r="I87" s="17">
        <v>0.17109587499999199</v>
      </c>
      <c r="J87" s="17">
        <v>0.122916249999975</v>
      </c>
      <c r="K87" s="17">
        <v>4.9451000000004797E-2</v>
      </c>
      <c r="L87" s="17">
        <v>0.213938874999997</v>
      </c>
      <c r="M87" s="17">
        <v>0.14999587499997299</v>
      </c>
      <c r="N87" s="17">
        <v>0.30818625000000599</v>
      </c>
      <c r="O87" s="17">
        <v>0.19988224999997301</v>
      </c>
      <c r="P87" s="17">
        <v>0.25867512500002499</v>
      </c>
      <c r="Q87" s="17">
        <v>0.18693550000006098</v>
      </c>
      <c r="R87" s="17">
        <v>8.2598249999932705E-2</v>
      </c>
      <c r="S87" s="17">
        <v>0.41432712499994295</v>
      </c>
      <c r="T87" s="17">
        <v>9.9602500000003105E-2</v>
      </c>
      <c r="U87" s="17">
        <v>7.9696124999941276E-2</v>
      </c>
      <c r="V87" s="17">
        <v>8.525124999999889E-2</v>
      </c>
      <c r="W87" s="32">
        <v>0.33519037500008153</v>
      </c>
      <c r="Y87" s="176"/>
      <c r="Z87" s="128"/>
      <c r="AA87" s="129"/>
      <c r="AB87" s="129"/>
      <c r="AC87" s="129"/>
      <c r="AD87" s="129"/>
      <c r="AE87" s="129"/>
      <c r="AF87" s="129"/>
      <c r="AG87" s="129"/>
      <c r="AH87" s="129"/>
      <c r="AI87" s="129"/>
      <c r="AJ87" s="129"/>
      <c r="AK87" s="129"/>
      <c r="AL87" s="129"/>
      <c r="AM87" s="129"/>
      <c r="AN87" s="129"/>
      <c r="AO87" s="129"/>
      <c r="AP87" s="129"/>
      <c r="AQ87" s="129"/>
      <c r="AR87" s="129"/>
      <c r="AS87" s="129"/>
      <c r="AT87" s="129"/>
    </row>
    <row r="88" spans="1:46" ht="16.5" thickBot="1">
      <c r="B88" s="179"/>
      <c r="C88" s="28" t="s">
        <v>49</v>
      </c>
      <c r="D88" s="104">
        <v>3.4074624999995251E-2</v>
      </c>
      <c r="E88" s="104">
        <v>0.14585325000000199</v>
      </c>
      <c r="F88" s="34">
        <v>0.26540775000000799</v>
      </c>
      <c r="G88" s="34">
        <v>0.171563500000005</v>
      </c>
      <c r="H88" s="34">
        <v>0.51187899999999298</v>
      </c>
      <c r="I88" s="34">
        <v>0.15492462499997828</v>
      </c>
      <c r="J88" s="34">
        <v>0.24966062500001801</v>
      </c>
      <c r="K88" s="34">
        <v>8.8101749999964299E-2</v>
      </c>
      <c r="L88" s="34">
        <v>8.9520375000006397E-2</v>
      </c>
      <c r="M88" s="34">
        <v>0.40749437499999902</v>
      </c>
      <c r="N88" s="34">
        <v>0.164389874999983</v>
      </c>
      <c r="O88" s="34">
        <v>8.645512499998631E-2</v>
      </c>
      <c r="P88" s="34">
        <v>2.6649749999990001E-2</v>
      </c>
      <c r="Q88" s="34">
        <v>0.2207880000000273</v>
      </c>
      <c r="R88" s="34">
        <v>0.109022125000081</v>
      </c>
      <c r="S88" s="34">
        <v>6.64912499996717E-3</v>
      </c>
      <c r="T88" s="34">
        <v>0.236763499999881</v>
      </c>
      <c r="U88" s="34">
        <v>0.16741050000013047</v>
      </c>
      <c r="V88" s="34">
        <v>4.514812500002563E-2</v>
      </c>
      <c r="W88" s="35">
        <v>0.28700975000003837</v>
      </c>
      <c r="Y88" s="176"/>
      <c r="Z88" s="128"/>
      <c r="AA88" s="129"/>
      <c r="AB88" s="129"/>
      <c r="AC88" s="129"/>
      <c r="AD88" s="129"/>
      <c r="AE88" s="129"/>
      <c r="AF88" s="129"/>
      <c r="AG88" s="129"/>
      <c r="AH88" s="129"/>
      <c r="AI88" s="129"/>
      <c r="AJ88" s="129"/>
      <c r="AK88" s="129"/>
      <c r="AL88" s="129"/>
      <c r="AM88" s="129"/>
      <c r="AN88" s="129"/>
      <c r="AO88" s="129"/>
      <c r="AP88" s="129"/>
      <c r="AQ88" s="129"/>
      <c r="AR88" s="129"/>
      <c r="AS88" s="129"/>
      <c r="AT88" s="129"/>
    </row>
    <row r="89" spans="1:46">
      <c r="D89" s="113">
        <f>AVERAGE(D83:D88)</f>
        <v>0.13199516666666844</v>
      </c>
      <c r="E89" s="113">
        <f t="shared" ref="E89:W89" si="0">AVERAGE(E83:E88)</f>
        <v>0.14964322916666609</v>
      </c>
      <c r="F89" s="113">
        <f t="shared" si="0"/>
        <v>0.27942347916666416</v>
      </c>
      <c r="G89" s="113">
        <f t="shared" si="0"/>
        <v>0.1523682500000044</v>
      </c>
      <c r="H89" s="113">
        <f t="shared" si="0"/>
        <v>0.38877214583332415</v>
      </c>
      <c r="I89" s="113">
        <f t="shared" si="0"/>
        <v>0.12467499999999393</v>
      </c>
      <c r="J89" s="113">
        <f t="shared" si="0"/>
        <v>0.34102139583332303</v>
      </c>
      <c r="K89" s="114">
        <f t="shared" si="0"/>
        <v>0.20470616666666785</v>
      </c>
      <c r="L89" s="114">
        <f t="shared" si="0"/>
        <v>0.31666527083332624</v>
      </c>
      <c r="M89" s="114">
        <f t="shared" si="0"/>
        <v>0.27366595833332952</v>
      </c>
      <c r="N89" s="114">
        <f t="shared" si="0"/>
        <v>0.30310685416667599</v>
      </c>
      <c r="O89" s="114">
        <f t="shared" si="0"/>
        <v>0.20011964583334438</v>
      </c>
      <c r="P89" s="114">
        <f t="shared" si="0"/>
        <v>0.24746154166665721</v>
      </c>
      <c r="Q89" s="114">
        <f t="shared" si="0"/>
        <v>0.25061402083334389</v>
      </c>
      <c r="R89" s="114">
        <f t="shared" si="0"/>
        <v>0.26062764583336201</v>
      </c>
      <c r="S89" s="114">
        <f t="shared" si="0"/>
        <v>0.12112368749998842</v>
      </c>
      <c r="T89" s="114">
        <f t="shared" si="0"/>
        <v>0.21888745833330345</v>
      </c>
      <c r="U89" s="114">
        <f t="shared" si="0"/>
        <v>0.13169643750000162</v>
      </c>
      <c r="V89" s="114">
        <f t="shared" si="0"/>
        <v>0.12895554166669851</v>
      </c>
      <c r="W89" s="114">
        <f t="shared" si="0"/>
        <v>0.24873637500003079</v>
      </c>
    </row>
    <row r="90" spans="1:46">
      <c r="E90" s="1"/>
      <c r="F90" s="111"/>
      <c r="G90" s="1"/>
      <c r="I90" s="1"/>
      <c r="J90" s="111"/>
      <c r="K90" s="1"/>
      <c r="M90" s="1"/>
      <c r="O90" s="1"/>
      <c r="P90" s="112"/>
      <c r="Q90" s="1"/>
      <c r="R90" s="1"/>
      <c r="S90" s="1"/>
      <c r="T90" s="1"/>
      <c r="U90" s="1"/>
      <c r="V90" s="1"/>
      <c r="W90" s="1"/>
    </row>
    <row r="91" spans="1:46">
      <c r="E91" s="1"/>
      <c r="P91" s="112"/>
      <c r="Q91" s="1"/>
      <c r="R91" s="1"/>
      <c r="S91" s="1"/>
      <c r="T91" s="1"/>
      <c r="U91" s="1"/>
      <c r="V91" s="1"/>
      <c r="W91" s="1"/>
    </row>
    <row r="92" spans="1:46" s="2" customFormat="1">
      <c r="A92" s="1"/>
      <c r="P92" s="24"/>
      <c r="AB92" s="1"/>
    </row>
    <row r="93" spans="1:46" s="2" customFormat="1">
      <c r="A93" s="1"/>
      <c r="AB93" s="1"/>
    </row>
    <row r="94" spans="1:46">
      <c r="E94" s="1"/>
      <c r="G94" s="1"/>
      <c r="I94" s="1"/>
      <c r="K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spans="1:46" s="93" customFormat="1">
      <c r="B95" s="94"/>
      <c r="E95" s="96"/>
      <c r="G95" s="96"/>
      <c r="I95" s="96"/>
      <c r="K95" s="96"/>
      <c r="L95" s="96"/>
      <c r="M95" s="96"/>
      <c r="N95" s="96"/>
      <c r="O95" s="96"/>
      <c r="P95" s="96"/>
      <c r="Q95" s="96"/>
      <c r="R95" s="96"/>
      <c r="S95" s="96"/>
      <c r="T95" s="96"/>
      <c r="U95" s="96"/>
      <c r="V95" s="96"/>
      <c r="W95" s="96"/>
      <c r="X95" s="96"/>
      <c r="Y95" s="96"/>
      <c r="Z95" s="96"/>
      <c r="AA95" s="96"/>
    </row>
    <row r="96" spans="1:46">
      <c r="B96" s="1" t="s">
        <v>87</v>
      </c>
    </row>
    <row r="98" spans="1:23" ht="18.75" hidden="1" customHeight="1" outlineLevel="1" thickBot="1">
      <c r="D98" s="175" t="s">
        <v>14</v>
      </c>
      <c r="E98" s="175"/>
      <c r="F98" s="175" t="s">
        <v>15</v>
      </c>
      <c r="G98" s="175"/>
      <c r="H98" s="175" t="s">
        <v>16</v>
      </c>
      <c r="I98" s="175"/>
      <c r="J98" s="175" t="s">
        <v>17</v>
      </c>
      <c r="K98" s="175"/>
      <c r="L98" s="175" t="s">
        <v>18</v>
      </c>
      <c r="M98" s="175"/>
      <c r="N98" s="175" t="s">
        <v>19</v>
      </c>
      <c r="O98" s="175"/>
      <c r="P98" s="175" t="s">
        <v>20</v>
      </c>
      <c r="Q98" s="175"/>
      <c r="R98" s="175" t="s">
        <v>21</v>
      </c>
      <c r="S98" s="175"/>
      <c r="T98" s="175" t="s">
        <v>22</v>
      </c>
      <c r="U98" s="175"/>
      <c r="V98" s="175" t="s">
        <v>23</v>
      </c>
      <c r="W98" s="175"/>
    </row>
    <row r="99" spans="1:23" hidden="1" outlineLevel="1">
      <c r="D99" s="138" t="s">
        <v>24</v>
      </c>
      <c r="E99" s="143" t="s">
        <v>25</v>
      </c>
      <c r="F99" s="13" t="s">
        <v>26</v>
      </c>
      <c r="G99" s="14" t="s">
        <v>27</v>
      </c>
      <c r="H99" s="13" t="s">
        <v>28</v>
      </c>
      <c r="I99" s="14" t="s">
        <v>29</v>
      </c>
      <c r="J99" s="13" t="s">
        <v>30</v>
      </c>
      <c r="K99" s="14" t="s">
        <v>31</v>
      </c>
      <c r="L99" s="13" t="s">
        <v>32</v>
      </c>
      <c r="M99" s="14" t="s">
        <v>33</v>
      </c>
      <c r="N99" s="13" t="s">
        <v>34</v>
      </c>
      <c r="O99" s="14" t="s">
        <v>35</v>
      </c>
      <c r="P99" s="13" t="s">
        <v>36</v>
      </c>
      <c r="Q99" s="14" t="s">
        <v>37</v>
      </c>
      <c r="R99" s="13" t="s">
        <v>38</v>
      </c>
      <c r="S99" s="14" t="s">
        <v>39</v>
      </c>
      <c r="T99" s="13" t="s">
        <v>40</v>
      </c>
      <c r="U99" s="14" t="s">
        <v>41</v>
      </c>
      <c r="V99" s="13" t="s">
        <v>42</v>
      </c>
      <c r="W99" s="14" t="s">
        <v>43</v>
      </c>
    </row>
    <row r="100" spans="1:23" hidden="1" outlineLevel="1">
      <c r="A100" s="1">
        <v>2021</v>
      </c>
      <c r="B100" s="170" t="s">
        <v>88</v>
      </c>
      <c r="C100" s="15" t="s">
        <v>44</v>
      </c>
      <c r="D100" s="139">
        <v>0.167538374999992</v>
      </c>
      <c r="E100" s="144">
        <v>0.20373300000000699</v>
      </c>
      <c r="F100" s="17">
        <v>1.1074249999992958E-2</v>
      </c>
      <c r="G100" s="17">
        <v>0.222631374999992</v>
      </c>
      <c r="H100" s="16">
        <v>0.263210500000014</v>
      </c>
      <c r="I100" s="18">
        <v>0.135969249999988</v>
      </c>
      <c r="J100" s="17">
        <v>0.158923375000001</v>
      </c>
      <c r="K100" s="17">
        <v>1.5453999999977E-2</v>
      </c>
      <c r="L100" s="16">
        <v>4.7189250000002403E-2</v>
      </c>
      <c r="M100" s="17">
        <v>0.17983650000002172</v>
      </c>
      <c r="N100" s="17">
        <v>0.16391699999996945</v>
      </c>
      <c r="O100" s="17">
        <v>0.17118099999999004</v>
      </c>
      <c r="P100" s="16">
        <v>0.42559912500001928</v>
      </c>
      <c r="Q100" s="18">
        <v>0.29912162499999795</v>
      </c>
      <c r="R100" s="17">
        <v>3.9975249999997686E-2</v>
      </c>
      <c r="S100" s="17">
        <v>0.65190799999999172</v>
      </c>
      <c r="T100" s="16">
        <v>0.58238700000003973</v>
      </c>
      <c r="U100" s="17">
        <v>0.45292075000003251</v>
      </c>
      <c r="V100" s="17">
        <v>0.7954459999999699</v>
      </c>
      <c r="W100" s="17">
        <v>0.8098730000000387</v>
      </c>
    </row>
    <row r="101" spans="1:23" hidden="1" outlineLevel="1">
      <c r="B101" s="170"/>
      <c r="C101" s="15" t="s">
        <v>45</v>
      </c>
      <c r="D101" s="140">
        <v>7.3265624999990606E-2</v>
      </c>
      <c r="E101" s="144">
        <v>0.38001275000000601</v>
      </c>
      <c r="F101" s="17">
        <v>0.326094749999982</v>
      </c>
      <c r="G101" s="17">
        <v>0.25017650000000902</v>
      </c>
      <c r="H101" s="17">
        <v>7.1400374999967695E-2</v>
      </c>
      <c r="I101" s="17">
        <v>0.14576837499998899</v>
      </c>
      <c r="J101" s="17">
        <v>0.27955325000004899</v>
      </c>
      <c r="K101" s="17">
        <v>0.26894912500000601</v>
      </c>
      <c r="L101" s="17">
        <v>0.44182749999996002</v>
      </c>
      <c r="M101" s="17">
        <v>0.2007096250000302</v>
      </c>
      <c r="N101" s="17">
        <v>0.169699500000036</v>
      </c>
      <c r="O101" s="17">
        <v>0.34461375000000771</v>
      </c>
      <c r="P101" s="17">
        <v>9.0485749999970722E-2</v>
      </c>
      <c r="Q101" s="17">
        <v>1.16769999999633E-2</v>
      </c>
      <c r="R101" s="17">
        <v>0.3357295000000704</v>
      </c>
      <c r="S101" s="17">
        <v>0.34925862500006133</v>
      </c>
      <c r="T101" s="17">
        <v>7.1454249999987951E-2</v>
      </c>
      <c r="U101" s="17">
        <v>4.9116249999940464E-2</v>
      </c>
      <c r="V101" s="17">
        <v>0.17131899999992584</v>
      </c>
      <c r="W101" s="17">
        <v>0.65426499999995258</v>
      </c>
    </row>
    <row r="102" spans="1:23" hidden="1" outlineLevel="1">
      <c r="B102" s="170"/>
      <c r="C102" s="15" t="s">
        <v>46</v>
      </c>
      <c r="D102" s="140">
        <v>0.13796312499999175</v>
      </c>
      <c r="E102" s="144">
        <v>6.7722499999973707E-3</v>
      </c>
      <c r="F102" s="17">
        <v>1.3551125000020647E-2</v>
      </c>
      <c r="G102" s="17">
        <v>3.1087999999996899E-2</v>
      </c>
      <c r="H102" s="17">
        <v>0.279646374999999</v>
      </c>
      <c r="I102" s="17">
        <v>0.31028750000001498</v>
      </c>
      <c r="J102" s="17">
        <v>6.6333000000014408E-2</v>
      </c>
      <c r="K102" s="17">
        <v>0.18832562500000449</v>
      </c>
      <c r="L102" s="17">
        <v>6.6158624999957297E-2</v>
      </c>
      <c r="M102" s="17">
        <v>0.22636224999999399</v>
      </c>
      <c r="N102" s="17">
        <v>0.16702562499995111</v>
      </c>
      <c r="O102" s="17">
        <v>0.131936249999967</v>
      </c>
      <c r="P102" s="17">
        <v>1.34766250000098E-2</v>
      </c>
      <c r="Q102" s="17">
        <v>0.45190649999995003</v>
      </c>
      <c r="R102" s="17">
        <v>0.50371962500003065</v>
      </c>
      <c r="S102" s="17">
        <v>0.2709462500000086</v>
      </c>
      <c r="T102" s="17">
        <v>0.13828124999997726</v>
      </c>
      <c r="U102" s="17">
        <v>0.71252149999997982</v>
      </c>
      <c r="V102" s="17">
        <v>0.56452450000000454</v>
      </c>
      <c r="W102" s="17">
        <v>0.71951350000000502</v>
      </c>
    </row>
    <row r="103" spans="1:23" hidden="1" outlineLevel="1">
      <c r="B103" s="170"/>
      <c r="C103" s="15" t="s">
        <v>47</v>
      </c>
      <c r="D103" s="140">
        <v>0.104466500000001</v>
      </c>
      <c r="E103" s="144">
        <v>0.33893125000000901</v>
      </c>
      <c r="F103" s="17">
        <v>0.410857625000006</v>
      </c>
      <c r="G103" s="17">
        <v>0.12527824999998</v>
      </c>
      <c r="H103" s="17">
        <v>7.6150624999996794E-2</v>
      </c>
      <c r="I103" s="17">
        <v>2.573024999998097E-2</v>
      </c>
      <c r="J103" s="17">
        <v>6.9327874999998998E-2</v>
      </c>
      <c r="K103" s="17">
        <v>4.6416250000334003E-3</v>
      </c>
      <c r="L103" s="17">
        <v>7.1863500000034705E-2</v>
      </c>
      <c r="M103" s="17">
        <v>2.0325750000012022E-2</v>
      </c>
      <c r="N103" s="17">
        <v>0.13947512500004677</v>
      </c>
      <c r="O103" s="17">
        <v>0.10311300000000756</v>
      </c>
      <c r="P103" s="17">
        <v>0.15082237500001838</v>
      </c>
      <c r="Q103" s="17">
        <v>0.22239825000002611</v>
      </c>
      <c r="R103" s="17">
        <v>0.19183512500006827</v>
      </c>
      <c r="S103" s="17">
        <v>0.18003287499999487</v>
      </c>
      <c r="T103" s="17">
        <v>0.17335337500003334</v>
      </c>
      <c r="U103" s="17">
        <v>0.53695999999996502</v>
      </c>
      <c r="V103" s="17">
        <v>0.6320328750000499</v>
      </c>
      <c r="W103" s="17">
        <v>0.38086275000000569</v>
      </c>
    </row>
    <row r="104" spans="1:23" hidden="1" outlineLevel="1">
      <c r="B104" s="170"/>
      <c r="C104" s="15" t="s">
        <v>48</v>
      </c>
      <c r="D104" s="140">
        <v>0.32572487500000602</v>
      </c>
      <c r="E104" s="144">
        <v>0.13263825000000701</v>
      </c>
      <c r="F104" s="17">
        <v>0.233211249999982</v>
      </c>
      <c r="G104" s="17">
        <v>0.143358624999991</v>
      </c>
      <c r="H104" s="17">
        <v>0.12439299999999801</v>
      </c>
      <c r="I104" s="17">
        <v>0.13738875000001399</v>
      </c>
      <c r="J104" s="17">
        <v>1.6544750000008435E-2</v>
      </c>
      <c r="K104" s="17">
        <v>0.109881874999985</v>
      </c>
      <c r="L104" s="17">
        <v>0.19549662500003301</v>
      </c>
      <c r="M104" s="17">
        <v>9.5977500000117288E-3</v>
      </c>
      <c r="N104" s="17">
        <v>0.16982124999998405</v>
      </c>
      <c r="O104" s="17">
        <v>0.31098462499994639</v>
      </c>
      <c r="P104" s="17">
        <v>0.11400249999996959</v>
      </c>
      <c r="Q104" s="17">
        <v>0.50442712500000653</v>
      </c>
      <c r="R104" s="17">
        <v>0.44943162500004519</v>
      </c>
      <c r="S104" s="17">
        <v>0.42609412499996324</v>
      </c>
      <c r="T104" s="17">
        <v>0.23573474999994914</v>
      </c>
      <c r="U104" s="17">
        <v>0.24128400000006422</v>
      </c>
      <c r="V104" s="17">
        <v>0.23312075000001187</v>
      </c>
      <c r="W104" s="17">
        <v>0.64649274999999307</v>
      </c>
    </row>
    <row r="105" spans="1:23" hidden="1" outlineLevel="1">
      <c r="B105" s="170"/>
      <c r="C105" s="15" t="s">
        <v>49</v>
      </c>
      <c r="D105" s="140">
        <v>0.252423000000007</v>
      </c>
      <c r="E105" s="144">
        <v>0.15244924999998899</v>
      </c>
      <c r="F105" s="17">
        <v>0.31774649999999799</v>
      </c>
      <c r="G105" s="17">
        <v>3.8168749999982765E-3</v>
      </c>
      <c r="H105" s="17">
        <v>1.7910999999998001E-2</v>
      </c>
      <c r="I105" s="17">
        <v>0.15922675000001599</v>
      </c>
      <c r="J105" s="17">
        <v>0.29338787500003599</v>
      </c>
      <c r="K105" s="17">
        <v>0.22428362499996979</v>
      </c>
      <c r="L105" s="17">
        <v>0.25311937499995452</v>
      </c>
      <c r="M105" s="17">
        <v>5.6190499999985377E-2</v>
      </c>
      <c r="N105" s="17">
        <v>0.18687312499997688</v>
      </c>
      <c r="O105" s="17">
        <v>0.15644987499996432</v>
      </c>
      <c r="P105" s="17">
        <v>6.9452999999953136E-2</v>
      </c>
      <c r="Q105" s="17">
        <v>3.3184249999976601E-2</v>
      </c>
      <c r="R105" s="17">
        <v>0.1272099999999341</v>
      </c>
      <c r="S105" s="17">
        <v>0.23827600000004168</v>
      </c>
      <c r="T105" s="17">
        <v>0.21404674999996587</v>
      </c>
      <c r="U105" s="17">
        <v>0.40827550000005886</v>
      </c>
      <c r="V105" s="17">
        <v>0.33755349999995587</v>
      </c>
      <c r="W105" s="17">
        <v>0.41949987499998542</v>
      </c>
    </row>
    <row r="106" spans="1:23" hidden="1" outlineLevel="1">
      <c r="A106" s="1">
        <v>2022</v>
      </c>
      <c r="B106" s="171" t="s">
        <v>89</v>
      </c>
      <c r="C106" s="19" t="s">
        <v>44</v>
      </c>
      <c r="D106" s="140">
        <v>1.8570000000011099E-3</v>
      </c>
      <c r="E106" s="144">
        <v>0.31181687500000499</v>
      </c>
      <c r="F106" s="17">
        <v>0.31516387500000997</v>
      </c>
      <c r="G106" s="17">
        <v>0.63070849999998302</v>
      </c>
      <c r="H106" s="17">
        <v>0.139903124999989</v>
      </c>
      <c r="I106" s="17">
        <v>0.23865437500000999</v>
      </c>
      <c r="J106" s="17">
        <v>9.1964499999988902E-2</v>
      </c>
      <c r="K106" s="17">
        <v>0.12706062499995599</v>
      </c>
      <c r="L106" s="17">
        <v>0.16578837500003399</v>
      </c>
      <c r="M106" s="17">
        <v>0.18716637499991901</v>
      </c>
      <c r="N106" s="17">
        <v>9.8284750000061594E-2</v>
      </c>
      <c r="O106" s="17">
        <v>5.5193874999986299E-2</v>
      </c>
      <c r="P106" s="17">
        <v>8.5652999999979329E-2</v>
      </c>
      <c r="Q106" s="17">
        <v>0.179945250000003</v>
      </c>
      <c r="R106" s="17">
        <v>2.4093250000021271E-2</v>
      </c>
      <c r="S106" s="17">
        <v>1.09603750000247E-2</v>
      </c>
      <c r="T106" s="17">
        <v>0.26092462499997282</v>
      </c>
      <c r="U106" s="17">
        <v>0.24218162500000062</v>
      </c>
      <c r="V106" s="17">
        <v>0.37065037499991149</v>
      </c>
      <c r="W106" s="17">
        <v>0.3563121249999881</v>
      </c>
    </row>
    <row r="107" spans="1:23" hidden="1" outlineLevel="1">
      <c r="B107" s="171"/>
      <c r="C107" s="19" t="s">
        <v>45</v>
      </c>
      <c r="D107" s="140">
        <v>7.9897500000001301E-2</v>
      </c>
      <c r="E107" s="144">
        <v>0.36210050000000399</v>
      </c>
      <c r="F107" s="17">
        <v>0.248545000000021</v>
      </c>
      <c r="G107" s="17">
        <v>0.36936325000002102</v>
      </c>
      <c r="H107" s="17">
        <v>0.13049337500001501</v>
      </c>
      <c r="I107" s="17">
        <v>0.17498325000002524</v>
      </c>
      <c r="J107" s="17">
        <v>4.6583249999997599E-2</v>
      </c>
      <c r="K107" s="17">
        <v>0.58486812500001395</v>
      </c>
      <c r="L107" s="17">
        <v>7.4984999999998095E-2</v>
      </c>
      <c r="M107" s="17">
        <v>0.11965175000000272</v>
      </c>
      <c r="N107" s="17">
        <v>0.25577262500002002</v>
      </c>
      <c r="O107" s="17">
        <v>0.70846087499995747</v>
      </c>
      <c r="P107" s="17">
        <v>0.17696949999998399</v>
      </c>
      <c r="Q107" s="17">
        <v>8.8220874999990428E-2</v>
      </c>
      <c r="R107" s="17">
        <v>0.19391899999999401</v>
      </c>
      <c r="S107" s="17">
        <v>2.3519999999734864E-3</v>
      </c>
      <c r="T107" s="17">
        <v>0.12808387499995899</v>
      </c>
      <c r="U107" s="17">
        <v>3.3561249999252141E-3</v>
      </c>
      <c r="V107" s="17">
        <v>0.16003325000002633</v>
      </c>
      <c r="W107" s="17">
        <v>8.6294749999979103E-2</v>
      </c>
    </row>
    <row r="108" spans="1:23" hidden="1" outlineLevel="1">
      <c r="B108" s="171"/>
      <c r="C108" s="19" t="s">
        <v>46</v>
      </c>
      <c r="D108" s="140">
        <v>7.5158750000014193E-2</v>
      </c>
      <c r="E108" s="144">
        <v>7.5161500000007195E-2</v>
      </c>
      <c r="F108" s="17">
        <v>0.14655100000000201</v>
      </c>
      <c r="G108" s="17">
        <v>0.11482687500002001</v>
      </c>
      <c r="H108" s="17">
        <v>0.31623050000001701</v>
      </c>
      <c r="I108" s="17">
        <v>0.22772512499997799</v>
      </c>
      <c r="J108" s="17">
        <v>0.202705499999979</v>
      </c>
      <c r="K108" s="17">
        <v>0.12506024999998999</v>
      </c>
      <c r="L108" s="17">
        <v>6.942112499999098E-2</v>
      </c>
      <c r="M108" s="17">
        <v>0.10924349999999095</v>
      </c>
      <c r="N108" s="17">
        <v>4.2181249999941897E-2</v>
      </c>
      <c r="O108" s="17">
        <v>4.1722374999949352E-2</v>
      </c>
      <c r="P108" s="17">
        <v>1.7499750000013099E-2</v>
      </c>
      <c r="Q108" s="17">
        <v>2.49451250000448E-2</v>
      </c>
      <c r="R108" s="17">
        <v>0.35741312500005051</v>
      </c>
      <c r="S108" s="17">
        <v>0.10919862500009003</v>
      </c>
      <c r="T108" s="17">
        <v>0.51347499999997126</v>
      </c>
      <c r="U108" s="17">
        <v>0.2729927499999576</v>
      </c>
      <c r="V108" s="17">
        <v>0.13074799999998277</v>
      </c>
      <c r="W108" s="17">
        <v>8.5116875000039727E-2</v>
      </c>
    </row>
    <row r="109" spans="1:23" hidden="1" outlineLevel="1">
      <c r="B109" s="171"/>
      <c r="C109" s="19" t="s">
        <v>47</v>
      </c>
      <c r="D109" s="140">
        <v>0.15158374999999999</v>
      </c>
      <c r="E109" s="144">
        <v>1.6721625000002405E-2</v>
      </c>
      <c r="F109" s="17">
        <v>7.5147000000001199E-2</v>
      </c>
      <c r="G109" s="17">
        <v>0.25890600000001002</v>
      </c>
      <c r="H109" s="17">
        <v>6.0960374999979194E-2</v>
      </c>
      <c r="I109" s="17">
        <v>0.35293912500000602</v>
      </c>
      <c r="J109" s="17">
        <v>8.9724625000002306E-2</v>
      </c>
      <c r="K109" s="17">
        <v>1.53133750000052E-2</v>
      </c>
      <c r="L109" s="17">
        <v>1.27507499999808E-2</v>
      </c>
      <c r="M109" s="17">
        <v>0.29924174999999298</v>
      </c>
      <c r="N109" s="17">
        <v>9.1827624999950785E-2</v>
      </c>
      <c r="O109" s="17">
        <v>5.5796249999957581E-3</v>
      </c>
      <c r="P109" s="17">
        <v>0.30546562500001073</v>
      </c>
      <c r="Q109" s="17">
        <v>2.69779999999855E-2</v>
      </c>
      <c r="R109" s="17">
        <v>5.0125999999977466E-2</v>
      </c>
      <c r="S109" s="17">
        <v>0.28543837500001201</v>
      </c>
      <c r="T109" s="17">
        <v>0.25811300000003712</v>
      </c>
      <c r="U109" s="17">
        <v>0.46000312500001428</v>
      </c>
      <c r="V109" s="17">
        <v>3.9468750000025921E-2</v>
      </c>
      <c r="W109" s="17">
        <v>0.50943837500005884</v>
      </c>
    </row>
    <row r="110" spans="1:23" hidden="1" outlineLevel="1">
      <c r="B110" s="171"/>
      <c r="C110" s="19" t="s">
        <v>48</v>
      </c>
      <c r="D110" s="140">
        <v>0.26329074999999602</v>
      </c>
      <c r="E110" s="144">
        <v>7.1670500000010406E-2</v>
      </c>
      <c r="F110" s="17">
        <v>1.85914999999994E-2</v>
      </c>
      <c r="G110" s="17">
        <v>0.18434862499999799</v>
      </c>
      <c r="H110" s="17">
        <v>0.32586449999999401</v>
      </c>
      <c r="I110" s="17">
        <v>8.5152749999991798E-2</v>
      </c>
      <c r="J110" s="17">
        <v>7.1153500000008307E-2</v>
      </c>
      <c r="K110" s="17">
        <v>5.2718375000012002E-2</v>
      </c>
      <c r="L110" s="17">
        <v>0.23399337500001099</v>
      </c>
      <c r="M110" s="17">
        <v>0.19705174999998601</v>
      </c>
      <c r="N110" s="17">
        <v>0.32920487499995943</v>
      </c>
      <c r="O110" s="17">
        <v>4.0627374999985477E-2</v>
      </c>
      <c r="P110" s="17">
        <v>2.1233999999992648E-2</v>
      </c>
      <c r="Q110" s="17">
        <v>0.13822387499993699</v>
      </c>
      <c r="R110" s="17">
        <v>0.15892550000006622</v>
      </c>
      <c r="S110" s="17">
        <v>4.3662000000040301E-2</v>
      </c>
      <c r="T110" s="17">
        <v>0.2026211250000074</v>
      </c>
      <c r="U110" s="17">
        <v>0.17172775000000229</v>
      </c>
      <c r="V110" s="17">
        <v>0.6087773749999883</v>
      </c>
      <c r="W110" s="17">
        <v>0.10492074999996248</v>
      </c>
    </row>
    <row r="111" spans="1:23" hidden="1" outlineLevel="1">
      <c r="B111" s="171"/>
      <c r="C111" s="19" t="s">
        <v>49</v>
      </c>
      <c r="D111" s="140">
        <v>0.16436062499999299</v>
      </c>
      <c r="E111" s="144">
        <v>0.200890125000001</v>
      </c>
      <c r="F111" s="17">
        <v>0.45490137499997702</v>
      </c>
      <c r="G111" s="17">
        <v>0.21202187500001901</v>
      </c>
      <c r="H111" s="17">
        <v>0.29499925000001798</v>
      </c>
      <c r="I111" s="17">
        <v>0.46338074999999901</v>
      </c>
      <c r="J111" s="17">
        <v>1.5147125000027017E-2</v>
      </c>
      <c r="K111" s="17">
        <v>0.257696124999995</v>
      </c>
      <c r="L111" s="17">
        <v>1.5785999999991401E-2</v>
      </c>
      <c r="M111" s="17">
        <v>9.8176250000022947E-2</v>
      </c>
      <c r="N111" s="17">
        <v>9.8853999999960251E-2</v>
      </c>
      <c r="O111" s="17">
        <v>0.12615162499997701</v>
      </c>
      <c r="P111" s="17">
        <v>1.3854999999978201E-2</v>
      </c>
      <c r="Q111" s="17">
        <v>0.2361643749999871</v>
      </c>
      <c r="R111" s="17">
        <v>0.89504562499996609</v>
      </c>
      <c r="S111" s="17">
        <v>0.30275375000007898</v>
      </c>
      <c r="T111" s="17">
        <v>0.26376887500003932</v>
      </c>
      <c r="U111" s="17">
        <v>0.33986862500006509</v>
      </c>
      <c r="V111" s="17">
        <v>0.40086150000001908</v>
      </c>
      <c r="W111" s="17">
        <v>4.894849999999451E-2</v>
      </c>
    </row>
    <row r="112" spans="1:23" hidden="1" outlineLevel="1">
      <c r="A112" s="1">
        <v>2022</v>
      </c>
      <c r="B112" s="172" t="s">
        <v>90</v>
      </c>
      <c r="C112" s="19" t="s">
        <v>44</v>
      </c>
      <c r="D112" s="140">
        <v>0.1820205</v>
      </c>
      <c r="E112" s="144">
        <v>0.216533749999996</v>
      </c>
      <c r="F112" s="17">
        <v>0.29619312499998801</v>
      </c>
      <c r="G112" s="17">
        <v>0.195419000000015</v>
      </c>
      <c r="H112" s="17">
        <v>0.35682737499999501</v>
      </c>
      <c r="I112" s="17">
        <v>6.8439124999997603E-2</v>
      </c>
      <c r="J112" s="17">
        <v>0.24091125000001101</v>
      </c>
      <c r="K112" s="17">
        <v>0.16724824999994301</v>
      </c>
      <c r="L112" s="17">
        <v>6.6513999999983794E-2</v>
      </c>
      <c r="M112" s="17">
        <v>0.439086500000059</v>
      </c>
      <c r="N112" s="17">
        <v>2.09644999999909E-2</v>
      </c>
      <c r="O112" s="17">
        <v>0.18358237500001451</v>
      </c>
      <c r="P112" s="17">
        <v>0.13667949999995699</v>
      </c>
      <c r="Q112" s="17">
        <v>3.604999999993197E-4</v>
      </c>
      <c r="R112" s="17">
        <v>1.9118999999875499E-2</v>
      </c>
      <c r="S112" s="17">
        <v>0.12894637499994099</v>
      </c>
      <c r="T112" s="17">
        <v>0.28177000000005098</v>
      </c>
      <c r="U112" s="17">
        <v>0.30871962499998062</v>
      </c>
      <c r="V112" s="17">
        <v>1.28302500000927E-2</v>
      </c>
      <c r="W112" s="17">
        <v>0.24372500000009722</v>
      </c>
    </row>
    <row r="113" spans="1:23" hidden="1" outlineLevel="1">
      <c r="B113" s="173"/>
      <c r="C113" s="19" t="s">
        <v>45</v>
      </c>
      <c r="D113" s="140">
        <v>0.266555875000002</v>
      </c>
      <c r="E113" s="144">
        <v>0.253847125000007</v>
      </c>
      <c r="F113" s="17">
        <v>3.2692375000010501E-2</v>
      </c>
      <c r="G113" s="17">
        <v>0.51032200000001604</v>
      </c>
      <c r="H113" s="17">
        <v>4.4297500000027412E-2</v>
      </c>
      <c r="I113" s="17">
        <v>0.21523024999999052</v>
      </c>
      <c r="J113" s="17">
        <v>0.29467612499999501</v>
      </c>
      <c r="K113" s="17">
        <v>8.4630250000003598E-2</v>
      </c>
      <c r="L113" s="17">
        <v>8.3776749999969993E-2</v>
      </c>
      <c r="M113" s="17">
        <v>0.205717375000006</v>
      </c>
      <c r="N113" s="17">
        <v>2.6001124999993401E-2</v>
      </c>
      <c r="O113" s="17">
        <v>0.11370649999992111</v>
      </c>
      <c r="P113" s="17">
        <v>6.5825375000088115E-2</v>
      </c>
      <c r="Q113" s="17">
        <v>3.9404250000075081E-2</v>
      </c>
      <c r="R113" s="17">
        <v>1.3913500000001022E-2</v>
      </c>
      <c r="S113" s="17">
        <v>0.19989150000003519</v>
      </c>
      <c r="T113" s="17">
        <v>4.70590000001039E-2</v>
      </c>
      <c r="U113" s="17">
        <v>0.16058574999993899</v>
      </c>
      <c r="V113" s="17">
        <v>0.40081237499998679</v>
      </c>
      <c r="W113" s="17">
        <v>0.150206124999954</v>
      </c>
    </row>
    <row r="114" spans="1:23" hidden="1" outlineLevel="1">
      <c r="B114" s="173"/>
      <c r="C114" s="19" t="s">
        <v>46</v>
      </c>
      <c r="D114" s="140">
        <v>0.34138612499999998</v>
      </c>
      <c r="E114" s="144">
        <v>0.147756749999992</v>
      </c>
      <c r="F114" s="17">
        <v>0.119598124999996</v>
      </c>
      <c r="G114" s="17">
        <v>0.27776025000001425</v>
      </c>
      <c r="H114" s="17">
        <v>2.4226750000025301E-2</v>
      </c>
      <c r="I114" s="17">
        <v>4.9346374999998902E-2</v>
      </c>
      <c r="J114" s="17">
        <v>0.46455749999998402</v>
      </c>
      <c r="K114" s="17">
        <v>6.6519374999984393E-2</v>
      </c>
      <c r="L114" s="17">
        <v>0.33434549999998397</v>
      </c>
      <c r="M114" s="17">
        <v>0.13660550000000171</v>
      </c>
      <c r="N114" s="17">
        <v>1.9832875000020098E-2</v>
      </c>
      <c r="O114" s="17">
        <v>0.44217187500009913</v>
      </c>
      <c r="P114" s="17">
        <v>3.5951250000039181E-2</v>
      </c>
      <c r="Q114" s="17">
        <v>3.1391124999970502E-2</v>
      </c>
      <c r="R114" s="17">
        <v>6.1819624999941397E-2</v>
      </c>
      <c r="S114" s="17">
        <v>0.20990674999995917</v>
      </c>
      <c r="T114" s="17">
        <v>5.1158749999444808E-3</v>
      </c>
      <c r="U114" s="17">
        <v>0.79144849999988764</v>
      </c>
      <c r="V114" s="17">
        <v>2.2568750000004901E-2</v>
      </c>
      <c r="W114" s="17">
        <v>5.4387250000047516E-2</v>
      </c>
    </row>
    <row r="115" spans="1:23" hidden="1" outlineLevel="1">
      <c r="B115" s="173"/>
      <c r="C115" s="19" t="s">
        <v>47</v>
      </c>
      <c r="D115" s="140">
        <v>8.6714374999999705E-2</v>
      </c>
      <c r="E115" s="144">
        <v>0.274650375</v>
      </c>
      <c r="F115" s="17">
        <v>0.29960374999997402</v>
      </c>
      <c r="G115" s="17">
        <v>0.26087649999999502</v>
      </c>
      <c r="H115" s="17">
        <v>0.222188625000001</v>
      </c>
      <c r="I115" s="17">
        <v>2.9150125000057869E-2</v>
      </c>
      <c r="J115" s="17">
        <v>5.3050124999970201E-2</v>
      </c>
      <c r="K115" s="17">
        <v>3.5424999998667772E-4</v>
      </c>
      <c r="L115" s="17">
        <v>0.35442800000001301</v>
      </c>
      <c r="M115" s="17">
        <v>0.14324100000001749</v>
      </c>
      <c r="N115" s="17">
        <v>0.18064212499996299</v>
      </c>
      <c r="O115" s="17">
        <v>0.77867437499998005</v>
      </c>
      <c r="P115" s="17">
        <v>0.12749074999999299</v>
      </c>
      <c r="Q115" s="17">
        <v>0.10578462499995567</v>
      </c>
      <c r="R115" s="17">
        <v>0.14048574999998201</v>
      </c>
      <c r="S115" s="17">
        <v>0.39897325000004003</v>
      </c>
      <c r="T115" s="17">
        <v>3.0199999997648801E-4</v>
      </c>
      <c r="U115" s="17">
        <v>0.59577750000005381</v>
      </c>
      <c r="V115" s="17">
        <v>0.19210450000002766</v>
      </c>
      <c r="W115" s="17">
        <v>0.71539537500001416</v>
      </c>
    </row>
    <row r="116" spans="1:23" hidden="1" outlineLevel="1">
      <c r="B116" s="173"/>
      <c r="C116" s="19" t="s">
        <v>48</v>
      </c>
      <c r="D116" s="140">
        <v>0.176309875000008</v>
      </c>
      <c r="E116" s="144">
        <v>8.599950000000689E-2</v>
      </c>
      <c r="F116" s="17">
        <v>0.123232125000001</v>
      </c>
      <c r="G116" s="17">
        <v>0.16662112500000603</v>
      </c>
      <c r="H116" s="17">
        <v>0.127732874999992</v>
      </c>
      <c r="I116" s="17">
        <v>8.1994500000007506E-2</v>
      </c>
      <c r="J116" s="17">
        <v>1.8924999999995862E-2</v>
      </c>
      <c r="K116" s="17">
        <v>9.0620000000285472E-3</v>
      </c>
      <c r="L116" s="17">
        <v>4.1260375000035765E-2</v>
      </c>
      <c r="M116" s="17">
        <v>3.2709124999968253E-2</v>
      </c>
      <c r="N116" s="17">
        <v>0.20759787500003299</v>
      </c>
      <c r="O116" s="17">
        <v>6.0803250000049047E-2</v>
      </c>
      <c r="P116" s="17">
        <v>0.28360150000003159</v>
      </c>
      <c r="Q116" s="17">
        <v>0.15651437499997201</v>
      </c>
      <c r="R116" s="17">
        <v>0.10845900000003894</v>
      </c>
      <c r="S116" s="17">
        <v>0.53264412499993341</v>
      </c>
      <c r="T116" s="17">
        <v>0.13952812499991296</v>
      </c>
      <c r="U116" s="17">
        <v>0.31450262499993187</v>
      </c>
      <c r="V116" s="17">
        <v>6.0010250000004803E-2</v>
      </c>
      <c r="W116" s="17">
        <v>0.11467475000000604</v>
      </c>
    </row>
    <row r="117" spans="1:23" hidden="1" outlineLevel="1">
      <c r="B117" s="174"/>
      <c r="C117" s="19" t="s">
        <v>49</v>
      </c>
      <c r="D117" s="140">
        <v>0.34228362499999998</v>
      </c>
      <c r="E117" s="144">
        <v>7.3718749999983402E-2</v>
      </c>
      <c r="F117" s="17">
        <v>0.11375925000001499</v>
      </c>
      <c r="G117" s="17">
        <v>0.24971312499999954</v>
      </c>
      <c r="H117" s="17">
        <v>0.53907849999998803</v>
      </c>
      <c r="I117" s="17">
        <v>9.5211375000019402E-2</v>
      </c>
      <c r="J117" s="17">
        <v>0.19643125000004599</v>
      </c>
      <c r="K117" s="17">
        <v>5.2230499999978974E-2</v>
      </c>
      <c r="L117" s="17">
        <v>0.174101249999978</v>
      </c>
      <c r="M117" s="17">
        <v>9.6599750000024187E-2</v>
      </c>
      <c r="N117" s="17">
        <v>0.117669250000006</v>
      </c>
      <c r="O117" s="17">
        <v>0.33219412500000089</v>
      </c>
      <c r="P117" s="17">
        <v>3.1791625000039403E-2</v>
      </c>
      <c r="Q117" s="17">
        <v>0.49108325000003106</v>
      </c>
      <c r="R117" s="17">
        <v>1.4080375000105505E-2</v>
      </c>
      <c r="S117" s="17">
        <v>0.55280199999998558</v>
      </c>
      <c r="T117" s="17">
        <v>0.22448575000004212</v>
      </c>
      <c r="U117" s="17">
        <v>0.65890887500000872</v>
      </c>
      <c r="V117" s="17">
        <v>0.29512775000006303</v>
      </c>
      <c r="W117" s="17">
        <v>0.86989750000003596</v>
      </c>
    </row>
    <row r="118" spans="1:23" hidden="1" outlineLevel="1">
      <c r="A118" s="1">
        <v>2022</v>
      </c>
      <c r="B118" s="180" t="s">
        <v>50</v>
      </c>
      <c r="C118" s="19" t="s">
        <v>44</v>
      </c>
      <c r="D118" s="140">
        <v>0.22165162500000701</v>
      </c>
      <c r="E118" s="144">
        <v>6.0752000000000805E-2</v>
      </c>
      <c r="F118" s="17">
        <v>0.100065375</v>
      </c>
      <c r="G118" s="17">
        <v>4.8861000000002298E-2</v>
      </c>
      <c r="H118" s="17">
        <v>0.218476125000024</v>
      </c>
      <c r="I118" s="17">
        <v>0.10277837500001397</v>
      </c>
      <c r="J118" s="17">
        <v>0.319080250000013</v>
      </c>
      <c r="K118" s="17">
        <v>0.1040475000000356</v>
      </c>
      <c r="L118" s="17">
        <v>6.1314624999965872E-2</v>
      </c>
      <c r="M118" s="17">
        <v>7.3534875000007105E-2</v>
      </c>
      <c r="N118" s="17">
        <v>0.100532624999971</v>
      </c>
      <c r="O118" s="17">
        <v>0.32141712499998221</v>
      </c>
      <c r="P118" s="17">
        <v>5.9487499999590909E-3</v>
      </c>
      <c r="Q118" s="17">
        <v>0.38354062499996644</v>
      </c>
      <c r="R118" s="17">
        <v>0.19878412499991782</v>
      </c>
      <c r="S118" s="17">
        <v>0.36765249999996286</v>
      </c>
      <c r="T118" s="17">
        <v>0.17278887499992379</v>
      </c>
      <c r="U118" s="17">
        <v>0.45113487499997973</v>
      </c>
      <c r="V118" s="17">
        <v>0.29295274999998355</v>
      </c>
      <c r="W118" s="17">
        <v>0.85250174999998762</v>
      </c>
    </row>
    <row r="119" spans="1:23" hidden="1" outlineLevel="1">
      <c r="B119" s="180"/>
      <c r="C119" s="19" t="s">
        <v>45</v>
      </c>
      <c r="D119" s="140">
        <v>0.35614675000000801</v>
      </c>
      <c r="E119" s="144">
        <v>0.24848500000000201</v>
      </c>
      <c r="F119" s="17">
        <v>0.208103124999994</v>
      </c>
      <c r="G119" s="17">
        <v>3.4447625000012701E-2</v>
      </c>
      <c r="H119" s="17">
        <v>1.7742999999967399E-2</v>
      </c>
      <c r="I119" s="17">
        <v>2.6851875000033942E-2</v>
      </c>
      <c r="J119" s="17">
        <v>1.18282500000362E-2</v>
      </c>
      <c r="K119" s="17">
        <v>1.7499624999999241E-2</v>
      </c>
      <c r="L119" s="17">
        <v>0.15635724999995659</v>
      </c>
      <c r="M119" s="17">
        <v>1.8327250000055528E-2</v>
      </c>
      <c r="N119" s="17">
        <v>0.12055800000001682</v>
      </c>
      <c r="O119" s="17">
        <v>0.4725016250000067</v>
      </c>
      <c r="P119" s="17">
        <v>0.332456250000007</v>
      </c>
      <c r="Q119" s="17">
        <v>0.57799200000005158</v>
      </c>
      <c r="R119" s="17">
        <v>0.42812075000006189</v>
      </c>
      <c r="S119" s="17">
        <v>0.29253612500002646</v>
      </c>
      <c r="T119" s="17">
        <v>0.48127137499989203</v>
      </c>
      <c r="U119" s="17">
        <v>0.66271325000002435</v>
      </c>
      <c r="V119" s="17">
        <v>0.5689081250000072</v>
      </c>
      <c r="W119" s="17">
        <v>0.6908923749999758</v>
      </c>
    </row>
    <row r="120" spans="1:23" hidden="1" outlineLevel="1">
      <c r="B120" s="180"/>
      <c r="C120" s="19" t="s">
        <v>46</v>
      </c>
      <c r="D120" s="140">
        <v>0.29506824999999998</v>
      </c>
      <c r="E120" s="144">
        <v>6.0062375000008203E-2</v>
      </c>
      <c r="F120" s="17">
        <v>0.160754874999995</v>
      </c>
      <c r="G120" s="17">
        <v>0.119844125</v>
      </c>
      <c r="H120" s="17">
        <v>2.7812499999981801E-3</v>
      </c>
      <c r="I120" s="17">
        <v>0.20607624999999499</v>
      </c>
      <c r="J120" s="17">
        <v>0.10190237500000876</v>
      </c>
      <c r="K120" s="17">
        <v>0.20777624999996647</v>
      </c>
      <c r="L120" s="17">
        <v>0.22746662500000525</v>
      </c>
      <c r="M120" s="17">
        <v>5.3296375000002172E-2</v>
      </c>
      <c r="N120" s="17">
        <v>0.49262824999993882</v>
      </c>
      <c r="O120" s="17">
        <v>0.56019537499997796</v>
      </c>
      <c r="P120" s="17">
        <v>0.3213804999999752</v>
      </c>
      <c r="Q120" s="17">
        <v>0.39535412499998301</v>
      </c>
      <c r="R120" s="17">
        <v>0.45656050000002324</v>
      </c>
      <c r="S120" s="17">
        <v>0.84402212499998086</v>
      </c>
      <c r="T120" s="17">
        <v>0.44734599999998181</v>
      </c>
      <c r="U120" s="17">
        <v>0.94872737499991899</v>
      </c>
      <c r="V120" s="17">
        <v>0.52019062499988422</v>
      </c>
      <c r="W120" s="17">
        <v>0.88580537499990442</v>
      </c>
    </row>
    <row r="121" spans="1:23" hidden="1" outlineLevel="1">
      <c r="B121" s="180"/>
      <c r="C121" s="19" t="s">
        <v>47</v>
      </c>
      <c r="D121" s="140">
        <v>0.123073374999997</v>
      </c>
      <c r="E121" s="144">
        <v>2.5383125000004725E-2</v>
      </c>
      <c r="F121" s="17">
        <v>0.12922462499999199</v>
      </c>
      <c r="G121" s="17">
        <v>0.20359312499998339</v>
      </c>
      <c r="H121" s="17">
        <v>3.4352624999996799E-2</v>
      </c>
      <c r="I121" s="17">
        <v>2.3873000000008915E-2</v>
      </c>
      <c r="J121" s="17">
        <v>8.8335749999998797E-2</v>
      </c>
      <c r="K121" s="17">
        <v>0.45911887500000148</v>
      </c>
      <c r="L121" s="17">
        <v>0.113494875000015</v>
      </c>
      <c r="M121" s="17">
        <v>0.20231799999999112</v>
      </c>
      <c r="N121" s="17">
        <v>0.22085924999998952</v>
      </c>
      <c r="O121" s="17">
        <v>0.61811150000005455</v>
      </c>
      <c r="P121" s="17">
        <v>0.47857662499995968</v>
      </c>
      <c r="Q121" s="17">
        <v>0.5034512500000119</v>
      </c>
      <c r="R121" s="17">
        <v>0.15203474999998434</v>
      </c>
      <c r="S121" s="17">
        <v>0.68774799999999914</v>
      </c>
      <c r="T121" s="17">
        <v>0.52596987500004388</v>
      </c>
      <c r="U121" s="17">
        <v>0.94804637499998989</v>
      </c>
      <c r="V121" s="17">
        <v>0.7849878749998993</v>
      </c>
      <c r="W121" s="17">
        <v>0.86744650000002821</v>
      </c>
    </row>
    <row r="122" spans="1:23" hidden="1" outlineLevel="1">
      <c r="B122" s="180"/>
      <c r="C122" s="19" t="s">
        <v>48</v>
      </c>
      <c r="D122" s="140">
        <v>4.103399999999624E-2</v>
      </c>
      <c r="E122" s="144">
        <v>8.6094249999995001E-2</v>
      </c>
      <c r="F122" s="17">
        <v>7.95522499999919E-2</v>
      </c>
      <c r="G122" s="17">
        <v>4.03405000000134E-2</v>
      </c>
      <c r="H122" s="17">
        <v>0.21206674999999101</v>
      </c>
      <c r="I122" s="17">
        <v>0.16459787499999834</v>
      </c>
      <c r="J122" s="17">
        <v>0.20496349999996299</v>
      </c>
      <c r="K122" s="17">
        <v>0.24719262499993988</v>
      </c>
      <c r="L122" s="17">
        <v>2.6454125000014983E-2</v>
      </c>
      <c r="M122" s="17">
        <v>3.3840249999997199E-2</v>
      </c>
      <c r="N122" s="17">
        <v>0.32452975000001061</v>
      </c>
      <c r="O122" s="17">
        <v>0.36056924999996909</v>
      </c>
      <c r="P122" s="17">
        <v>0.29090362499999856</v>
      </c>
      <c r="Q122" s="17">
        <v>0.49793900000003077</v>
      </c>
      <c r="R122" s="17">
        <v>0.12628050000000712</v>
      </c>
      <c r="S122" s="17">
        <v>0.59727212499996085</v>
      </c>
      <c r="T122" s="17">
        <v>0.46320750000000999</v>
      </c>
      <c r="U122" s="17">
        <v>0.58423824999999852</v>
      </c>
      <c r="V122" s="17">
        <v>0.57974612500004241</v>
      </c>
      <c r="W122" s="17">
        <v>0.94061500000003662</v>
      </c>
    </row>
    <row r="123" spans="1:23" ht="16.5" hidden="1" outlineLevel="1" thickBot="1">
      <c r="B123" s="180"/>
      <c r="C123" s="19" t="s">
        <v>49</v>
      </c>
      <c r="D123" s="140">
        <v>0.10756900000000513</v>
      </c>
      <c r="E123" s="144">
        <v>0.16345612499999618</v>
      </c>
      <c r="F123" s="17">
        <v>0.185793249999989</v>
      </c>
      <c r="G123" s="17">
        <v>8.4281625000016902E-2</v>
      </c>
      <c r="H123" s="17">
        <v>0.15090200000000209</v>
      </c>
      <c r="I123" s="17">
        <v>3.1547999999986601E-2</v>
      </c>
      <c r="J123" s="17">
        <v>6.8307749999973993E-2</v>
      </c>
      <c r="K123" s="17">
        <v>6.6515000000038071E-2</v>
      </c>
      <c r="L123" s="17">
        <v>0.21581412500000852</v>
      </c>
      <c r="M123" s="17">
        <v>0.25728387500001304</v>
      </c>
      <c r="N123" s="17">
        <v>0.128905374999988</v>
      </c>
      <c r="O123" s="17">
        <v>0.22221050000007381</v>
      </c>
      <c r="P123" s="17">
        <v>0.14066612499999565</v>
      </c>
      <c r="Q123" s="17">
        <v>0.48262212500009127</v>
      </c>
      <c r="R123" s="17">
        <v>0.2184025000000247</v>
      </c>
      <c r="S123" s="17">
        <v>0.47741474999992306</v>
      </c>
      <c r="T123" s="17">
        <v>0.43496712500001422</v>
      </c>
      <c r="U123" s="17">
        <v>0.7790113750000387</v>
      </c>
      <c r="V123" s="17">
        <v>0.2017937499999789</v>
      </c>
      <c r="W123" s="17">
        <v>0.73006399999997029</v>
      </c>
    </row>
    <row r="124" spans="1:23" hidden="1" outlineLevel="1">
      <c r="B124" s="177" t="s">
        <v>105</v>
      </c>
      <c r="C124" s="27" t="s">
        <v>44</v>
      </c>
      <c r="D124" s="141">
        <v>0.10173412500000012</v>
      </c>
      <c r="E124" s="145">
        <v>1.43531249999995E-2</v>
      </c>
      <c r="F124" s="30">
        <v>0.25278412500000502</v>
      </c>
      <c r="G124" s="30">
        <v>0.18031950000001001</v>
      </c>
      <c r="H124" s="30">
        <v>0.39640162499999598</v>
      </c>
      <c r="I124" s="30">
        <v>9.3411250000016793E-2</v>
      </c>
      <c r="J124" s="30">
        <v>0.378130249999998</v>
      </c>
      <c r="K124" s="30">
        <v>0.30761512500001198</v>
      </c>
      <c r="L124" s="30">
        <v>0.298945624999988</v>
      </c>
      <c r="M124" s="30">
        <v>0.431232749999992</v>
      </c>
      <c r="N124" s="30">
        <v>0.32271024999999998</v>
      </c>
      <c r="O124" s="30">
        <v>0.208594500000061</v>
      </c>
      <c r="P124" s="30">
        <v>0.446215500000051</v>
      </c>
      <c r="Q124" s="30">
        <v>0.415399749999949</v>
      </c>
      <c r="R124" s="30">
        <v>4.1436000000146578E-2</v>
      </c>
      <c r="S124" s="30">
        <v>0.12624974999994301</v>
      </c>
      <c r="T124" s="30">
        <v>0.22874549999994501</v>
      </c>
      <c r="U124" s="30">
        <v>1.99273750000089E-2</v>
      </c>
      <c r="V124" s="30">
        <v>5.1132249999966503E-2</v>
      </c>
      <c r="W124" s="31">
        <v>0.44327262499996301</v>
      </c>
    </row>
    <row r="125" spans="1:23" hidden="1" outlineLevel="1">
      <c r="A125" s="1">
        <v>2023</v>
      </c>
      <c r="B125" s="178"/>
      <c r="C125" s="26" t="s">
        <v>45</v>
      </c>
      <c r="D125" s="140">
        <v>0.16969525000000399</v>
      </c>
      <c r="E125" s="144">
        <v>0.18863799999999001</v>
      </c>
      <c r="F125" s="17">
        <v>0.36320687500000298</v>
      </c>
      <c r="G125" s="17">
        <v>0.21498525000001201</v>
      </c>
      <c r="H125" s="17">
        <v>0.46521249999999298</v>
      </c>
      <c r="I125" s="17">
        <v>0.22037487499999001</v>
      </c>
      <c r="J125" s="17">
        <v>0.44163775000001199</v>
      </c>
      <c r="K125" s="17">
        <v>0.232328625000008</v>
      </c>
      <c r="L125" s="17">
        <v>0.57851137499997696</v>
      </c>
      <c r="M125" s="17">
        <v>0.38166787500000499</v>
      </c>
      <c r="N125" s="17">
        <v>0.139048750000029</v>
      </c>
      <c r="O125" s="17">
        <v>0.27790475000000497</v>
      </c>
      <c r="P125" s="17">
        <v>0.422980124999981</v>
      </c>
      <c r="Q125" s="17">
        <v>0.33221187500004101</v>
      </c>
      <c r="R125" s="17">
        <v>0.51253662499999597</v>
      </c>
      <c r="S125" s="17">
        <v>3.7736499999994101E-2</v>
      </c>
      <c r="T125" s="17">
        <v>4.7927875000027598E-2</v>
      </c>
      <c r="U125" s="17">
        <v>0.24861574999994199</v>
      </c>
      <c r="V125" s="17">
        <v>0.22943737500008901</v>
      </c>
      <c r="W125" s="32">
        <v>0.21941600000008099</v>
      </c>
    </row>
    <row r="126" spans="1:23" hidden="1" outlineLevel="1">
      <c r="B126" s="178"/>
      <c r="C126" s="26" t="s">
        <v>46</v>
      </c>
      <c r="D126" s="140">
        <v>0.29062800000001199</v>
      </c>
      <c r="E126" s="144">
        <v>0.29227862500000901</v>
      </c>
      <c r="F126" s="17">
        <v>0.34248062500000698</v>
      </c>
      <c r="G126" s="17">
        <v>0.14330725000002101</v>
      </c>
      <c r="H126" s="17">
        <v>0.52766499999998495</v>
      </c>
      <c r="I126" s="17">
        <v>0.101268250000004</v>
      </c>
      <c r="J126" s="17">
        <v>0.53712499999997498</v>
      </c>
      <c r="K126" s="17">
        <v>0.23387725000003501</v>
      </c>
      <c r="L126" s="17">
        <v>0.29432937500001799</v>
      </c>
      <c r="M126" s="17">
        <v>0.165738125000018</v>
      </c>
      <c r="N126" s="17">
        <v>0.42702100000002502</v>
      </c>
      <c r="O126" s="17">
        <v>0.32987212500006502</v>
      </c>
      <c r="P126" s="17">
        <v>0.125152374999914</v>
      </c>
      <c r="Q126" s="17">
        <v>0.28642712499998901</v>
      </c>
      <c r="R126" s="17">
        <v>0.30034587500000498</v>
      </c>
      <c r="S126" s="17">
        <v>7.7055125000015295E-2</v>
      </c>
      <c r="T126" s="17">
        <v>0.47142912499998602</v>
      </c>
      <c r="U126" s="17">
        <v>9.7826375000010998E-2</v>
      </c>
      <c r="V126" s="17">
        <v>0.19421725000006501</v>
      </c>
      <c r="W126" s="32">
        <v>8.9555875000087326E-2</v>
      </c>
    </row>
    <row r="127" spans="1:23" hidden="1" outlineLevel="1">
      <c r="B127" s="178"/>
      <c r="C127" s="26" t="s">
        <v>47</v>
      </c>
      <c r="D127" s="140">
        <v>7.0955250000004355E-2</v>
      </c>
      <c r="E127" s="144">
        <v>0.18686975</v>
      </c>
      <c r="F127" s="17">
        <v>0.37836687499996902</v>
      </c>
      <c r="G127" s="17">
        <v>8.4050874999988395E-2</v>
      </c>
      <c r="H127" s="17">
        <v>0.16380962499999899</v>
      </c>
      <c r="I127" s="17">
        <v>6.9751249999825404E-3</v>
      </c>
      <c r="J127" s="17">
        <v>0.31665849999995999</v>
      </c>
      <c r="K127" s="17">
        <v>0.316863249999983</v>
      </c>
      <c r="L127" s="17">
        <v>0.42474599999997098</v>
      </c>
      <c r="M127" s="17">
        <v>0.10586674999999</v>
      </c>
      <c r="N127" s="17">
        <v>0.45728500000001299</v>
      </c>
      <c r="O127" s="17">
        <v>9.8009124999975938E-2</v>
      </c>
      <c r="P127" s="17">
        <v>0.20509637499998201</v>
      </c>
      <c r="Q127" s="17">
        <v>6.19218749999959E-2</v>
      </c>
      <c r="R127" s="17">
        <v>0.51782700000001103</v>
      </c>
      <c r="S127" s="17">
        <v>6.4724500000068019E-2</v>
      </c>
      <c r="T127" s="17">
        <v>0.228856249999978</v>
      </c>
      <c r="U127" s="17">
        <v>0.17670249999997623</v>
      </c>
      <c r="V127" s="17">
        <v>0.16854700000004599</v>
      </c>
      <c r="W127" s="32">
        <v>0.11797362499993369</v>
      </c>
    </row>
    <row r="128" spans="1:23" hidden="1" outlineLevel="1">
      <c r="B128" s="178"/>
      <c r="C128" s="26" t="s">
        <v>48</v>
      </c>
      <c r="D128" s="140">
        <v>0.12488374999999501</v>
      </c>
      <c r="E128" s="144">
        <v>6.9866624999996005E-2</v>
      </c>
      <c r="F128" s="17">
        <v>7.4294624999993203E-2</v>
      </c>
      <c r="G128" s="17">
        <v>0.11998312499999</v>
      </c>
      <c r="H128" s="17">
        <v>0.26766512499997902</v>
      </c>
      <c r="I128" s="17">
        <v>0.17109587499999199</v>
      </c>
      <c r="J128" s="17">
        <v>0.122916249999975</v>
      </c>
      <c r="K128" s="17">
        <v>4.9451000000004797E-2</v>
      </c>
      <c r="L128" s="17">
        <v>0.213938874999997</v>
      </c>
      <c r="M128" s="17">
        <v>0.14999587499997299</v>
      </c>
      <c r="N128" s="17">
        <v>0.30818625000000599</v>
      </c>
      <c r="O128" s="17">
        <v>0.19988224999997301</v>
      </c>
      <c r="P128" s="17">
        <v>0.25867512500002499</v>
      </c>
      <c r="Q128" s="17">
        <v>0.18693550000006098</v>
      </c>
      <c r="R128" s="17">
        <v>8.2598249999932705E-2</v>
      </c>
      <c r="S128" s="17">
        <v>0.41432712499994295</v>
      </c>
      <c r="T128" s="17">
        <v>9.9602500000003105E-2</v>
      </c>
      <c r="U128" s="17">
        <v>7.9696124999941276E-2</v>
      </c>
      <c r="V128" s="17">
        <v>8.525124999999889E-2</v>
      </c>
      <c r="W128" s="32">
        <v>0.33519037500008153</v>
      </c>
    </row>
    <row r="129" spans="2:27" ht="16.5" hidden="1" outlineLevel="1" thickBot="1">
      <c r="B129" s="179"/>
      <c r="C129" s="28" t="s">
        <v>49</v>
      </c>
      <c r="D129" s="142">
        <v>3.4074624999995251E-2</v>
      </c>
      <c r="E129" s="146">
        <v>0.14585325000000199</v>
      </c>
      <c r="F129" s="34">
        <v>0.26540775000000799</v>
      </c>
      <c r="G129" s="34">
        <v>0.171563500000005</v>
      </c>
      <c r="H129" s="34">
        <v>0.51187899999999298</v>
      </c>
      <c r="I129" s="34">
        <v>0.15492462499997828</v>
      </c>
      <c r="J129" s="34">
        <v>0.24966062500001801</v>
      </c>
      <c r="K129" s="34">
        <v>8.8101749999964299E-2</v>
      </c>
      <c r="L129" s="34">
        <v>8.9520375000006397E-2</v>
      </c>
      <c r="M129" s="34">
        <v>0.40749437499999902</v>
      </c>
      <c r="N129" s="34">
        <v>0.164389874999983</v>
      </c>
      <c r="O129" s="34">
        <v>8.645512499998631E-2</v>
      </c>
      <c r="P129" s="34">
        <v>2.6649749999990001E-2</v>
      </c>
      <c r="Q129" s="34">
        <v>0.2207880000000273</v>
      </c>
      <c r="R129" s="34">
        <v>0.109022125000081</v>
      </c>
      <c r="S129" s="34">
        <v>6.64912499996717E-3</v>
      </c>
      <c r="T129" s="34">
        <v>0.236763499999881</v>
      </c>
      <c r="U129" s="34">
        <v>0.16741050000013047</v>
      </c>
      <c r="V129" s="34">
        <v>4.514812500002563E-2</v>
      </c>
      <c r="W129" s="35">
        <v>0.28700975000003837</v>
      </c>
    </row>
    <row r="130" spans="2:27" hidden="1" outlineLevel="1"/>
    <row r="131" spans="2:27" hidden="1" outlineLevel="1"/>
    <row r="132" spans="2:27" hidden="1" outlineLevel="1"/>
    <row r="133" spans="2:27" ht="26.25" hidden="1" customHeight="1" outlineLevel="1">
      <c r="B133" s="86" t="s">
        <v>88</v>
      </c>
      <c r="C133" s="5" t="s">
        <v>91</v>
      </c>
      <c r="D133" s="17">
        <f>AVERAGE(D100:D105)</f>
        <v>0.17689691666666474</v>
      </c>
      <c r="E133" s="17">
        <f t="shared" ref="E133:X133" si="1">AVERAGE(E100:E105)</f>
        <v>0.20242279166666921</v>
      </c>
      <c r="F133" s="17">
        <f t="shared" si="1"/>
        <v>0.21875591666666361</v>
      </c>
      <c r="G133" s="17">
        <f t="shared" si="1"/>
        <v>0.12939160416666118</v>
      </c>
      <c r="H133" s="17">
        <f t="shared" si="1"/>
        <v>0.13878531249999559</v>
      </c>
      <c r="I133" s="17">
        <f t="shared" si="1"/>
        <v>0.1523951458333338</v>
      </c>
      <c r="J133" s="17">
        <f t="shared" si="1"/>
        <v>0.14734502083335133</v>
      </c>
      <c r="K133" s="17">
        <f t="shared" si="1"/>
        <v>0.13525597916666263</v>
      </c>
      <c r="L133" s="17">
        <f t="shared" si="1"/>
        <v>0.17927581249999033</v>
      </c>
      <c r="M133" s="17">
        <f t="shared" si="1"/>
        <v>0.11550372916667584</v>
      </c>
      <c r="N133" s="17">
        <f t="shared" si="1"/>
        <v>0.16613527083332738</v>
      </c>
      <c r="O133" s="17">
        <f t="shared" si="1"/>
        <v>0.20304641666664716</v>
      </c>
      <c r="P133" s="17">
        <f t="shared" si="1"/>
        <v>0.14397322916665681</v>
      </c>
      <c r="Q133" s="17">
        <f t="shared" si="1"/>
        <v>0.25378579166665344</v>
      </c>
      <c r="R133" s="17">
        <f t="shared" si="1"/>
        <v>0.2746501875000244</v>
      </c>
      <c r="S133" s="17">
        <f t="shared" si="1"/>
        <v>0.35275264583334359</v>
      </c>
      <c r="T133" s="17">
        <f t="shared" si="1"/>
        <v>0.23587622916665887</v>
      </c>
      <c r="U133" s="17">
        <f t="shared" si="1"/>
        <v>0.40017966666667348</v>
      </c>
      <c r="V133" s="17">
        <f t="shared" si="1"/>
        <v>0.45566610416665299</v>
      </c>
      <c r="W133" s="17">
        <f t="shared" si="1"/>
        <v>0.60508447916666341</v>
      </c>
      <c r="X133" s="24" t="e">
        <f t="shared" si="1"/>
        <v>#DIV/0!</v>
      </c>
    </row>
    <row r="134" spans="2:27" ht="55.5" hidden="1" customHeight="1" outlineLevel="1">
      <c r="B134" s="87" t="s">
        <v>89</v>
      </c>
      <c r="C134" s="5" t="s">
        <v>91</v>
      </c>
      <c r="D134" s="17">
        <f>AVERAGE(D106:D111)</f>
        <v>0.12269139583333426</v>
      </c>
      <c r="E134" s="17">
        <f t="shared" ref="E134:W134" si="2">AVERAGE(E106:E111)</f>
        <v>0.17306018750000499</v>
      </c>
      <c r="F134" s="17">
        <f t="shared" si="2"/>
        <v>0.20981662500000176</v>
      </c>
      <c r="G134" s="17">
        <f t="shared" si="2"/>
        <v>0.29502918750000856</v>
      </c>
      <c r="H134" s="17">
        <f t="shared" si="2"/>
        <v>0.21140852083333539</v>
      </c>
      <c r="I134" s="17">
        <f t="shared" si="2"/>
        <v>0.25713922916666831</v>
      </c>
      <c r="J134" s="17">
        <f t="shared" si="2"/>
        <v>8.621308333333387E-2</v>
      </c>
      <c r="K134" s="17">
        <f t="shared" si="2"/>
        <v>0.19378614583332868</v>
      </c>
      <c r="L134" s="17">
        <f t="shared" si="2"/>
        <v>9.5454104166667719E-2</v>
      </c>
      <c r="M134" s="17">
        <f t="shared" si="2"/>
        <v>0.1684218958333191</v>
      </c>
      <c r="N134" s="17">
        <f t="shared" si="2"/>
        <v>0.15268752083331566</v>
      </c>
      <c r="O134" s="17">
        <f t="shared" si="2"/>
        <v>0.16295595833330856</v>
      </c>
      <c r="P134" s="17">
        <f t="shared" si="2"/>
        <v>0.10344614583332634</v>
      </c>
      <c r="Q134" s="17">
        <f t="shared" si="2"/>
        <v>0.11574624999999132</v>
      </c>
      <c r="R134" s="17">
        <f t="shared" si="2"/>
        <v>0.27992041666667927</v>
      </c>
      <c r="S134" s="17">
        <f t="shared" si="2"/>
        <v>0.12572752083336991</v>
      </c>
      <c r="T134" s="17">
        <f t="shared" si="2"/>
        <v>0.27116441666666447</v>
      </c>
      <c r="U134" s="17">
        <f t="shared" si="2"/>
        <v>0.24835499999999419</v>
      </c>
      <c r="V134" s="17">
        <f t="shared" si="2"/>
        <v>0.28508987499999233</v>
      </c>
      <c r="W134" s="17">
        <f t="shared" si="2"/>
        <v>0.19850522916667046</v>
      </c>
    </row>
    <row r="135" spans="2:27" ht="31.5" hidden="1" customHeight="1" outlineLevel="1">
      <c r="B135" s="91" t="s">
        <v>90</v>
      </c>
      <c r="C135" s="5" t="s">
        <v>91</v>
      </c>
      <c r="D135" s="17">
        <f>AVERAGE(D112:D117)</f>
        <v>0.23254506250000162</v>
      </c>
      <c r="E135" s="17">
        <f t="shared" ref="E135:W135" si="3">AVERAGE(E112:E117)</f>
        <v>0.1754177083333309</v>
      </c>
      <c r="F135" s="17">
        <f t="shared" si="3"/>
        <v>0.1641797916666641</v>
      </c>
      <c r="G135" s="17">
        <f t="shared" si="3"/>
        <v>0.27678533333334099</v>
      </c>
      <c r="H135" s="17">
        <f t="shared" si="3"/>
        <v>0.21905860416667144</v>
      </c>
      <c r="I135" s="17">
        <f t="shared" si="3"/>
        <v>8.9895291666678631E-2</v>
      </c>
      <c r="J135" s="17">
        <f t="shared" si="3"/>
        <v>0.21142520833333367</v>
      </c>
      <c r="K135" s="17">
        <f t="shared" si="3"/>
        <v>6.3340770833320861E-2</v>
      </c>
      <c r="L135" s="17">
        <f t="shared" si="3"/>
        <v>0.17573764583332743</v>
      </c>
      <c r="M135" s="17">
        <f t="shared" si="3"/>
        <v>0.17565987500001276</v>
      </c>
      <c r="N135" s="17">
        <f t="shared" si="3"/>
        <v>9.5451291666667729E-2</v>
      </c>
      <c r="O135" s="17">
        <f t="shared" si="3"/>
        <v>0.31852208333334414</v>
      </c>
      <c r="P135" s="17">
        <f t="shared" si="3"/>
        <v>0.11355666666669138</v>
      </c>
      <c r="Q135" s="17">
        <f t="shared" si="3"/>
        <v>0.13742302083333394</v>
      </c>
      <c r="R135" s="17">
        <f t="shared" si="3"/>
        <v>5.9646208333324062E-2</v>
      </c>
      <c r="S135" s="17">
        <f t="shared" si="3"/>
        <v>0.3371939999999824</v>
      </c>
      <c r="T135" s="17">
        <f t="shared" si="3"/>
        <v>0.11637679166667181</v>
      </c>
      <c r="U135" s="17">
        <f t="shared" si="3"/>
        <v>0.47165714583330026</v>
      </c>
      <c r="V135" s="17">
        <f t="shared" si="3"/>
        <v>0.16390897916669667</v>
      </c>
      <c r="W135" s="17">
        <f t="shared" si="3"/>
        <v>0.35804766666669252</v>
      </c>
    </row>
    <row r="136" spans="2:27" ht="30.75" hidden="1" customHeight="1" outlineLevel="1">
      <c r="B136" s="88" t="s">
        <v>50</v>
      </c>
      <c r="C136" s="5" t="s">
        <v>91</v>
      </c>
      <c r="D136" s="17">
        <f>AVERAGE(D118:D123)</f>
        <v>0.19075716666666889</v>
      </c>
      <c r="E136" s="17">
        <f t="shared" ref="E136:X136" si="4">AVERAGE(E118:E123)</f>
        <v>0.10737214583333449</v>
      </c>
      <c r="F136" s="17">
        <f t="shared" si="4"/>
        <v>0.14391558333332699</v>
      </c>
      <c r="G136" s="17">
        <f t="shared" si="4"/>
        <v>8.8561333333338113E-2</v>
      </c>
      <c r="H136" s="17">
        <f t="shared" si="4"/>
        <v>0.10605362499999658</v>
      </c>
      <c r="I136" s="17">
        <f t="shared" si="4"/>
        <v>9.2620895833339448E-2</v>
      </c>
      <c r="J136" s="17">
        <f t="shared" si="4"/>
        <v>0.13240297916666563</v>
      </c>
      <c r="K136" s="17">
        <f t="shared" si="4"/>
        <v>0.18369164583333011</v>
      </c>
      <c r="L136" s="17">
        <f t="shared" si="4"/>
        <v>0.13348360416666102</v>
      </c>
      <c r="M136" s="17">
        <f t="shared" si="4"/>
        <v>0.10643343750001104</v>
      </c>
      <c r="N136" s="17">
        <f t="shared" si="4"/>
        <v>0.23133554166665246</v>
      </c>
      <c r="O136" s="17">
        <f t="shared" si="4"/>
        <v>0.4258342291666774</v>
      </c>
      <c r="P136" s="17">
        <f t="shared" si="4"/>
        <v>0.26165531249998253</v>
      </c>
      <c r="Q136" s="17">
        <f t="shared" si="4"/>
        <v>0.4734831875000225</v>
      </c>
      <c r="R136" s="17">
        <f t="shared" si="4"/>
        <v>0.26336385416666985</v>
      </c>
      <c r="S136" s="17">
        <f t="shared" si="4"/>
        <v>0.54444093749997557</v>
      </c>
      <c r="T136" s="17">
        <f t="shared" si="4"/>
        <v>0.42092512499997764</v>
      </c>
      <c r="U136" s="17">
        <f t="shared" si="4"/>
        <v>0.72897858333332499</v>
      </c>
      <c r="V136" s="17">
        <f t="shared" si="4"/>
        <v>0.49142987499996593</v>
      </c>
      <c r="W136" s="17">
        <f t="shared" si="4"/>
        <v>0.82788749999998379</v>
      </c>
      <c r="X136" s="24" t="e">
        <f t="shared" si="4"/>
        <v>#DIV/0!</v>
      </c>
    </row>
    <row r="137" spans="2:27" s="89" customFormat="1" ht="51.75" hidden="1" customHeight="1" outlineLevel="1">
      <c r="B137" s="97" t="s">
        <v>55</v>
      </c>
      <c r="C137" s="98" t="s">
        <v>91</v>
      </c>
      <c r="D137" s="99" t="e">
        <f>AVERAGE(#REF!)</f>
        <v>#REF!</v>
      </c>
      <c r="E137" s="99" t="e">
        <f>AVERAGE(#REF!)</f>
        <v>#REF!</v>
      </c>
      <c r="F137" s="99" t="e">
        <f>AVERAGE(#REF!)</f>
        <v>#REF!</v>
      </c>
      <c r="G137" s="99" t="e">
        <f>AVERAGE(#REF!)</f>
        <v>#REF!</v>
      </c>
      <c r="H137" s="99" t="e">
        <f>AVERAGE(#REF!)</f>
        <v>#REF!</v>
      </c>
      <c r="I137" s="100" t="e">
        <f>AVERAGE(#REF!)</f>
        <v>#REF!</v>
      </c>
      <c r="J137" s="99" t="e">
        <f>AVERAGE(#REF!)</f>
        <v>#REF!</v>
      </c>
      <c r="K137" s="100" t="e">
        <f>AVERAGE(#REF!)</f>
        <v>#REF!</v>
      </c>
      <c r="L137" s="100" t="e">
        <f>AVERAGE(#REF!)</f>
        <v>#REF!</v>
      </c>
      <c r="M137" s="100" t="e">
        <f>AVERAGE(#REF!)</f>
        <v>#REF!</v>
      </c>
      <c r="N137" s="100" t="e">
        <f>AVERAGE(#REF!)</f>
        <v>#REF!</v>
      </c>
      <c r="O137" s="100" t="e">
        <f>AVERAGE(#REF!)</f>
        <v>#REF!</v>
      </c>
      <c r="P137" s="100" t="e">
        <f>AVERAGE(#REF!)</f>
        <v>#REF!</v>
      </c>
      <c r="Q137" s="100" t="e">
        <f>AVERAGE(#REF!)</f>
        <v>#REF!</v>
      </c>
      <c r="R137" s="100" t="e">
        <f>AVERAGE(#REF!)</f>
        <v>#REF!</v>
      </c>
      <c r="S137" s="100" t="e">
        <f>AVERAGE(#REF!)</f>
        <v>#REF!</v>
      </c>
      <c r="T137" s="100" t="e">
        <f>AVERAGE(#REF!)</f>
        <v>#REF!</v>
      </c>
      <c r="U137" s="100" t="e">
        <f>AVERAGE(#REF!)</f>
        <v>#REF!</v>
      </c>
      <c r="V137" s="100" t="e">
        <f>AVERAGE(#REF!)</f>
        <v>#REF!</v>
      </c>
      <c r="W137" s="100" t="e">
        <f>AVERAGE(#REF!)</f>
        <v>#REF!</v>
      </c>
      <c r="X137" s="90"/>
      <c r="Y137" s="90"/>
      <c r="Z137" s="90"/>
      <c r="AA137" s="90"/>
    </row>
    <row r="138" spans="2:27" ht="25.5" hidden="1" outlineLevel="1">
      <c r="B138" s="101" t="s">
        <v>105</v>
      </c>
      <c r="C138" s="98" t="s">
        <v>91</v>
      </c>
      <c r="D138" s="17">
        <f>AVERAGE(D118:D123)</f>
        <v>0.19075716666666889</v>
      </c>
      <c r="E138" s="17">
        <f>AVERAGE(E118:E123)</f>
        <v>0.10737214583333449</v>
      </c>
      <c r="F138" s="17">
        <f t="shared" ref="F138:W138" si="5">AVERAGE(F118:F123)</f>
        <v>0.14391558333332699</v>
      </c>
      <c r="G138" s="17">
        <f t="shared" si="5"/>
        <v>8.8561333333338113E-2</v>
      </c>
      <c r="H138" s="17">
        <f t="shared" si="5"/>
        <v>0.10605362499999658</v>
      </c>
      <c r="I138" s="17">
        <f t="shared" si="5"/>
        <v>9.2620895833339448E-2</v>
      </c>
      <c r="J138" s="17">
        <f t="shared" si="5"/>
        <v>0.13240297916666563</v>
      </c>
      <c r="K138" s="17">
        <f t="shared" si="5"/>
        <v>0.18369164583333011</v>
      </c>
      <c r="L138" s="17">
        <f t="shared" si="5"/>
        <v>0.13348360416666102</v>
      </c>
      <c r="M138" s="17">
        <f t="shared" si="5"/>
        <v>0.10643343750001104</v>
      </c>
      <c r="N138" s="17">
        <f t="shared" si="5"/>
        <v>0.23133554166665246</v>
      </c>
      <c r="O138" s="17">
        <f t="shared" si="5"/>
        <v>0.4258342291666774</v>
      </c>
      <c r="P138" s="17">
        <f t="shared" si="5"/>
        <v>0.26165531249998253</v>
      </c>
      <c r="Q138" s="17">
        <f t="shared" si="5"/>
        <v>0.4734831875000225</v>
      </c>
      <c r="R138" s="17">
        <f t="shared" si="5"/>
        <v>0.26336385416666985</v>
      </c>
      <c r="S138" s="17">
        <f t="shared" si="5"/>
        <v>0.54444093749997557</v>
      </c>
      <c r="T138" s="17">
        <f t="shared" si="5"/>
        <v>0.42092512499997764</v>
      </c>
      <c r="U138" s="17">
        <f t="shared" si="5"/>
        <v>0.72897858333332499</v>
      </c>
      <c r="V138" s="17">
        <f t="shared" si="5"/>
        <v>0.49142987499996593</v>
      </c>
      <c r="W138" s="17">
        <f t="shared" si="5"/>
        <v>0.82788749999998379</v>
      </c>
    </row>
    <row r="139" spans="2:27" collapsed="1"/>
  </sheetData>
  <mergeCells count="43">
    <mergeCell ref="A13:A14"/>
    <mergeCell ref="C19:W19"/>
    <mergeCell ref="P98:Q98"/>
    <mergeCell ref="R98:S98"/>
    <mergeCell ref="T98:U98"/>
    <mergeCell ref="V98:W98"/>
    <mergeCell ref="A15:A16"/>
    <mergeCell ref="B77:B82"/>
    <mergeCell ref="B83:B88"/>
    <mergeCell ref="D98:E98"/>
    <mergeCell ref="F98:G98"/>
    <mergeCell ref="L98:M98"/>
    <mergeCell ref="Y83:Y88"/>
    <mergeCell ref="B124:B129"/>
    <mergeCell ref="B118:B123"/>
    <mergeCell ref="B71:B76"/>
    <mergeCell ref="B100:B105"/>
    <mergeCell ref="B106:B111"/>
    <mergeCell ref="B112:B117"/>
    <mergeCell ref="T69:U69"/>
    <mergeCell ref="V69:W69"/>
    <mergeCell ref="D69:E69"/>
    <mergeCell ref="F69:G69"/>
    <mergeCell ref="H69:I69"/>
    <mergeCell ref="J69:K69"/>
    <mergeCell ref="L69:M69"/>
    <mergeCell ref="N69:O69"/>
    <mergeCell ref="P69:Q69"/>
    <mergeCell ref="R69:S69"/>
    <mergeCell ref="N98:O98"/>
    <mergeCell ref="H98:I98"/>
    <mergeCell ref="J98:K98"/>
    <mergeCell ref="A2:B2"/>
    <mergeCell ref="A3:B3"/>
    <mergeCell ref="A5:B5"/>
    <mergeCell ref="C5:M5"/>
    <mergeCell ref="A7:I7"/>
    <mergeCell ref="A8:I8"/>
    <mergeCell ref="A17:A18"/>
    <mergeCell ref="A9:A10"/>
    <mergeCell ref="A11:A12"/>
    <mergeCell ref="M17:M18"/>
    <mergeCell ref="M15:M16"/>
  </mergeCells>
  <hyperlinks>
    <hyperlink ref="E13" r:id="rId1" display="142-Interno-06-Level2-TBH-RR\F-PSMT-01 Certificado de Calibracion_G1-sn59756-324_RR.xlsm"/>
    <hyperlink ref="E14" r:id="rId2" display="143-Interno-10-Level2-JGL-RR\F-PSMT-01 Certificado de Calibracion_G1-SN 59756-324.xlsm"/>
    <hyperlink ref="E15" r:id="rId3" display="166-Interno-11-Level2-TBH-RR\F-PSMT-01 Certificado de Calibracion_G3-sn59756-324.xlsm"/>
    <hyperlink ref="E16" r:id="rId4" display="169-Interno-14-Level2-JGL-RR\F-PSMT-01 Certificado de Calibracion_G2-sn59756-324.xlsm"/>
    <hyperlink ref="E18" r:id="rId5" display="173-Interno-16-Level2-JGL-RR\F-PSMT-01 Certificado de Calibracion_G1-sn59756-324 JGL.xlsm"/>
    <hyperlink ref="E17" r:id="rId6" display="171-Interno-15-Level2-TBH\F-PSMT-01 Certificado de Calibracion_G1-sn59756-324_TBH.xlsm"/>
    <hyperlink ref="E9" r:id="rId7" display="116-Interno-01_Level2-TBH\F-PSMT-01 Informe de Calibracion_G1-sn59756.xlsm"/>
    <hyperlink ref="E12" r:id="rId8" display="118-Interno-03_Level2-JGL\F-PSMT-01 Certificado de Calibracion_G1-sn_59756-324 PROBAR.xlsm"/>
    <hyperlink ref="E11" r:id="rId9" display="116-Interno-01_Level2-TBH\F-PSMT-01 Informe de Calibracion_G1-sn59756.xlsm"/>
  </hyperlinks>
  <pageMargins left="0.7" right="0.7" top="0.75" bottom="0.75" header="0.3" footer="0.3"/>
  <pageSetup paperSize="9" orientation="portrait" r:id="rId10"/>
  <drawing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Plantilla</vt:lpstr>
      <vt:lpstr>45ppb</vt:lpstr>
      <vt:lpstr>90ppb</vt:lpstr>
      <vt:lpstr>135ppb</vt:lpstr>
      <vt:lpstr>180ppb</vt:lpstr>
      <vt:lpstr>225ppb</vt:lpstr>
      <vt:lpstr>270ppb</vt:lpstr>
      <vt:lpstr>315ppb</vt:lpstr>
      <vt:lpstr>360ppb</vt:lpstr>
      <vt:lpstr>405ppb</vt:lpstr>
      <vt:lpstr>455ppb</vt:lpstr>
      <vt:lpstr>BASE DE 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CalaireB19A</dc:creator>
  <cp:lastModifiedBy>POSGRADO ACMA</cp:lastModifiedBy>
  <dcterms:created xsi:type="dcterms:W3CDTF">2023-01-17T11:22:44Z</dcterms:created>
  <dcterms:modified xsi:type="dcterms:W3CDTF">2023-03-08T18:06:17Z</dcterms:modified>
</cp:coreProperties>
</file>